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DataValidation_BuildSummary\BS\File2\"/>
    </mc:Choice>
  </mc:AlternateContent>
  <xr:revisionPtr revIDLastSave="0" documentId="8_{E4F697AF-E941-4383-A985-5F063E3A7A63}" xr6:coauthVersionLast="47" xr6:coauthVersionMax="47" xr10:uidLastSave="{00000000-0000-0000-0000-000000000000}"/>
  <bookViews>
    <workbookView xWindow="-110" yWindow="-110" windowWidth="19420" windowHeight="11500" xr2:uid="{B925272B-54DF-49A3-A4BF-6A60AACAE6AF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0" i="1" l="1"/>
  <c r="A23" i="1"/>
  <c r="A16" i="1"/>
  <c r="A9" i="1"/>
  <c r="S2" i="1"/>
  <c r="R2" i="1"/>
  <c r="Q2" i="1"/>
  <c r="P2" i="1"/>
  <c r="O2" i="1"/>
  <c r="M2" i="1"/>
  <c r="L2" i="1"/>
  <c r="K2" i="1"/>
  <c r="J2" i="1"/>
  <c r="I2" i="1"/>
  <c r="G2" i="1"/>
  <c r="F2" i="1"/>
  <c r="E2" i="1"/>
  <c r="D2" i="1"/>
  <c r="C2" i="1"/>
  <c r="A2" i="1"/>
  <c r="F3" i="1" l="1"/>
  <c r="D3" i="1"/>
  <c r="F17" i="1"/>
  <c r="D18" i="1"/>
  <c r="C17" i="1"/>
  <c r="C20" i="1"/>
  <c r="D6" i="1"/>
  <c r="D4" i="1"/>
  <c r="D20" i="1"/>
  <c r="G5" i="1"/>
  <c r="D5" i="1"/>
  <c r="E20" i="1"/>
  <c r="C18" i="1"/>
  <c r="E4" i="1"/>
  <c r="C19" i="1"/>
  <c r="E17" i="1"/>
  <c r="F19" i="1"/>
  <c r="E18" i="1"/>
  <c r="C4" i="1"/>
  <c r="E6" i="1"/>
  <c r="G19" i="1"/>
  <c r="C3" i="1"/>
  <c r="E19" i="1"/>
  <c r="G3" i="1"/>
  <c r="F20" i="1"/>
  <c r="E3" i="1"/>
  <c r="E7" i="1" s="1"/>
  <c r="G6" i="1"/>
  <c r="E5" i="1"/>
  <c r="C5" i="1"/>
  <c r="D17" i="1"/>
  <c r="F18" i="1"/>
  <c r="G18" i="1"/>
  <c r="F6" i="1"/>
  <c r="F4" i="1"/>
  <c r="C6" i="1"/>
  <c r="G17" i="1"/>
  <c r="D19" i="1"/>
  <c r="G4" i="1"/>
  <c r="G20" i="1"/>
  <c r="F5" i="1"/>
  <c r="C11" i="1" l="1"/>
  <c r="F21" i="1"/>
  <c r="G21" i="1"/>
  <c r="F11" i="1"/>
  <c r="E13" i="1"/>
  <c r="E21" i="1"/>
  <c r="F12" i="1"/>
  <c r="F13" i="1"/>
  <c r="D21" i="1"/>
  <c r="G7" i="1"/>
  <c r="C7" i="1"/>
  <c r="C21" i="1"/>
  <c r="D7" i="1"/>
  <c r="F7" i="1"/>
  <c r="E25" i="1"/>
  <c r="D25" i="1"/>
  <c r="E24" i="1"/>
  <c r="D24" i="1"/>
  <c r="F24" i="1"/>
  <c r="G25" i="1"/>
  <c r="C25" i="1"/>
  <c r="G24" i="1"/>
  <c r="F25" i="1"/>
  <c r="I20" i="1" l="1"/>
  <c r="E12" i="1"/>
  <c r="R18" i="1"/>
  <c r="Q13" i="1"/>
  <c r="Q6" i="1"/>
  <c r="I13" i="1"/>
  <c r="I6" i="1"/>
  <c r="C10" i="1"/>
  <c r="L18" i="1"/>
  <c r="S17" i="1"/>
  <c r="L19" i="1"/>
  <c r="F10" i="1"/>
  <c r="F14" i="1" s="1"/>
  <c r="M11" i="1"/>
  <c r="M4" i="1"/>
  <c r="M18" i="1"/>
  <c r="I11" i="1"/>
  <c r="I4" i="1"/>
  <c r="O17" i="1"/>
  <c r="I19" i="1"/>
  <c r="M19" i="1"/>
  <c r="J13" i="1"/>
  <c r="J6" i="1"/>
  <c r="S13" i="1"/>
  <c r="S6" i="1"/>
  <c r="J17" i="1"/>
  <c r="G13" i="1"/>
  <c r="K18" i="1"/>
  <c r="L17" i="1"/>
  <c r="J19" i="1"/>
  <c r="R13" i="1"/>
  <c r="R6" i="1"/>
  <c r="I10" i="1"/>
  <c r="I3" i="1"/>
  <c r="R10" i="1"/>
  <c r="R3" i="1"/>
  <c r="K11" i="1"/>
  <c r="K4" i="1"/>
  <c r="R19" i="1"/>
  <c r="K10" i="1"/>
  <c r="K3" i="1"/>
  <c r="K19" i="1"/>
  <c r="S11" i="1"/>
  <c r="S4" i="1"/>
  <c r="L12" i="1"/>
  <c r="L5" i="1"/>
  <c r="I17" i="1"/>
  <c r="M12" i="1"/>
  <c r="M5" i="1"/>
  <c r="S19" i="1"/>
  <c r="P13" i="1"/>
  <c r="P6" i="1"/>
  <c r="C12" i="1"/>
  <c r="P18" i="1"/>
  <c r="R17" i="1"/>
  <c r="D11" i="1"/>
  <c r="P19" i="1"/>
  <c r="Q20" i="1"/>
  <c r="M10" i="1"/>
  <c r="M3" i="1"/>
  <c r="J11" i="1"/>
  <c r="J4" i="1"/>
  <c r="L21" i="1"/>
  <c r="O21" i="1"/>
  <c r="C13" i="1"/>
  <c r="P10" i="1"/>
  <c r="P3" i="1"/>
  <c r="P20" i="1"/>
  <c r="K12" i="1"/>
  <c r="K5" i="1"/>
  <c r="D10" i="1"/>
  <c r="O20" i="1"/>
  <c r="J10" i="1"/>
  <c r="J3" i="1"/>
  <c r="K13" i="1"/>
  <c r="K6" i="1"/>
  <c r="J20" i="1"/>
  <c r="E11" i="1"/>
  <c r="L10" i="1"/>
  <c r="L3" i="1"/>
  <c r="Q11" i="1"/>
  <c r="Q4" i="1"/>
  <c r="R20" i="1"/>
  <c r="Q10" i="1"/>
  <c r="Q3" i="1"/>
  <c r="Q19" i="1"/>
  <c r="R12" i="1"/>
  <c r="R5" i="1"/>
  <c r="S12" i="1"/>
  <c r="S5" i="1"/>
  <c r="O18" i="1"/>
  <c r="K17" i="1"/>
  <c r="D13" i="1"/>
  <c r="L11" i="1"/>
  <c r="L4" i="1"/>
  <c r="J18" i="1"/>
  <c r="O12" i="1"/>
  <c r="O5" i="1"/>
  <c r="M20" i="1"/>
  <c r="J12" i="1"/>
  <c r="J5" i="1"/>
  <c r="K20" i="1"/>
  <c r="S10" i="1"/>
  <c r="S3" i="1"/>
  <c r="P11" i="1"/>
  <c r="P4" i="1"/>
  <c r="G10" i="1"/>
  <c r="M21" i="1"/>
  <c r="Q12" i="1"/>
  <c r="Q5" i="1"/>
  <c r="O13" i="1"/>
  <c r="O6" i="1"/>
  <c r="M17" i="1"/>
  <c r="L20" i="1"/>
  <c r="E10" i="1"/>
  <c r="S18" i="1"/>
  <c r="G12" i="1"/>
  <c r="O11" i="1"/>
  <c r="O4" i="1"/>
  <c r="G11" i="1"/>
  <c r="O19" i="1"/>
  <c r="I18" i="1"/>
  <c r="Q17" i="1"/>
  <c r="M13" i="1"/>
  <c r="M6" i="1"/>
  <c r="P17" i="1"/>
  <c r="R11" i="1"/>
  <c r="R4" i="1"/>
  <c r="I12" i="1"/>
  <c r="I5" i="1"/>
  <c r="S20" i="1"/>
  <c r="Q18" i="1"/>
  <c r="P12" i="1"/>
  <c r="P5" i="1"/>
  <c r="L13" i="1"/>
  <c r="L6" i="1"/>
  <c r="D12" i="1"/>
  <c r="O10" i="1"/>
  <c r="O3" i="1"/>
  <c r="K21" i="1"/>
  <c r="P21" i="1"/>
  <c r="P24" i="1" l="1"/>
  <c r="S7" i="1"/>
  <c r="J24" i="1"/>
  <c r="I7" i="1"/>
  <c r="K7" i="1"/>
  <c r="P25" i="1"/>
  <c r="L7" i="1"/>
  <c r="J7" i="1"/>
  <c r="C14" i="1"/>
  <c r="R25" i="1"/>
  <c r="S24" i="1"/>
  <c r="O7" i="1"/>
  <c r="Q24" i="1"/>
  <c r="I25" i="1"/>
  <c r="J25" i="1"/>
  <c r="R24" i="1"/>
  <c r="L25" i="1"/>
  <c r="M24" i="1"/>
  <c r="K24" i="1"/>
  <c r="S25" i="1"/>
  <c r="O25" i="1"/>
  <c r="Q25" i="1"/>
  <c r="L24" i="1"/>
  <c r="R21" i="1"/>
  <c r="I21" i="1"/>
  <c r="E14" i="1"/>
  <c r="G14" i="1"/>
  <c r="D14" i="1"/>
  <c r="M7" i="1"/>
  <c r="M25" i="1"/>
  <c r="Q7" i="1"/>
  <c r="K25" i="1"/>
  <c r="R7" i="1"/>
  <c r="P7" i="1"/>
  <c r="J21" i="1"/>
  <c r="Q21" i="1"/>
  <c r="S21" i="1"/>
  <c r="K14" i="1" l="1"/>
  <c r="I14" i="1"/>
  <c r="S14" i="1"/>
  <c r="L14" i="1"/>
  <c r="P14" i="1"/>
  <c r="Q14" i="1"/>
  <c r="O14" i="1"/>
  <c r="M14" i="1"/>
  <c r="R14" i="1"/>
  <c r="J14" i="1"/>
  <c r="G31" i="1"/>
  <c r="F31" i="1"/>
  <c r="D31" i="1"/>
  <c r="D32" i="1"/>
  <c r="E31" i="1"/>
  <c r="F32" i="1"/>
  <c r="C32" i="1"/>
  <c r="G32" i="1"/>
  <c r="E32" i="1"/>
  <c r="M32" i="1" l="1"/>
  <c r="S32" i="1"/>
  <c r="R31" i="1"/>
  <c r="R32" i="1"/>
  <c r="O32" i="1"/>
  <c r="P31" i="1"/>
  <c r="Q32" i="1"/>
  <c r="P32" i="1"/>
  <c r="L32" i="1"/>
  <c r="M31" i="1"/>
  <c r="K31" i="1"/>
  <c r="S31" i="1"/>
  <c r="Q31" i="1"/>
  <c r="J31" i="1"/>
  <c r="K32" i="1"/>
  <c r="J32" i="1"/>
  <c r="I32" i="1"/>
  <c r="L31" i="1"/>
  <c r="E27" i="1" l="1"/>
  <c r="E26" i="1"/>
  <c r="E28" i="1" s="1"/>
  <c r="D26" i="1"/>
  <c r="D27" i="1"/>
  <c r="G27" i="1"/>
  <c r="G26" i="1"/>
  <c r="D28" i="1" l="1"/>
  <c r="G28" i="1"/>
  <c r="K27" i="1" l="1"/>
  <c r="J26" i="1"/>
  <c r="M28" i="1"/>
  <c r="Q28" i="1"/>
  <c r="S26" i="1"/>
  <c r="K26" i="1"/>
  <c r="S27" i="1"/>
  <c r="J27" i="1"/>
  <c r="Q26" i="1"/>
  <c r="M26" i="1"/>
  <c r="P27" i="1"/>
  <c r="Q27" i="1"/>
  <c r="M27" i="1"/>
  <c r="P26" i="1"/>
  <c r="J28" i="1"/>
  <c r="S28" i="1" l="1"/>
  <c r="K28" i="1"/>
  <c r="P28" i="1"/>
  <c r="D34" i="1"/>
  <c r="E33" i="1"/>
  <c r="G34" i="1"/>
  <c r="E34" i="1"/>
  <c r="G33" i="1"/>
  <c r="G35" i="1" s="1"/>
  <c r="D33" i="1"/>
  <c r="D35" i="1" s="1"/>
  <c r="E35" i="1" l="1"/>
  <c r="S33" i="1" l="1"/>
  <c r="K34" i="1"/>
  <c r="M34" i="1"/>
  <c r="Q34" i="1"/>
  <c r="K33" i="1"/>
  <c r="J33" i="1"/>
  <c r="J34" i="1"/>
  <c r="S34" i="1"/>
  <c r="P33" i="1"/>
  <c r="P34" i="1"/>
  <c r="Q33" i="1"/>
  <c r="M33" i="1"/>
  <c r="M35" i="1" l="1"/>
  <c r="Q35" i="1"/>
  <c r="P35" i="1"/>
  <c r="J35" i="1"/>
  <c r="S35" i="1"/>
  <c r="K35" i="1"/>
  <c r="C24" i="1" l="1"/>
  <c r="C26" i="1" l="1"/>
  <c r="C27" i="1"/>
  <c r="C28" i="1" l="1"/>
  <c r="O28" i="1"/>
  <c r="I24" i="1"/>
  <c r="O24" i="1"/>
  <c r="O27" i="1" l="1"/>
  <c r="I26" i="1"/>
  <c r="I28" i="1"/>
  <c r="I27" i="1"/>
  <c r="O26" i="1"/>
  <c r="F26" i="1"/>
  <c r="C31" i="1"/>
  <c r="C34" i="1" l="1"/>
  <c r="C33" i="1"/>
  <c r="C35" i="1" l="1"/>
  <c r="L28" i="1"/>
  <c r="O31" i="1"/>
  <c r="R26" i="1"/>
  <c r="I31" i="1"/>
  <c r="L26" i="1"/>
  <c r="F27" i="1"/>
  <c r="F28" i="1" s="1"/>
  <c r="O33" i="1" l="1"/>
  <c r="I35" i="1"/>
  <c r="R28" i="1"/>
  <c r="L27" i="1"/>
  <c r="I33" i="1"/>
  <c r="I34" i="1"/>
  <c r="R27" i="1"/>
  <c r="O34" i="1"/>
  <c r="F33" i="1"/>
  <c r="O35" i="1" l="1"/>
  <c r="R33" i="1" l="1"/>
  <c r="L33" i="1"/>
  <c r="F34" i="1"/>
  <c r="F35" i="1" s="1"/>
  <c r="R34" i="1" l="1"/>
  <c r="R35" i="1"/>
  <c r="L35" i="1"/>
  <c r="L34" i="1"/>
</calcChain>
</file>

<file path=xl/sharedStrings.xml><?xml version="1.0" encoding="utf-8"?>
<sst xmlns="http://schemas.openxmlformats.org/spreadsheetml/2006/main" count="28" uniqueCount="8">
  <si>
    <t>Rebate $</t>
  </si>
  <si>
    <t>Per Brand Rx</t>
  </si>
  <si>
    <t>Per Total Rx</t>
  </si>
  <si>
    <t>Base</t>
  </si>
  <si>
    <t>MAF</t>
  </si>
  <si>
    <t>PPL</t>
  </si>
  <si>
    <t>PPA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</si>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</sst>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indexed="8"/>
      <name val="Calibri"/>
      <family val="2"/>
    </font>
    <font>
      <b/>
      <sz val="10"/>
      <color theme="1"/>
      <name val="Aptos Narrow"/>
      <family val="2"/>
      <scheme val="minor"/>
    </font>
    <font>
      <b/>
      <sz val="10"/>
      <color indexed="8"/>
      <name val="Calibri"/>
      <family val="2"/>
    </font>
    <font>
      <sz val="10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ABF8F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5EFF0"/>
        <bgColor indexed="64"/>
      </patternFill>
    </fill>
    <fill>
      <patternFill patternType="solid">
        <fgColor rgb="FFB5DAD2"/>
        <bgColor indexed="64"/>
      </patternFill>
    </fill>
  </fills>
  <borders count="22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medium">
        <color rgb="FFE87722"/>
      </bottom>
      <diagonal/>
    </border>
    <border>
      <left style="medium">
        <color rgb="FFE87722"/>
      </left>
      <right/>
      <top style="medium">
        <color rgb="FFD19000"/>
      </top>
      <bottom style="medium">
        <color rgb="FFD19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4" fillId="0" borderId="0" xfId="0" applyFont="1"/>
    <xf numFmtId="0" fontId="3" fillId="2" borderId="1" xfId="0" applyFont="1" applyFill="1" applyBorder="1" applyAlignment="1">
      <alignment horizontal="centerContinuous" vertical="center"/>
    </xf>
    <xf numFmtId="0" fontId="0" fillId="2" borderId="2" xfId="0" applyFill="1" applyBorder="1" applyAlignment="1">
      <alignment horizontal="centerContinuous" vertical="center"/>
    </xf>
    <xf numFmtId="0" fontId="3" fillId="2" borderId="2" xfId="0" applyFont="1" applyFill="1" applyBorder="1" applyAlignment="1">
      <alignment horizontal="centerContinuous" vertical="center"/>
    </xf>
    <xf numFmtId="0" fontId="3" fillId="2" borderId="3" xfId="0" applyFont="1" applyFill="1" applyBorder="1" applyAlignment="1">
      <alignment horizontal="centerContinuous" vertical="center"/>
    </xf>
    <xf numFmtId="0" fontId="5" fillId="3" borderId="4" xfId="0" applyFont="1" applyFill="1" applyBorder="1" applyAlignment="1">
      <alignment horizontal="centerContinuous"/>
    </xf>
    <xf numFmtId="0" fontId="5" fillId="3" borderId="5" xfId="0" applyFont="1" applyFill="1" applyBorder="1" applyAlignment="1">
      <alignment horizontal="centerContinuous"/>
    </xf>
    <xf numFmtId="0" fontId="5" fillId="3" borderId="6" xfId="0" applyFont="1" applyFill="1" applyBorder="1" applyAlignment="1">
      <alignment horizontal="centerContinuous"/>
    </xf>
    <xf numFmtId="0" fontId="3" fillId="4" borderId="7" xfId="0" applyFont="1" applyFill="1" applyBorder="1" applyAlignment="1">
      <alignment horizontal="centerContinuous"/>
    </xf>
    <xf numFmtId="0" fontId="3" fillId="4" borderId="8" xfId="0" applyFont="1" applyFill="1" applyBorder="1" applyAlignment="1">
      <alignment horizontal="centerContinuous"/>
    </xf>
    <xf numFmtId="0" fontId="3" fillId="4" borderId="9" xfId="0" applyFont="1" applyFill="1" applyBorder="1" applyAlignment="1">
      <alignment horizontal="centerContinuous"/>
    </xf>
    <xf numFmtId="0" fontId="3" fillId="0" borderId="10" xfId="0" applyFont="1" applyBorder="1" applyAlignment="1">
      <alignment horizontal="center"/>
    </xf>
    <xf numFmtId="0" fontId="6" fillId="5" borderId="1" xfId="0" applyFont="1" applyFill="1" applyBorder="1" applyAlignment="1">
      <alignment horizontal="centerContinuous" vertical="center" wrapText="1"/>
    </xf>
    <xf numFmtId="0" fontId="6" fillId="5" borderId="2" xfId="0" applyFont="1" applyFill="1" applyBorder="1" applyAlignment="1">
      <alignment horizontal="centerContinuous" vertical="center" wrapText="1"/>
    </xf>
    <xf numFmtId="0" fontId="6" fillId="5" borderId="3" xfId="0" applyFont="1" applyFill="1" applyBorder="1" applyAlignment="1">
      <alignment horizontal="centerContinuous" vertical="center" wrapText="1"/>
    </xf>
    <xf numFmtId="0" fontId="7" fillId="5" borderId="11" xfId="0" applyFont="1" applyFill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center" vertical="center" wrapText="1"/>
    </xf>
    <xf numFmtId="0" fontId="7" fillId="5" borderId="14" xfId="0" applyFont="1" applyFill="1" applyBorder="1" applyAlignment="1">
      <alignment horizontal="center" vertical="center" wrapText="1"/>
    </xf>
    <xf numFmtId="0" fontId="7" fillId="5" borderId="15" xfId="0" applyFont="1" applyFill="1" applyBorder="1" applyAlignment="1">
      <alignment horizontal="center" vertical="center" wrapText="1"/>
    </xf>
    <xf numFmtId="0" fontId="7" fillId="5" borderId="16" xfId="0" applyFont="1" applyFill="1" applyBorder="1" applyAlignment="1">
      <alignment horizontal="center" vertical="center" wrapText="1"/>
    </xf>
    <xf numFmtId="0" fontId="2" fillId="6" borderId="17" xfId="0" applyFont="1" applyFill="1" applyBorder="1"/>
    <xf numFmtId="0" fontId="8" fillId="0" borderId="0" xfId="0" applyFont="1"/>
    <xf numFmtId="0" fontId="2" fillId="6" borderId="18" xfId="0" applyFont="1" applyFill="1" applyBorder="1"/>
    <xf numFmtId="0" fontId="2" fillId="6" borderId="19" xfId="0" applyFont="1" applyFill="1" applyBorder="1"/>
    <xf numFmtId="0" fontId="9" fillId="5" borderId="20" xfId="0" applyFont="1" applyFill="1" applyBorder="1"/>
    <xf numFmtId="0" fontId="8" fillId="7" borderId="21" xfId="1" applyNumberFormat="1" applyFont="1" applyFill="1" applyBorder="1" applyAlignment="1">
      <alignment horizontal="right" vertical="center"/>
    </xf>
    <xf numFmtId="0" fontId="8" fillId="7" borderId="2" xfId="1" applyNumberFormat="1" applyFont="1" applyFill="1" applyBorder="1" applyAlignment="1">
      <alignment horizontal="right" vertical="center"/>
    </xf>
    <xf numFmtId="0" fontId="8" fillId="7" borderId="2" xfId="1" applyNumberFormat="1" applyFont="1" applyFill="1" applyBorder="1" applyAlignment="1">
      <alignment horizontal="right"/>
    </xf>
    <xf numFmtId="0" fontId="8" fillId="7" borderId="3" xfId="1" applyNumberFormat="1" applyFont="1" applyFill="1" applyBorder="1" applyAlignment="1">
      <alignment horizontal="right" vertical="center"/>
    </xf>
    <xf numFmtId="0" fontId="6" fillId="8" borderId="4" xfId="1" applyNumberFormat="1" applyFont="1" applyFill="1" applyBorder="1" applyAlignment="1">
      <alignment horizontal="right" vertical="center"/>
    </xf>
    <xf numFmtId="0" fontId="6" fillId="8" borderId="5" xfId="1" applyNumberFormat="1" applyFont="1" applyFill="1" applyBorder="1" applyAlignment="1">
      <alignment horizontal="right" vertical="center"/>
    </xf>
    <xf numFmtId="0" fontId="6" fillId="8" borderId="5" xfId="1" applyNumberFormat="1" applyFont="1" applyFill="1" applyBorder="1" applyAlignment="1">
      <alignment horizontal="right"/>
    </xf>
    <xf numFmtId="0" fontId="6" fillId="8" borderId="6" xfId="1" applyNumberFormat="1" applyFont="1" applyFill="1" applyBorder="1" applyAlignment="1">
      <alignment horizontal="right"/>
    </xf>
    <xf numFmtId="0" fontId="6" fillId="9" borderId="7" xfId="1" applyNumberFormat="1" applyFont="1" applyFill="1" applyBorder="1" applyAlignment="1">
      <alignment horizontal="right" vertical="center"/>
    </xf>
    <xf numFmtId="0" fontId="6" fillId="9" borderId="8" xfId="1" applyNumberFormat="1" applyFont="1" applyFill="1" applyBorder="1" applyAlignment="1">
      <alignment horizontal="right" vertical="center"/>
    </xf>
    <xf numFmtId="0" fontId="6" fillId="9" borderId="8" xfId="1" applyNumberFormat="1" applyFont="1" applyFill="1" applyBorder="1" applyAlignment="1">
      <alignment horizontal="right"/>
    </xf>
    <xf numFmtId="0" fontId="6" fillId="9" borderId="9" xfId="1" applyNumberFormat="1" applyFont="1" applyFill="1" applyBorder="1" applyAlignment="1">
      <alignment horizontal="right" vertical="center"/>
    </xf>
    <xf numFmtId="0" fontId="3" fillId="0" borderId="10" xfId="0" applyFont="1" applyBorder="1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mitta73\Downloads\T16_RPT_13Apr.xlsm" TargetMode="External"/><Relationship Id="rId1" Type="http://schemas.openxmlformats.org/officeDocument/2006/relationships/externalLinkPath" Target="file:///C:\Users\amitta73\Downloads\T16_RPT_13Apr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/>
      <sheetData sheetId="2"/>
      <sheetData sheetId="3"/>
      <sheetData sheetId="4"/>
      <sheetData sheetId="5">
        <row r="6">
          <cell r="I6" t="str">
            <v>Pre-Shift</v>
          </cell>
          <cell r="Z6" t="str">
            <v>Pre-Shift + ANNUALIZATION</v>
          </cell>
          <cell r="AQ6" t="str">
            <v>Annualization + SHIFT + HEP C ADJ</v>
          </cell>
          <cell r="BH6" t="str">
            <v>Annualization + Shift + Hep C adj + LIFT</v>
          </cell>
          <cell r="BY6" t="str">
            <v>Annualization + Shift + Hep C adj + Lift + INCREMENTAL BRAND</v>
          </cell>
        </row>
        <row r="15">
          <cell r="I15">
            <v>82045439.585570231</v>
          </cell>
          <cell r="J15">
            <v>91277243.515515089</v>
          </cell>
          <cell r="K15">
            <v>101342115.83600886</v>
          </cell>
          <cell r="L15">
            <v>113413150.36020811</v>
          </cell>
          <cell r="M15">
            <v>128310981.0331829</v>
          </cell>
          <cell r="N15">
            <v>625.34043436288607</v>
          </cell>
          <cell r="O15">
            <v>660.40351943037126</v>
          </cell>
          <cell r="P15">
            <v>695.63550051558047</v>
          </cell>
          <cell r="Q15">
            <v>729.51003474753611</v>
          </cell>
          <cell r="R15">
            <v>762.416299774712</v>
          </cell>
          <cell r="S15">
            <v>53.670078767743021</v>
          </cell>
          <cell r="T15">
            <v>58.89453826537062</v>
          </cell>
          <cell r="U15">
            <v>64.591635466909722</v>
          </cell>
          <cell r="V15">
            <v>71.481606228989904</v>
          </cell>
          <cell r="W15">
            <v>79.73810502486198</v>
          </cell>
          <cell r="Z15">
            <v>82045439.585570231</v>
          </cell>
          <cell r="AA15">
            <v>91277243.515515089</v>
          </cell>
          <cell r="AB15">
            <v>101342115.83600886</v>
          </cell>
          <cell r="AC15">
            <v>113413150.36020811</v>
          </cell>
          <cell r="AD15">
            <v>128310981.0331829</v>
          </cell>
          <cell r="AE15">
            <v>625.34043436288607</v>
          </cell>
          <cell r="AF15">
            <v>660.40351943037126</v>
          </cell>
          <cell r="AG15">
            <v>695.63550051558047</v>
          </cell>
          <cell r="AH15">
            <v>729.51003474753611</v>
          </cell>
          <cell r="AI15">
            <v>762.416299774712</v>
          </cell>
          <cell r="AJ15">
            <v>53.670078767743021</v>
          </cell>
          <cell r="AK15">
            <v>58.89453826537062</v>
          </cell>
          <cell r="AL15">
            <v>64.591635466909722</v>
          </cell>
          <cell r="AM15">
            <v>71.481606228989904</v>
          </cell>
          <cell r="AN15">
            <v>79.73810502486198</v>
          </cell>
          <cell r="AQ15">
            <v>88997330.807156354</v>
          </cell>
          <cell r="AR15">
            <v>98459078.31029962</v>
          </cell>
          <cell r="AS15">
            <v>108703430.5812103</v>
          </cell>
          <cell r="AT15">
            <v>120843437.36460415</v>
          </cell>
          <cell r="AU15">
            <v>135960785.9683941</v>
          </cell>
          <cell r="AV15">
            <v>705.03973947105976</v>
          </cell>
          <cell r="AW15">
            <v>739.25897326571146</v>
          </cell>
          <cell r="AX15">
            <v>772.91708210282229</v>
          </cell>
          <cell r="AY15">
            <v>802.90078320737609</v>
          </cell>
          <cell r="AZ15">
            <v>831.65499709946846</v>
          </cell>
          <cell r="BA15">
            <v>58.262578204364623</v>
          </cell>
          <cell r="BB15">
            <v>63.578165160276761</v>
          </cell>
          <cell r="BC15">
            <v>69.338737426376028</v>
          </cell>
          <cell r="BD15">
            <v>76.226823816414353</v>
          </cell>
          <cell r="BE15">
            <v>84.562242261528084</v>
          </cell>
          <cell r="BH15">
            <v>93324258.42518492</v>
          </cell>
          <cell r="BI15">
            <v>106840883.43412878</v>
          </cell>
          <cell r="BJ15">
            <v>121430555.41202825</v>
          </cell>
          <cell r="BK15">
            <v>138927290.99655992</v>
          </cell>
          <cell r="BL15">
            <v>160739971.75467116</v>
          </cell>
          <cell r="BM15">
            <v>739.31780031689914</v>
          </cell>
          <cell r="BN15">
            <v>802.19196793002402</v>
          </cell>
          <cell r="BO15">
            <v>863.41111835538698</v>
          </cell>
          <cell r="BP15">
            <v>923.05244854520538</v>
          </cell>
          <cell r="BQ15">
            <v>983.22615444776432</v>
          </cell>
          <cell r="BR15">
            <v>61.095224492108599</v>
          </cell>
          <cell r="BS15">
            <v>68.990563891296759</v>
          </cell>
          <cell r="BT15">
            <v>77.456997927616698</v>
          </cell>
          <cell r="BU15">
            <v>87.633936645933076</v>
          </cell>
          <cell r="BV15">
            <v>99.973917742645654</v>
          </cell>
          <cell r="BY15">
            <v>94209743.724134028</v>
          </cell>
          <cell r="BZ15">
            <v>109011691.5051987</v>
          </cell>
          <cell r="CA15">
            <v>125076232.29785892</v>
          </cell>
          <cell r="CB15">
            <v>144194000.697714</v>
          </cell>
          <cell r="CC15">
            <v>167838673.42850778</v>
          </cell>
          <cell r="CD15">
            <v>740.50465402443717</v>
          </cell>
          <cell r="CE15">
            <v>803.99391466423356</v>
          </cell>
          <cell r="CF15">
            <v>865.95249249082565</v>
          </cell>
          <cell r="CG15">
            <v>926.23000023978341</v>
          </cell>
          <cell r="CH15">
            <v>987.03706083510633</v>
          </cell>
          <cell r="CI15">
            <v>61.779295718312859</v>
          </cell>
          <cell r="CJ15">
            <v>70.518499574843275</v>
          </cell>
          <cell r="CK15">
            <v>79.935771877818908</v>
          </cell>
          <cell r="CL15">
            <v>91.145608254770607</v>
          </cell>
          <cell r="CM15">
            <v>104.62542938779866</v>
          </cell>
        </row>
        <row r="24">
          <cell r="I24">
            <v>16994.187069219177</v>
          </cell>
          <cell r="J24">
            <v>20310.298062107573</v>
          </cell>
          <cell r="K24">
            <v>24327.795359559917</v>
          </cell>
          <cell r="L24">
            <v>29165.854415463204</v>
          </cell>
          <cell r="M24">
            <v>35066.582579837086</v>
          </cell>
          <cell r="N24">
            <v>0.12952764196510827</v>
          </cell>
          <cell r="O24">
            <v>0.14694782406105178</v>
          </cell>
          <cell r="P24">
            <v>0.16699156083116731</v>
          </cell>
          <cell r="Q24">
            <v>0.18760420110445383</v>
          </cell>
          <cell r="R24">
            <v>0.20836357045192927</v>
          </cell>
          <cell r="S24">
            <v>1.1116758752294691E-2</v>
          </cell>
          <cell r="T24">
            <v>1.3104751856321732E-2</v>
          </cell>
          <cell r="U24">
            <v>1.5505617547210637E-2</v>
          </cell>
          <cell r="V24">
            <v>1.8382543065214627E-2</v>
          </cell>
          <cell r="W24">
            <v>2.1791921643019203E-2</v>
          </cell>
          <cell r="Z24">
            <v>16994.187069219177</v>
          </cell>
          <cell r="AA24">
            <v>20310.298062107573</v>
          </cell>
          <cell r="AB24">
            <v>24327.795359559917</v>
          </cell>
          <cell r="AC24">
            <v>29165.854415463204</v>
          </cell>
          <cell r="AD24">
            <v>35066.582579837086</v>
          </cell>
          <cell r="AE24">
            <v>0.12952764196510827</v>
          </cell>
          <cell r="AF24">
            <v>0.14694782406105178</v>
          </cell>
          <cell r="AG24">
            <v>0.16699156083116731</v>
          </cell>
          <cell r="AH24">
            <v>0.18760420110445383</v>
          </cell>
          <cell r="AI24">
            <v>0.20836357045192927</v>
          </cell>
          <cell r="AJ24">
            <v>1.1116758752294691E-2</v>
          </cell>
          <cell r="AK24">
            <v>1.3104751856321732E-2</v>
          </cell>
          <cell r="AL24">
            <v>1.5505617547210637E-2</v>
          </cell>
          <cell r="AM24">
            <v>1.8382543065214627E-2</v>
          </cell>
          <cell r="AN24">
            <v>2.1791921643019203E-2</v>
          </cell>
          <cell r="AQ24">
            <v>20385.317366125917</v>
          </cell>
          <cell r="AR24">
            <v>23818.998846408067</v>
          </cell>
          <cell r="AS24">
            <v>27968.002249255991</v>
          </cell>
          <cell r="AT24">
            <v>32948.611806959772</v>
          </cell>
          <cell r="AU24">
            <v>38997.472750784662</v>
          </cell>
          <cell r="AV24">
            <v>0.16149314495724837</v>
          </cell>
          <cell r="AW24">
            <v>0.17883986863983076</v>
          </cell>
          <cell r="AX24">
            <v>0.19886167874518454</v>
          </cell>
          <cell r="AY24">
            <v>0.21891520799417852</v>
          </cell>
          <cell r="AZ24">
            <v>0.23854262724679873</v>
          </cell>
          <cell r="BA24">
            <v>1.3345356950516536E-2</v>
          </cell>
          <cell r="BB24">
            <v>1.5380686764472368E-2</v>
          </cell>
          <cell r="BC24">
            <v>1.7839970219271653E-2</v>
          </cell>
          <cell r="BD24">
            <v>2.0783652649889017E-2</v>
          </cell>
          <cell r="BE24">
            <v>2.4254888752303843E-2</v>
          </cell>
          <cell r="BH24">
            <v>20385.317366125917</v>
          </cell>
          <cell r="BI24">
            <v>23818.998846408067</v>
          </cell>
          <cell r="BJ24">
            <v>27968.002249255991</v>
          </cell>
          <cell r="BK24">
            <v>32948.611806959772</v>
          </cell>
          <cell r="BL24">
            <v>38997.472750784662</v>
          </cell>
          <cell r="BM24">
            <v>0.16149314495724837</v>
          </cell>
          <cell r="BN24">
            <v>0.17883986863983076</v>
          </cell>
          <cell r="BO24">
            <v>0.19886167874518454</v>
          </cell>
          <cell r="BP24">
            <v>0.21891520799417852</v>
          </cell>
          <cell r="BQ24">
            <v>0.23854262724679873</v>
          </cell>
          <cell r="BR24">
            <v>1.3345356950516536E-2</v>
          </cell>
          <cell r="BS24">
            <v>1.5380686764472368E-2</v>
          </cell>
          <cell r="BT24">
            <v>1.7839970219271653E-2</v>
          </cell>
          <cell r="BU24">
            <v>2.0783652649889017E-2</v>
          </cell>
          <cell r="BV24">
            <v>2.4254888752303843E-2</v>
          </cell>
          <cell r="BY24">
            <v>20810.6706126227</v>
          </cell>
          <cell r="BZ24">
            <v>24559.263878793899</v>
          </cell>
          <cell r="CA24">
            <v>29096.03938828484</v>
          </cell>
          <cell r="CB24">
            <v>34530.544610004661</v>
          </cell>
          <cell r="CC24">
            <v>41103.557499227441</v>
          </cell>
          <cell r="CD24">
            <v>0.16357542046968715</v>
          </cell>
          <cell r="CE24">
            <v>0.1811319358001317</v>
          </cell>
          <cell r="CF24">
            <v>0.20144345066211114</v>
          </cell>
          <cell r="CG24">
            <v>0.22180691421034635</v>
          </cell>
          <cell r="CH24">
            <v>0.24172459037687566</v>
          </cell>
          <cell r="CI24">
            <v>1.364687476104732E-2</v>
          </cell>
          <cell r="CJ24">
            <v>1.5887125642047292E-2</v>
          </cell>
          <cell r="CK24">
            <v>1.859517451366165E-2</v>
          </cell>
          <cell r="CL24">
            <v>2.1826896241302927E-2</v>
          </cell>
          <cell r="CM24">
            <v>2.5622684360375177E-2</v>
          </cell>
        </row>
        <row r="33">
          <cell r="I33">
            <v>1139.2941862183532</v>
          </cell>
          <cell r="J33">
            <v>1167.8221126412611</v>
          </cell>
          <cell r="K33">
            <v>1197.0643783417979</v>
          </cell>
          <cell r="L33">
            <v>49.081554815019068</v>
          </cell>
          <cell r="M33">
            <v>0</v>
          </cell>
          <cell r="N33">
            <v>8.6835627290879625E-3</v>
          </cell>
          <cell r="O33">
            <v>8.4493549931293419E-3</v>
          </cell>
          <cell r="P33">
            <v>8.2169241396604694E-3</v>
          </cell>
          <cell r="Q33">
            <v>3.1570842221423991E-4</v>
          </cell>
          <cell r="R33">
            <v>0</v>
          </cell>
          <cell r="S33">
            <v>7.4527004819320596E-4</v>
          </cell>
          <cell r="T33">
            <v>7.5351031046863213E-4</v>
          </cell>
          <cell r="U33">
            <v>7.6296360420770749E-4</v>
          </cell>
          <cell r="V33">
            <v>3.0934934469686824E-5</v>
          </cell>
          <cell r="W33">
            <v>0</v>
          </cell>
          <cell r="Z33">
            <v>1139.2941862183532</v>
          </cell>
          <cell r="AA33">
            <v>1167.8221126412611</v>
          </cell>
          <cell r="AB33">
            <v>1197.0643783417979</v>
          </cell>
          <cell r="AC33">
            <v>49.081554815019068</v>
          </cell>
          <cell r="AD33">
            <v>0</v>
          </cell>
          <cell r="AE33">
            <v>8.6835627290879625E-3</v>
          </cell>
          <cell r="AF33">
            <v>8.4493549931293419E-3</v>
          </cell>
          <cell r="AG33">
            <v>8.2169241396604694E-3</v>
          </cell>
          <cell r="AH33">
            <v>3.1570842221423991E-4</v>
          </cell>
          <cell r="AI33">
            <v>0</v>
          </cell>
          <cell r="AJ33">
            <v>7.4527004819320596E-4</v>
          </cell>
          <cell r="AK33">
            <v>7.5351031046863213E-4</v>
          </cell>
          <cell r="AL33">
            <v>7.6296360420770749E-4</v>
          </cell>
          <cell r="AM33">
            <v>3.0934934469686824E-5</v>
          </cell>
          <cell r="AN33">
            <v>0</v>
          </cell>
          <cell r="AQ33">
            <v>1139.2941862183532</v>
          </cell>
          <cell r="AR33">
            <v>1167.8221126412611</v>
          </cell>
          <cell r="AS33">
            <v>1197.0643783417979</v>
          </cell>
          <cell r="AT33">
            <v>49.081554815019068</v>
          </cell>
          <cell r="AU33">
            <v>0</v>
          </cell>
          <cell r="AV33">
            <v>9.0255254730368939E-3</v>
          </cell>
          <cell r="AW33">
            <v>8.7683430595131024E-3</v>
          </cell>
          <cell r="AX33">
            <v>8.5115207629620129E-3</v>
          </cell>
          <cell r="AY33">
            <v>3.2610474893324514E-4</v>
          </cell>
          <cell r="AZ33">
            <v>0</v>
          </cell>
          <cell r="BA33">
            <v>7.4584502726442691E-4</v>
          </cell>
          <cell r="BB33">
            <v>7.5409996142085042E-4</v>
          </cell>
          <cell r="BC33">
            <v>7.635723377681262E-4</v>
          </cell>
          <cell r="BD33">
            <v>3.0960150696739472E-5</v>
          </cell>
          <cell r="BE33">
            <v>0</v>
          </cell>
          <cell r="BH33">
            <v>1078.5757823769443</v>
          </cell>
          <cell r="BI33">
            <v>1056.847648010154</v>
          </cell>
          <cell r="BJ33">
            <v>1036.880017638113</v>
          </cell>
          <cell r="BK33">
            <v>40.446649583329467</v>
          </cell>
          <cell r="BL33">
            <v>0</v>
          </cell>
          <cell r="BM33">
            <v>8.5445123096398266E-3</v>
          </cell>
          <cell r="BN33">
            <v>7.9351149794842212E-3</v>
          </cell>
          <cell r="BO33">
            <v>7.3725573649200118E-3</v>
          </cell>
          <cell r="BP33">
            <v>2.6873322487995998E-4</v>
          </cell>
          <cell r="BQ33">
            <v>0</v>
          </cell>
          <cell r="BR33">
            <v>7.0609539971750932E-4</v>
          </cell>
          <cell r="BS33">
            <v>6.8244021239645034E-4</v>
          </cell>
          <cell r="BT33">
            <v>6.6139542148077048E-4</v>
          </cell>
          <cell r="BU33">
            <v>2.5513339400057241E-5</v>
          </cell>
          <cell r="BV33">
            <v>0</v>
          </cell>
          <cell r="BY33">
            <v>1066.5574938187176</v>
          </cell>
          <cell r="BZ33">
            <v>1055.1844317691066</v>
          </cell>
          <cell r="CA33">
            <v>1044.2525442754786</v>
          </cell>
          <cell r="CB33">
            <v>41.02602937191665</v>
          </cell>
          <cell r="CC33">
            <v>0</v>
          </cell>
          <cell r="CD33">
            <v>8.3833238127690272E-3</v>
          </cell>
          <cell r="CE33">
            <v>7.7823016070743285E-3</v>
          </cell>
          <cell r="CF33">
            <v>7.2297756087806014E-3</v>
          </cell>
          <cell r="CG33">
            <v>2.6353065322495177E-4</v>
          </cell>
          <cell r="CH33">
            <v>0</v>
          </cell>
          <cell r="CI33">
            <v>6.994092989378298E-4</v>
          </cell>
          <cell r="CJ33">
            <v>6.8258754520419875E-4</v>
          </cell>
          <cell r="CK33">
            <v>6.6737805919235018E-4</v>
          </cell>
          <cell r="CL33">
            <v>2.5932718305115378E-5</v>
          </cell>
          <cell r="CM33">
            <v>0</v>
          </cell>
        </row>
        <row r="42">
          <cell r="I42">
            <v>545.22082167927545</v>
          </cell>
          <cell r="J42">
            <v>882.58729674038591</v>
          </cell>
          <cell r="K42">
            <v>1292.7737171513968</v>
          </cell>
          <cell r="L42">
            <v>1780.5736349503923</v>
          </cell>
          <cell r="M42">
            <v>2366.74986436675</v>
          </cell>
          <cell r="N42">
            <v>4.1556072729308918E-3</v>
          </cell>
          <cell r="O42">
            <v>6.3856415303866453E-3</v>
          </cell>
          <cell r="P42">
            <v>8.8738949682009745E-3</v>
          </cell>
          <cell r="Q42">
            <v>1.1453225046457689E-2</v>
          </cell>
          <cell r="R42">
            <v>1.4063088439921949E-2</v>
          </cell>
          <cell r="S42">
            <v>3.5665656242625282E-4</v>
          </cell>
          <cell r="T42">
            <v>5.6946911758538486E-4</v>
          </cell>
          <cell r="U42">
            <v>8.2396512042996869E-4</v>
          </cell>
          <cell r="V42">
            <v>1.1222531340589735E-3</v>
          </cell>
          <cell r="W42">
            <v>1.4708027928151235E-3</v>
          </cell>
          <cell r="Z42">
            <v>545.22082167927545</v>
          </cell>
          <cell r="AA42">
            <v>882.58729674038591</v>
          </cell>
          <cell r="AB42">
            <v>1292.7737171513968</v>
          </cell>
          <cell r="AC42">
            <v>1780.5736349503923</v>
          </cell>
          <cell r="AD42">
            <v>2366.74986436675</v>
          </cell>
          <cell r="AE42">
            <v>4.1556072729308918E-3</v>
          </cell>
          <cell r="AF42">
            <v>6.3856415303866453E-3</v>
          </cell>
          <cell r="AG42">
            <v>8.8738949682009745E-3</v>
          </cell>
          <cell r="AH42">
            <v>1.1453225046457689E-2</v>
          </cell>
          <cell r="AI42">
            <v>1.4063088439921949E-2</v>
          </cell>
          <cell r="AJ42">
            <v>3.5665656242625282E-4</v>
          </cell>
          <cell r="AK42">
            <v>5.6946911758538486E-4</v>
          </cell>
          <cell r="AL42">
            <v>8.2396512042996869E-4</v>
          </cell>
          <cell r="AM42">
            <v>1.1222531340589735E-3</v>
          </cell>
          <cell r="AN42">
            <v>1.4708027928151235E-3</v>
          </cell>
          <cell r="AQ42">
            <v>545.22082167927545</v>
          </cell>
          <cell r="AR42">
            <v>882.58729674038591</v>
          </cell>
          <cell r="AS42">
            <v>1292.7737171513968</v>
          </cell>
          <cell r="AT42">
            <v>1780.5736349503923</v>
          </cell>
          <cell r="AU42">
            <v>2366.74986436675</v>
          </cell>
          <cell r="AV42">
            <v>4.3192570224818852E-3</v>
          </cell>
          <cell r="AW42">
            <v>6.6267183280894551E-3</v>
          </cell>
          <cell r="AX42">
            <v>9.1920455862097954E-3</v>
          </cell>
          <cell r="AY42">
            <v>1.1830381502196669E-2</v>
          </cell>
          <cell r="AZ42">
            <v>1.4477110716634567E-2</v>
          </cell>
          <cell r="BA42">
            <v>3.5693172450945455E-4</v>
          </cell>
          <cell r="BB42">
            <v>5.699147491882681E-4</v>
          </cell>
          <cell r="BC42">
            <v>8.2462252429386733E-4</v>
          </cell>
          <cell r="BD42">
            <v>1.1231679247421964E-3</v>
          </cell>
          <cell r="BE42">
            <v>1.4720249958656794E-3</v>
          </cell>
          <cell r="BH42">
            <v>516.9008520265769</v>
          </cell>
          <cell r="BI42">
            <v>801.44431473042039</v>
          </cell>
          <cell r="BJ42">
            <v>1126.152887543793</v>
          </cell>
          <cell r="BK42">
            <v>1480.319607917166</v>
          </cell>
          <cell r="BL42">
            <v>1886.3303813326913</v>
          </cell>
          <cell r="BM42">
            <v>4.0949053049114817E-3</v>
          </cell>
          <cell r="BN42">
            <v>6.0174735677499692E-3</v>
          </cell>
          <cell r="BO42">
            <v>8.0073167809707694E-3</v>
          </cell>
          <cell r="BP42">
            <v>9.8354515438673108E-3</v>
          </cell>
          <cell r="BQ42">
            <v>1.1538445270392609E-2</v>
          </cell>
          <cell r="BR42">
            <v>3.3839190503766759E-4</v>
          </cell>
          <cell r="BS42">
            <v>5.1751813934424427E-4</v>
          </cell>
          <cell r="BT42">
            <v>7.1833997284030172E-4</v>
          </cell>
          <cell r="BU42">
            <v>9.3377070700354804E-4</v>
          </cell>
          <cell r="BV42">
            <v>1.1732230404185547E-3</v>
          </cell>
          <cell r="BY42">
            <v>528.75116937372582</v>
          </cell>
          <cell r="BZ42">
            <v>827.57784057545268</v>
          </cell>
          <cell r="CA42">
            <v>1172.7795895967452</v>
          </cell>
          <cell r="CB42">
            <v>1552.4383189798259</v>
          </cell>
          <cell r="CC42">
            <v>1989.0650206294997</v>
          </cell>
          <cell r="CD42">
            <v>4.1560743747337528E-3</v>
          </cell>
          <cell r="CE42">
            <v>6.1036347436357339E-3</v>
          </cell>
          <cell r="CF42">
            <v>8.1196194520408004E-3</v>
          </cell>
          <cell r="CG42">
            <v>9.9720857844519829E-3</v>
          </cell>
          <cell r="CH42">
            <v>1.1697428558432551E-2</v>
          </cell>
          <cell r="CI42">
            <v>3.4673563012543266E-4</v>
          </cell>
          <cell r="CJ42">
            <v>5.3535127097800001E-4</v>
          </cell>
          <cell r="CK42">
            <v>7.4951923330818357E-4</v>
          </cell>
          <cell r="CL42">
            <v>9.8130251034551593E-4</v>
          </cell>
          <cell r="CM42">
            <v>1.2399215127987578E-3</v>
          </cell>
        </row>
        <row r="51">
          <cell r="N51">
            <v>625.48280117485319</v>
          </cell>
          <cell r="O51">
            <v>660.56530225095571</v>
          </cell>
          <cell r="P51">
            <v>695.81958289551949</v>
          </cell>
          <cell r="Q51">
            <v>729.7094078821093</v>
          </cell>
          <cell r="R51">
            <v>762.63872643360389</v>
          </cell>
          <cell r="S51">
            <v>53.682297453105939</v>
          </cell>
          <cell r="T51">
            <v>58.908965996654985</v>
          </cell>
          <cell r="U51">
            <v>64.608728013181562</v>
          </cell>
          <cell r="V51">
            <v>71.501141960123661</v>
          </cell>
          <cell r="W51">
            <v>79.761367749297818</v>
          </cell>
          <cell r="AE51">
            <v>625.48280117485319</v>
          </cell>
          <cell r="AF51">
            <v>660.56530225095571</v>
          </cell>
          <cell r="AG51">
            <v>695.81958289551949</v>
          </cell>
          <cell r="AH51">
            <v>729.7094078821093</v>
          </cell>
          <cell r="AI51">
            <v>762.63872643360389</v>
          </cell>
          <cell r="AJ51">
            <v>53.682297453105939</v>
          </cell>
          <cell r="AK51">
            <v>58.908965996654985</v>
          </cell>
          <cell r="AL51">
            <v>64.608728013181562</v>
          </cell>
          <cell r="AM51">
            <v>71.501141960123661</v>
          </cell>
          <cell r="AN51">
            <v>79.761367749297818</v>
          </cell>
          <cell r="AV51">
            <v>705.21457739851269</v>
          </cell>
          <cell r="AW51">
            <v>739.45320819573897</v>
          </cell>
          <cell r="AX51">
            <v>773.13364734791674</v>
          </cell>
          <cell r="AY51">
            <v>803.13185490162141</v>
          </cell>
          <cell r="AZ51">
            <v>831.90801683743189</v>
          </cell>
          <cell r="BA51">
            <v>58.277026338066918</v>
          </cell>
          <cell r="BB51">
            <v>63.594869861751853</v>
          </cell>
          <cell r="BC51">
            <v>69.358165591457364</v>
          </cell>
          <cell r="BD51">
            <v>76.248761597139676</v>
          </cell>
          <cell r="BE51">
            <v>84.587969175276243</v>
          </cell>
          <cell r="BM51">
            <v>739.49193287947105</v>
          </cell>
          <cell r="BN51">
            <v>802.38476038721126</v>
          </cell>
          <cell r="BO51">
            <v>863.62535990827803</v>
          </cell>
          <cell r="BP51">
            <v>923.28146793796839</v>
          </cell>
          <cell r="BQ51">
            <v>983.47623552028131</v>
          </cell>
          <cell r="BR51">
            <v>61.10961433636389</v>
          </cell>
          <cell r="BS51">
            <v>69.00714453641298</v>
          </cell>
          <cell r="BT51">
            <v>77.476217633230291</v>
          </cell>
          <cell r="BU51">
            <v>87.655679582629375</v>
          </cell>
          <cell r="BV51">
            <v>99.99934585443836</v>
          </cell>
          <cell r="CD51">
            <v>740.68076884309426</v>
          </cell>
          <cell r="CE51">
            <v>804.1889325363843</v>
          </cell>
          <cell r="CF51">
            <v>866.16928533654846</v>
          </cell>
          <cell r="CG51">
            <v>926.46204277043148</v>
          </cell>
          <cell r="CH51">
            <v>987.29048285404156</v>
          </cell>
          <cell r="CI51">
            <v>61.793988738002966</v>
          </cell>
          <cell r="CJ51">
            <v>70.535604639301496</v>
          </cell>
          <cell r="CK51">
            <v>79.955783949625058</v>
          </cell>
          <cell r="CL51">
            <v>91.168442386240571</v>
          </cell>
          <cell r="CM51">
            <v>104.65229199367184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4">
          <cell r="AA4">
            <v>2027</v>
          </cell>
        </row>
        <row r="5">
          <cell r="AA5">
            <v>2028</v>
          </cell>
        </row>
        <row r="6">
          <cell r="AA6">
            <v>2029</v>
          </cell>
        </row>
        <row r="7">
          <cell r="AA7">
            <v>2030</v>
          </cell>
        </row>
        <row r="8">
          <cell r="AA8">
            <v>2031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A44A9-859E-4440-BA5D-AB8284365762}">
  <dimension ref="A1:S42"/>
  <sheetViews>
    <sheetView tabSelected="1" workbookViewId="0">
      <selection sqref="A1:A1048576"/>
    </sheetView>
  </sheetViews>
  <sheetFormatPr defaultRowHeight="14.5" x14ac:dyDescent="0.35"/>
  <cols>
    <col min="1" max="1" width="35.7265625" customWidth="1"/>
    <col min="2" max="2" width="2.7265625" customWidth="1"/>
    <col min="3" max="7" width="14.7265625" customWidth="1"/>
    <col min="8" max="8" width="2.7265625" customWidth="1"/>
    <col min="14" max="14" width="2.7265625" customWidth="1"/>
  </cols>
  <sheetData>
    <row r="1" spans="1:19" ht="15" thickBot="1" x14ac:dyDescent="0.4">
      <c r="A1" s="1"/>
      <c r="C1" s="2" t="s">
        <v>0</v>
      </c>
      <c r="D1" s="3"/>
      <c r="E1" s="3"/>
      <c r="F1" s="4"/>
      <c r="G1" s="5"/>
      <c r="I1" s="6" t="s">
        <v>1</v>
      </c>
      <c r="J1" s="7"/>
      <c r="K1" s="7"/>
      <c r="L1" s="7"/>
      <c r="M1" s="8"/>
      <c r="O1" s="9" t="s">
        <v>2</v>
      </c>
      <c r="P1" s="10"/>
      <c r="Q1" s="10"/>
      <c r="R1" s="10"/>
      <c r="S1" s="11"/>
    </row>
    <row r="2" spans="1:19" ht="30.25" customHeight="1" thickBot="1" x14ac:dyDescent="0.4">
      <c r="A2" s="12" t="str">
        <f>'[1]Rate Build-up'!$I$6</f>
        <v>Pre-Shift</v>
      </c>
      <c r="C2" s="13">
        <f>[1]Tables!$AA$4</f>
        <v>2027</v>
      </c>
      <c r="D2" s="14">
        <f>[1]Tables!$AA$5</f>
        <v>2028</v>
      </c>
      <c r="E2" s="14">
        <f>[1]Tables!$AA$6</f>
        <v>2029</v>
      </c>
      <c r="F2" s="14">
        <f>[1]Tables!$AA$7</f>
        <v>2030</v>
      </c>
      <c r="G2" s="15">
        <f>[1]Tables!$AA$8</f>
        <v>2031</v>
      </c>
      <c r="I2" s="16">
        <f>[1]Tables!$AA$4</f>
        <v>2027</v>
      </c>
      <c r="J2" s="17">
        <f>[1]Tables!$AA$5</f>
        <v>2028</v>
      </c>
      <c r="K2" s="17">
        <f>[1]Tables!$AA$6</f>
        <v>2029</v>
      </c>
      <c r="L2" s="17">
        <f>[1]Tables!$AA$7</f>
        <v>2030</v>
      </c>
      <c r="M2" s="18">
        <f>[1]Tables!$AA$8</f>
        <v>2031</v>
      </c>
      <c r="O2" s="19">
        <f>[1]Tables!$AA$4</f>
        <v>2027</v>
      </c>
      <c r="P2" s="20">
        <f>[1]Tables!$AA$5</f>
        <v>2028</v>
      </c>
      <c r="Q2" s="20">
        <f>[1]Tables!$AA$6</f>
        <v>2029</v>
      </c>
      <c r="R2" s="20">
        <f>[1]Tables!$AA$7</f>
        <v>2030</v>
      </c>
      <c r="S2" s="21">
        <f>[1]Tables!$AA$8</f>
        <v>2031</v>
      </c>
    </row>
    <row r="3" spans="1:19" x14ac:dyDescent="0.35">
      <c r="A3" s="22" t="s">
        <v>3</v>
      </c>
      <c r="C3" s="23">
        <f ca="1">'[1]Rate Build-up'!I15</f>
        <v>82045439.585570231</v>
      </c>
      <c r="D3" s="23">
        <f ca="1">'[1]Rate Build-up'!J15</f>
        <v>91277243.515515089</v>
      </c>
      <c r="E3" s="23">
        <f ca="1">'[1]Rate Build-up'!K15</f>
        <v>101342115.83600886</v>
      </c>
      <c r="F3" s="23">
        <f ca="1">'[1]Rate Build-up'!L15</f>
        <v>113413150.36020811</v>
      </c>
      <c r="G3" s="23">
        <f ca="1">'[1]Rate Build-up'!M15</f>
        <v>128310981.0331829</v>
      </c>
      <c r="I3" s="23">
        <f ca="1">'[1]Rate Build-up'!N15</f>
        <v>625.34043436288607</v>
      </c>
      <c r="J3" s="23">
        <f ca="1">'[1]Rate Build-up'!O15</f>
        <v>660.40351943037126</v>
      </c>
      <c r="K3" s="23">
        <f ca="1">'[1]Rate Build-up'!P15</f>
        <v>695.63550051558047</v>
      </c>
      <c r="L3" s="23">
        <f ca="1">'[1]Rate Build-up'!Q15</f>
        <v>729.51003474753611</v>
      </c>
      <c r="M3" s="23">
        <f ca="1">'[1]Rate Build-up'!R15</f>
        <v>762.416299774712</v>
      </c>
      <c r="O3" s="23">
        <f ca="1">'[1]Rate Build-up'!S15</f>
        <v>53.670078767743021</v>
      </c>
      <c r="P3" s="23">
        <f ca="1">'[1]Rate Build-up'!T15</f>
        <v>58.89453826537062</v>
      </c>
      <c r="Q3" s="23">
        <f ca="1">'[1]Rate Build-up'!U15</f>
        <v>64.591635466909722</v>
      </c>
      <c r="R3" s="23">
        <f ca="1">'[1]Rate Build-up'!V15</f>
        <v>71.481606228989904</v>
      </c>
      <c r="S3" s="23">
        <f ca="1">'[1]Rate Build-up'!W15</f>
        <v>79.73810502486198</v>
      </c>
    </row>
    <row r="4" spans="1:19" x14ac:dyDescent="0.35">
      <c r="A4" s="24" t="s">
        <v>4</v>
      </c>
      <c r="C4" s="23">
        <f ca="1">'[1]Rate Build-up'!I24</f>
        <v>16994.187069219177</v>
      </c>
      <c r="D4" s="23">
        <f ca="1">'[1]Rate Build-up'!J24</f>
        <v>20310.298062107573</v>
      </c>
      <c r="E4" s="23">
        <f ca="1">'[1]Rate Build-up'!K24</f>
        <v>24327.795359559917</v>
      </c>
      <c r="F4" s="23">
        <f ca="1">'[1]Rate Build-up'!L24</f>
        <v>29165.854415463204</v>
      </c>
      <c r="G4" s="23">
        <f ca="1">'[1]Rate Build-up'!M24</f>
        <v>35066.582579837086</v>
      </c>
      <c r="I4" s="23">
        <f ca="1">'[1]Rate Build-up'!N24</f>
        <v>0.12952764196510827</v>
      </c>
      <c r="J4" s="23">
        <f ca="1">'[1]Rate Build-up'!O24</f>
        <v>0.14694782406105178</v>
      </c>
      <c r="K4" s="23">
        <f ca="1">'[1]Rate Build-up'!P24</f>
        <v>0.16699156083116731</v>
      </c>
      <c r="L4" s="23">
        <f ca="1">'[1]Rate Build-up'!Q24</f>
        <v>0.18760420110445383</v>
      </c>
      <c r="M4" s="23">
        <f ca="1">'[1]Rate Build-up'!R24</f>
        <v>0.20836357045192927</v>
      </c>
      <c r="O4" s="23">
        <f ca="1">'[1]Rate Build-up'!S24</f>
        <v>1.1116758752294691E-2</v>
      </c>
      <c r="P4" s="23">
        <f ca="1">'[1]Rate Build-up'!T24</f>
        <v>1.3104751856321732E-2</v>
      </c>
      <c r="Q4" s="23">
        <f ca="1">'[1]Rate Build-up'!U24</f>
        <v>1.5505617547210637E-2</v>
      </c>
      <c r="R4" s="23">
        <f ca="1">'[1]Rate Build-up'!V24</f>
        <v>1.8382543065214627E-2</v>
      </c>
      <c r="S4" s="23">
        <f ca="1">'[1]Rate Build-up'!W24</f>
        <v>2.1791921643019203E-2</v>
      </c>
    </row>
    <row r="5" spans="1:19" x14ac:dyDescent="0.35">
      <c r="A5" s="24" t="s">
        <v>5</v>
      </c>
      <c r="C5" s="23">
        <f ca="1">'[1]Rate Build-up'!I33</f>
        <v>1139.2941862183532</v>
      </c>
      <c r="D5" s="23">
        <f ca="1">'[1]Rate Build-up'!J33</f>
        <v>1167.8221126412611</v>
      </c>
      <c r="E5" s="23">
        <f ca="1">'[1]Rate Build-up'!K33</f>
        <v>1197.0643783417979</v>
      </c>
      <c r="F5" s="23">
        <f ca="1">'[1]Rate Build-up'!L33</f>
        <v>49.081554815019068</v>
      </c>
      <c r="G5" s="23">
        <f ca="1">'[1]Rate Build-up'!M33</f>
        <v>0</v>
      </c>
      <c r="I5" s="23">
        <f ca="1">'[1]Rate Build-up'!N33</f>
        <v>8.6835627290879625E-3</v>
      </c>
      <c r="J5" s="23">
        <f ca="1">'[1]Rate Build-up'!O33</f>
        <v>8.4493549931293419E-3</v>
      </c>
      <c r="K5" s="23">
        <f ca="1">'[1]Rate Build-up'!P33</f>
        <v>8.2169241396604694E-3</v>
      </c>
      <c r="L5" s="23">
        <f ca="1">'[1]Rate Build-up'!Q33</f>
        <v>3.1570842221423991E-4</v>
      </c>
      <c r="M5" s="23">
        <f ca="1">'[1]Rate Build-up'!R33</f>
        <v>0</v>
      </c>
      <c r="O5" s="23">
        <f ca="1">'[1]Rate Build-up'!S33</f>
        <v>7.4527004819320596E-4</v>
      </c>
      <c r="P5" s="23">
        <f ca="1">'[1]Rate Build-up'!T33</f>
        <v>7.5351031046863213E-4</v>
      </c>
      <c r="Q5" s="23">
        <f ca="1">'[1]Rate Build-up'!U33</f>
        <v>7.6296360420770749E-4</v>
      </c>
      <c r="R5" s="23">
        <f ca="1">'[1]Rate Build-up'!V33</f>
        <v>3.0934934469686824E-5</v>
      </c>
      <c r="S5" s="23">
        <f ca="1">'[1]Rate Build-up'!W33</f>
        <v>0</v>
      </c>
    </row>
    <row r="6" spans="1:19" ht="15" thickBot="1" x14ac:dyDescent="0.4">
      <c r="A6" s="25" t="s">
        <v>6</v>
      </c>
      <c r="C6" s="23">
        <f ca="1">'[1]Rate Build-up'!I42</f>
        <v>545.22082167927545</v>
      </c>
      <c r="D6" s="23">
        <f ca="1">'[1]Rate Build-up'!J42</f>
        <v>882.58729674038591</v>
      </c>
      <c r="E6" s="23">
        <f ca="1">'[1]Rate Build-up'!K42</f>
        <v>1292.7737171513968</v>
      </c>
      <c r="F6" s="23">
        <f ca="1">'[1]Rate Build-up'!L42</f>
        <v>1780.5736349503923</v>
      </c>
      <c r="G6" s="23">
        <f ca="1">'[1]Rate Build-up'!M42</f>
        <v>2366.74986436675</v>
      </c>
      <c r="I6" s="23">
        <f ca="1">'[1]Rate Build-up'!N42</f>
        <v>4.1556072729308918E-3</v>
      </c>
      <c r="J6" s="23">
        <f ca="1">'[1]Rate Build-up'!O42</f>
        <v>6.3856415303866453E-3</v>
      </c>
      <c r="K6" s="23">
        <f ca="1">'[1]Rate Build-up'!P42</f>
        <v>8.8738949682009745E-3</v>
      </c>
      <c r="L6" s="23">
        <f ca="1">'[1]Rate Build-up'!Q42</f>
        <v>1.1453225046457689E-2</v>
      </c>
      <c r="M6" s="23">
        <f ca="1">'[1]Rate Build-up'!R42</f>
        <v>1.4063088439921949E-2</v>
      </c>
      <c r="O6" s="23">
        <f ca="1">'[1]Rate Build-up'!S42</f>
        <v>3.5665656242625282E-4</v>
      </c>
      <c r="P6" s="23">
        <f ca="1">'[1]Rate Build-up'!T42</f>
        <v>5.6946911758538486E-4</v>
      </c>
      <c r="Q6" s="23">
        <f ca="1">'[1]Rate Build-up'!U42</f>
        <v>8.2396512042996869E-4</v>
      </c>
      <c r="R6" s="23">
        <f ca="1">'[1]Rate Build-up'!V42</f>
        <v>1.1222531340589735E-3</v>
      </c>
      <c r="S6" s="23">
        <f ca="1">'[1]Rate Build-up'!W42</f>
        <v>1.4708027928151235E-3</v>
      </c>
    </row>
    <row r="7" spans="1:19" ht="15" thickBot="1" x14ac:dyDescent="0.4">
      <c r="A7" s="26" t="s">
        <v>7</v>
      </c>
      <c r="C7" s="27">
        <f ca="1">SUM(C3:C6)</f>
        <v>82064118.287647352</v>
      </c>
      <c r="D7" s="28">
        <f ca="1">SUM(D3:D6)</f>
        <v>91299604.222986564</v>
      </c>
      <c r="E7" s="28">
        <f ca="1">SUM(E3:E6)</f>
        <v>101368933.46946391</v>
      </c>
      <c r="F7" s="29">
        <f ca="1">SUM(F3:F6)</f>
        <v>113444145.86981334</v>
      </c>
      <c r="G7" s="30">
        <f ca="1">SUM(G3:G6)</f>
        <v>128348414.36562711</v>
      </c>
      <c r="I7" s="31">
        <f ca="1">'[1]Rate Build-up'!N51</f>
        <v>625.48280117485319</v>
      </c>
      <c r="J7" s="32">
        <f ca="1">'[1]Rate Build-up'!O51</f>
        <v>660.56530225095571</v>
      </c>
      <c r="K7" s="32">
        <f ca="1">'[1]Rate Build-up'!P51</f>
        <v>695.81958289551949</v>
      </c>
      <c r="L7" s="33">
        <f ca="1">'[1]Rate Build-up'!Q51</f>
        <v>729.7094078821093</v>
      </c>
      <c r="M7" s="34">
        <f ca="1">'[1]Rate Build-up'!R51</f>
        <v>762.63872643360389</v>
      </c>
      <c r="O7" s="35">
        <f ca="1">'[1]Rate Build-up'!S51</f>
        <v>53.682297453105939</v>
      </c>
      <c r="P7" s="36">
        <f ca="1">'[1]Rate Build-up'!T51</f>
        <v>58.908965996654985</v>
      </c>
      <c r="Q7" s="36">
        <f ca="1">'[1]Rate Build-up'!U51</f>
        <v>64.608728013181562</v>
      </c>
      <c r="R7" s="37">
        <f ca="1">'[1]Rate Build-up'!V51</f>
        <v>71.501141960123661</v>
      </c>
      <c r="S7" s="38">
        <f ca="1">'[1]Rate Build-up'!W51</f>
        <v>79.761367749297818</v>
      </c>
    </row>
    <row r="8" spans="1:19" ht="15" thickBot="1" x14ac:dyDescent="0.4"/>
    <row r="9" spans="1:19" ht="30.25" customHeight="1" thickBot="1" x14ac:dyDescent="0.4">
      <c r="A9" s="39" t="str">
        <f>'[1]Rate Build-up'!$Z$6</f>
        <v>Pre-Shift + ANNUALIZATION</v>
      </c>
    </row>
    <row r="10" spans="1:19" x14ac:dyDescent="0.35">
      <c r="A10" s="22" t="s">
        <v>3</v>
      </c>
      <c r="C10" s="23">
        <f ca="1">'[1]Rate Build-up'!Z15</f>
        <v>82045439.585570231</v>
      </c>
      <c r="D10" s="23">
        <f ca="1">'[1]Rate Build-up'!AA15</f>
        <v>91277243.515515089</v>
      </c>
      <c r="E10" s="23">
        <f ca="1">'[1]Rate Build-up'!AB15</f>
        <v>101342115.83600886</v>
      </c>
      <c r="F10" s="23">
        <f ca="1">'[1]Rate Build-up'!AC15</f>
        <v>113413150.36020811</v>
      </c>
      <c r="G10" s="23">
        <f ca="1">'[1]Rate Build-up'!AD15</f>
        <v>128310981.0331829</v>
      </c>
      <c r="I10" s="23">
        <f ca="1">'[1]Rate Build-up'!AE15</f>
        <v>625.34043436288607</v>
      </c>
      <c r="J10" s="23">
        <f ca="1">'[1]Rate Build-up'!AF15</f>
        <v>660.40351943037126</v>
      </c>
      <c r="K10" s="23">
        <f ca="1">'[1]Rate Build-up'!AG15</f>
        <v>695.63550051558047</v>
      </c>
      <c r="L10" s="23">
        <f ca="1">'[1]Rate Build-up'!AH15</f>
        <v>729.51003474753611</v>
      </c>
      <c r="M10" s="23">
        <f ca="1">'[1]Rate Build-up'!AI15</f>
        <v>762.416299774712</v>
      </c>
      <c r="O10" s="23">
        <f ca="1">'[1]Rate Build-up'!AJ15</f>
        <v>53.670078767743021</v>
      </c>
      <c r="P10" s="23">
        <f ca="1">'[1]Rate Build-up'!AK15</f>
        <v>58.89453826537062</v>
      </c>
      <c r="Q10" s="23">
        <f ca="1">'[1]Rate Build-up'!AL15</f>
        <v>64.591635466909722</v>
      </c>
      <c r="R10" s="23">
        <f ca="1">'[1]Rate Build-up'!AM15</f>
        <v>71.481606228989904</v>
      </c>
      <c r="S10" s="23">
        <f ca="1">'[1]Rate Build-up'!AN15</f>
        <v>79.73810502486198</v>
      </c>
    </row>
    <row r="11" spans="1:19" x14ac:dyDescent="0.35">
      <c r="A11" s="24" t="s">
        <v>4</v>
      </c>
      <c r="C11" s="23">
        <f ca="1">'[1]Rate Build-up'!Z24</f>
        <v>16994.187069219177</v>
      </c>
      <c r="D11" s="23">
        <f ca="1">'[1]Rate Build-up'!AA24</f>
        <v>20310.298062107573</v>
      </c>
      <c r="E11" s="23">
        <f ca="1">'[1]Rate Build-up'!AB24</f>
        <v>24327.795359559917</v>
      </c>
      <c r="F11" s="23">
        <f ca="1">'[1]Rate Build-up'!AC24</f>
        <v>29165.854415463204</v>
      </c>
      <c r="G11" s="23">
        <f ca="1">'[1]Rate Build-up'!AD24</f>
        <v>35066.582579837086</v>
      </c>
      <c r="I11" s="23">
        <f ca="1">'[1]Rate Build-up'!AE24</f>
        <v>0.12952764196510827</v>
      </c>
      <c r="J11" s="23">
        <f ca="1">'[1]Rate Build-up'!AF24</f>
        <v>0.14694782406105178</v>
      </c>
      <c r="K11" s="23">
        <f ca="1">'[1]Rate Build-up'!AG24</f>
        <v>0.16699156083116731</v>
      </c>
      <c r="L11" s="23">
        <f ca="1">'[1]Rate Build-up'!AH24</f>
        <v>0.18760420110445383</v>
      </c>
      <c r="M11" s="23">
        <f ca="1">'[1]Rate Build-up'!AI24</f>
        <v>0.20836357045192927</v>
      </c>
      <c r="O11" s="23">
        <f ca="1">'[1]Rate Build-up'!AJ24</f>
        <v>1.1116758752294691E-2</v>
      </c>
      <c r="P11" s="23">
        <f ca="1">'[1]Rate Build-up'!AK24</f>
        <v>1.3104751856321732E-2</v>
      </c>
      <c r="Q11" s="23">
        <f ca="1">'[1]Rate Build-up'!AL24</f>
        <v>1.5505617547210637E-2</v>
      </c>
      <c r="R11" s="23">
        <f ca="1">'[1]Rate Build-up'!AM24</f>
        <v>1.8382543065214627E-2</v>
      </c>
      <c r="S11" s="23">
        <f ca="1">'[1]Rate Build-up'!AN24</f>
        <v>2.1791921643019203E-2</v>
      </c>
    </row>
    <row r="12" spans="1:19" x14ac:dyDescent="0.35">
      <c r="A12" s="24" t="s">
        <v>5</v>
      </c>
      <c r="C12" s="23">
        <f ca="1">'[1]Rate Build-up'!Z33</f>
        <v>1139.2941862183532</v>
      </c>
      <c r="D12" s="23">
        <f ca="1">'[1]Rate Build-up'!AA33</f>
        <v>1167.8221126412611</v>
      </c>
      <c r="E12" s="23">
        <f ca="1">'[1]Rate Build-up'!AB33</f>
        <v>1197.0643783417979</v>
      </c>
      <c r="F12" s="23">
        <f ca="1">'[1]Rate Build-up'!AC33</f>
        <v>49.081554815019068</v>
      </c>
      <c r="G12" s="23">
        <f ca="1">'[1]Rate Build-up'!AD33</f>
        <v>0</v>
      </c>
      <c r="I12" s="23">
        <f ca="1">'[1]Rate Build-up'!AE33</f>
        <v>8.6835627290879625E-3</v>
      </c>
      <c r="J12" s="23">
        <f ca="1">'[1]Rate Build-up'!AF33</f>
        <v>8.4493549931293419E-3</v>
      </c>
      <c r="K12" s="23">
        <f ca="1">'[1]Rate Build-up'!AG33</f>
        <v>8.2169241396604694E-3</v>
      </c>
      <c r="L12" s="23">
        <f ca="1">'[1]Rate Build-up'!AH33</f>
        <v>3.1570842221423991E-4</v>
      </c>
      <c r="M12" s="23">
        <f ca="1">'[1]Rate Build-up'!AI33</f>
        <v>0</v>
      </c>
      <c r="O12" s="23">
        <f ca="1">'[1]Rate Build-up'!AJ33</f>
        <v>7.4527004819320596E-4</v>
      </c>
      <c r="P12" s="23">
        <f ca="1">'[1]Rate Build-up'!AK33</f>
        <v>7.5351031046863213E-4</v>
      </c>
      <c r="Q12" s="23">
        <f ca="1">'[1]Rate Build-up'!AL33</f>
        <v>7.6296360420770749E-4</v>
      </c>
      <c r="R12" s="23">
        <f ca="1">'[1]Rate Build-up'!AM33</f>
        <v>3.0934934469686824E-5</v>
      </c>
      <c r="S12" s="23">
        <f ca="1">'[1]Rate Build-up'!AN33</f>
        <v>0</v>
      </c>
    </row>
    <row r="13" spans="1:19" ht="15" thickBot="1" x14ac:dyDescent="0.4">
      <c r="A13" s="25" t="s">
        <v>6</v>
      </c>
      <c r="C13" s="23">
        <f ca="1">'[1]Rate Build-up'!Z42</f>
        <v>545.22082167927545</v>
      </c>
      <c r="D13" s="23">
        <f ca="1">'[1]Rate Build-up'!AA42</f>
        <v>882.58729674038591</v>
      </c>
      <c r="E13" s="23">
        <f ca="1">'[1]Rate Build-up'!AB42</f>
        <v>1292.7737171513968</v>
      </c>
      <c r="F13" s="23">
        <f ca="1">'[1]Rate Build-up'!AC42</f>
        <v>1780.5736349503923</v>
      </c>
      <c r="G13" s="23">
        <f ca="1">'[1]Rate Build-up'!AD42</f>
        <v>2366.74986436675</v>
      </c>
      <c r="I13" s="23">
        <f ca="1">'[1]Rate Build-up'!AE42</f>
        <v>4.1556072729308918E-3</v>
      </c>
      <c r="J13" s="23">
        <f ca="1">'[1]Rate Build-up'!AF42</f>
        <v>6.3856415303866453E-3</v>
      </c>
      <c r="K13" s="23">
        <f ca="1">'[1]Rate Build-up'!AG42</f>
        <v>8.8738949682009745E-3</v>
      </c>
      <c r="L13" s="23">
        <f ca="1">'[1]Rate Build-up'!AH42</f>
        <v>1.1453225046457689E-2</v>
      </c>
      <c r="M13" s="23">
        <f ca="1">'[1]Rate Build-up'!AI42</f>
        <v>1.4063088439921949E-2</v>
      </c>
      <c r="O13" s="23">
        <f ca="1">'[1]Rate Build-up'!AJ42</f>
        <v>3.5665656242625282E-4</v>
      </c>
      <c r="P13" s="23">
        <f ca="1">'[1]Rate Build-up'!AK42</f>
        <v>5.6946911758538486E-4</v>
      </c>
      <c r="Q13" s="23">
        <f ca="1">'[1]Rate Build-up'!AL42</f>
        <v>8.2396512042996869E-4</v>
      </c>
      <c r="R13" s="23">
        <f ca="1">'[1]Rate Build-up'!AM42</f>
        <v>1.1222531340589735E-3</v>
      </c>
      <c r="S13" s="23">
        <f ca="1">'[1]Rate Build-up'!AN42</f>
        <v>1.4708027928151235E-3</v>
      </c>
    </row>
    <row r="14" spans="1:19" ht="15" thickBot="1" x14ac:dyDescent="0.4">
      <c r="A14" s="26" t="s">
        <v>7</v>
      </c>
      <c r="C14" s="27">
        <f ca="1">SUM(C10:C13)</f>
        <v>82064118.287647352</v>
      </c>
      <c r="D14" s="28">
        <f ca="1">SUM(D10:D13)</f>
        <v>91299604.222986564</v>
      </c>
      <c r="E14" s="28">
        <f ca="1">SUM(E10:E13)</f>
        <v>101368933.46946391</v>
      </c>
      <c r="F14" s="29">
        <f ca="1">SUM(F10:F13)</f>
        <v>113444145.86981334</v>
      </c>
      <c r="G14" s="30">
        <f ca="1">SUM(G10:G13)</f>
        <v>128348414.36562711</v>
      </c>
      <c r="I14" s="31">
        <f ca="1">'[1]Rate Build-up'!AE51</f>
        <v>625.48280117485319</v>
      </c>
      <c r="J14" s="32">
        <f ca="1">'[1]Rate Build-up'!AF51</f>
        <v>660.56530225095571</v>
      </c>
      <c r="K14" s="32">
        <f ca="1">'[1]Rate Build-up'!AG51</f>
        <v>695.81958289551949</v>
      </c>
      <c r="L14" s="33">
        <f ca="1">'[1]Rate Build-up'!AH51</f>
        <v>729.7094078821093</v>
      </c>
      <c r="M14" s="34">
        <f ca="1">'[1]Rate Build-up'!AI51</f>
        <v>762.63872643360389</v>
      </c>
      <c r="O14" s="35">
        <f ca="1">'[1]Rate Build-up'!AJ51</f>
        <v>53.682297453105939</v>
      </c>
      <c r="P14" s="36">
        <f ca="1">'[1]Rate Build-up'!AK51</f>
        <v>58.908965996654985</v>
      </c>
      <c r="Q14" s="36">
        <f ca="1">'[1]Rate Build-up'!AL51</f>
        <v>64.608728013181562</v>
      </c>
      <c r="R14" s="37">
        <f ca="1">'[1]Rate Build-up'!AM51</f>
        <v>71.501141960123661</v>
      </c>
      <c r="S14" s="38">
        <f ca="1">'[1]Rate Build-up'!AN51</f>
        <v>79.761367749297818</v>
      </c>
    </row>
    <row r="15" spans="1:19" ht="15" thickBot="1" x14ac:dyDescent="0.4"/>
    <row r="16" spans="1:19" ht="30.25" customHeight="1" thickBot="1" x14ac:dyDescent="0.4">
      <c r="A16" s="39" t="str">
        <f>'[1]Rate Build-up'!$AQ$6</f>
        <v>Annualization + SHIFT + HEP C ADJ</v>
      </c>
    </row>
    <row r="17" spans="1:19" x14ac:dyDescent="0.35">
      <c r="A17" s="22" t="s">
        <v>3</v>
      </c>
      <c r="C17" s="23">
        <f ca="1">'[1]Rate Build-up'!AQ15</f>
        <v>88997330.807156354</v>
      </c>
      <c r="D17" s="23">
        <f ca="1">'[1]Rate Build-up'!AR15</f>
        <v>98459078.31029962</v>
      </c>
      <c r="E17" s="23">
        <f ca="1">'[1]Rate Build-up'!AS15</f>
        <v>108703430.5812103</v>
      </c>
      <c r="F17" s="23">
        <f ca="1">'[1]Rate Build-up'!AT15</f>
        <v>120843437.36460415</v>
      </c>
      <c r="G17" s="23">
        <f ca="1">'[1]Rate Build-up'!AU15</f>
        <v>135960785.9683941</v>
      </c>
      <c r="I17" s="23">
        <f ca="1">'[1]Rate Build-up'!AV15</f>
        <v>705.03973947105976</v>
      </c>
      <c r="J17" s="23">
        <f ca="1">'[1]Rate Build-up'!AW15</f>
        <v>739.25897326571146</v>
      </c>
      <c r="K17" s="23">
        <f ca="1">'[1]Rate Build-up'!AX15</f>
        <v>772.91708210282229</v>
      </c>
      <c r="L17" s="23">
        <f ca="1">'[1]Rate Build-up'!AY15</f>
        <v>802.90078320737609</v>
      </c>
      <c r="M17" s="23">
        <f ca="1">'[1]Rate Build-up'!AZ15</f>
        <v>831.65499709946846</v>
      </c>
      <c r="O17" s="23">
        <f ca="1">'[1]Rate Build-up'!BA15</f>
        <v>58.262578204364623</v>
      </c>
      <c r="P17" s="23">
        <f ca="1">'[1]Rate Build-up'!BB15</f>
        <v>63.578165160276761</v>
      </c>
      <c r="Q17" s="23">
        <f ca="1">'[1]Rate Build-up'!BC15</f>
        <v>69.338737426376028</v>
      </c>
      <c r="R17" s="23">
        <f ca="1">'[1]Rate Build-up'!BD15</f>
        <v>76.226823816414353</v>
      </c>
      <c r="S17" s="23">
        <f ca="1">'[1]Rate Build-up'!BE15</f>
        <v>84.562242261528084</v>
      </c>
    </row>
    <row r="18" spans="1:19" x14ac:dyDescent="0.35">
      <c r="A18" s="24" t="s">
        <v>4</v>
      </c>
      <c r="C18" s="23">
        <f ca="1">'[1]Rate Build-up'!AQ24</f>
        <v>20385.317366125917</v>
      </c>
      <c r="D18" s="23">
        <f ca="1">'[1]Rate Build-up'!AR24</f>
        <v>23818.998846408067</v>
      </c>
      <c r="E18" s="23">
        <f ca="1">'[1]Rate Build-up'!AS24</f>
        <v>27968.002249255991</v>
      </c>
      <c r="F18" s="23">
        <f ca="1">'[1]Rate Build-up'!AT24</f>
        <v>32948.611806959772</v>
      </c>
      <c r="G18" s="23">
        <f ca="1">'[1]Rate Build-up'!AU24</f>
        <v>38997.472750784662</v>
      </c>
      <c r="I18" s="23">
        <f ca="1">'[1]Rate Build-up'!AV24</f>
        <v>0.16149314495724837</v>
      </c>
      <c r="J18" s="23">
        <f ca="1">'[1]Rate Build-up'!AW24</f>
        <v>0.17883986863983076</v>
      </c>
      <c r="K18" s="23">
        <f ca="1">'[1]Rate Build-up'!AX24</f>
        <v>0.19886167874518454</v>
      </c>
      <c r="L18" s="23">
        <f ca="1">'[1]Rate Build-up'!AY24</f>
        <v>0.21891520799417852</v>
      </c>
      <c r="M18" s="23">
        <f ca="1">'[1]Rate Build-up'!AZ24</f>
        <v>0.23854262724679873</v>
      </c>
      <c r="O18" s="23">
        <f ca="1">'[1]Rate Build-up'!BA24</f>
        <v>1.3345356950516536E-2</v>
      </c>
      <c r="P18" s="23">
        <f ca="1">'[1]Rate Build-up'!BB24</f>
        <v>1.5380686764472368E-2</v>
      </c>
      <c r="Q18" s="23">
        <f ca="1">'[1]Rate Build-up'!BC24</f>
        <v>1.7839970219271653E-2</v>
      </c>
      <c r="R18" s="23">
        <f ca="1">'[1]Rate Build-up'!BD24</f>
        <v>2.0783652649889017E-2</v>
      </c>
      <c r="S18" s="23">
        <f ca="1">'[1]Rate Build-up'!BE24</f>
        <v>2.4254888752303843E-2</v>
      </c>
    </row>
    <row r="19" spans="1:19" x14ac:dyDescent="0.35">
      <c r="A19" s="24" t="s">
        <v>5</v>
      </c>
      <c r="C19" s="23">
        <f ca="1">'[1]Rate Build-up'!AQ33</f>
        <v>1139.2941862183532</v>
      </c>
      <c r="D19" s="23">
        <f ca="1">'[1]Rate Build-up'!AR33</f>
        <v>1167.8221126412611</v>
      </c>
      <c r="E19" s="23">
        <f ca="1">'[1]Rate Build-up'!AS33</f>
        <v>1197.0643783417979</v>
      </c>
      <c r="F19" s="23">
        <f ca="1">'[1]Rate Build-up'!AT33</f>
        <v>49.081554815019068</v>
      </c>
      <c r="G19" s="23">
        <f ca="1">'[1]Rate Build-up'!AU33</f>
        <v>0</v>
      </c>
      <c r="I19" s="23">
        <f ca="1">'[1]Rate Build-up'!AV33</f>
        <v>9.0255254730368939E-3</v>
      </c>
      <c r="J19" s="23">
        <f ca="1">'[1]Rate Build-up'!AW33</f>
        <v>8.7683430595131024E-3</v>
      </c>
      <c r="K19" s="23">
        <f ca="1">'[1]Rate Build-up'!AX33</f>
        <v>8.5115207629620129E-3</v>
      </c>
      <c r="L19" s="23">
        <f ca="1">'[1]Rate Build-up'!AY33</f>
        <v>3.2610474893324514E-4</v>
      </c>
      <c r="M19" s="23">
        <f ca="1">'[1]Rate Build-up'!AZ33</f>
        <v>0</v>
      </c>
      <c r="O19" s="23">
        <f ca="1">'[1]Rate Build-up'!BA33</f>
        <v>7.4584502726442691E-4</v>
      </c>
      <c r="P19" s="23">
        <f ca="1">'[1]Rate Build-up'!BB33</f>
        <v>7.5409996142085042E-4</v>
      </c>
      <c r="Q19" s="23">
        <f ca="1">'[1]Rate Build-up'!BC33</f>
        <v>7.635723377681262E-4</v>
      </c>
      <c r="R19" s="23">
        <f ca="1">'[1]Rate Build-up'!BD33</f>
        <v>3.0960150696739472E-5</v>
      </c>
      <c r="S19" s="23">
        <f ca="1">'[1]Rate Build-up'!BE33</f>
        <v>0</v>
      </c>
    </row>
    <row r="20" spans="1:19" ht="15" thickBot="1" x14ac:dyDescent="0.4">
      <c r="A20" s="25" t="s">
        <v>6</v>
      </c>
      <c r="C20" s="23">
        <f ca="1">'[1]Rate Build-up'!AQ42</f>
        <v>545.22082167927545</v>
      </c>
      <c r="D20" s="23">
        <f ca="1">'[1]Rate Build-up'!AR42</f>
        <v>882.58729674038591</v>
      </c>
      <c r="E20" s="23">
        <f ca="1">'[1]Rate Build-up'!AS42</f>
        <v>1292.7737171513968</v>
      </c>
      <c r="F20" s="23">
        <f ca="1">'[1]Rate Build-up'!AT42</f>
        <v>1780.5736349503923</v>
      </c>
      <c r="G20" s="23">
        <f ca="1">'[1]Rate Build-up'!AU42</f>
        <v>2366.74986436675</v>
      </c>
      <c r="I20" s="23">
        <f ca="1">'[1]Rate Build-up'!AV42</f>
        <v>4.3192570224818852E-3</v>
      </c>
      <c r="J20" s="23">
        <f ca="1">'[1]Rate Build-up'!AW42</f>
        <v>6.6267183280894551E-3</v>
      </c>
      <c r="K20" s="23">
        <f ca="1">'[1]Rate Build-up'!AX42</f>
        <v>9.1920455862097954E-3</v>
      </c>
      <c r="L20" s="23">
        <f ca="1">'[1]Rate Build-up'!AY42</f>
        <v>1.1830381502196669E-2</v>
      </c>
      <c r="M20" s="23">
        <f ca="1">'[1]Rate Build-up'!AZ42</f>
        <v>1.4477110716634567E-2</v>
      </c>
      <c r="O20" s="23">
        <f ca="1">'[1]Rate Build-up'!BA42</f>
        <v>3.5693172450945455E-4</v>
      </c>
      <c r="P20" s="23">
        <f ca="1">'[1]Rate Build-up'!BB42</f>
        <v>5.699147491882681E-4</v>
      </c>
      <c r="Q20" s="23">
        <f ca="1">'[1]Rate Build-up'!BC42</f>
        <v>8.2462252429386733E-4</v>
      </c>
      <c r="R20" s="23">
        <f ca="1">'[1]Rate Build-up'!BD42</f>
        <v>1.1231679247421964E-3</v>
      </c>
      <c r="S20" s="23">
        <f ca="1">'[1]Rate Build-up'!BE42</f>
        <v>1.4720249958656794E-3</v>
      </c>
    </row>
    <row r="21" spans="1:19" ht="15" thickBot="1" x14ac:dyDescent="0.4">
      <c r="A21" s="26" t="s">
        <v>7</v>
      </c>
      <c r="C21" s="27">
        <f ca="1">SUM(C17:C20)</f>
        <v>89019400.639530376</v>
      </c>
      <c r="D21" s="28">
        <f ca="1">SUM(D17:D20)</f>
        <v>98484947.718555406</v>
      </c>
      <c r="E21" s="28">
        <f ca="1">SUM(E17:E20)</f>
        <v>108733888.42155504</v>
      </c>
      <c r="F21" s="29">
        <f ca="1">SUM(F17:F20)</f>
        <v>120878215.63160087</v>
      </c>
      <c r="G21" s="30">
        <f ca="1">SUM(G17:G20)</f>
        <v>136002150.19100925</v>
      </c>
      <c r="I21" s="31">
        <f ca="1">'[1]Rate Build-up'!AV51</f>
        <v>705.21457739851269</v>
      </c>
      <c r="J21" s="32">
        <f ca="1">'[1]Rate Build-up'!AW51</f>
        <v>739.45320819573897</v>
      </c>
      <c r="K21" s="32">
        <f ca="1">'[1]Rate Build-up'!AX51</f>
        <v>773.13364734791674</v>
      </c>
      <c r="L21" s="33">
        <f ca="1">'[1]Rate Build-up'!AY51</f>
        <v>803.13185490162141</v>
      </c>
      <c r="M21" s="34">
        <f ca="1">'[1]Rate Build-up'!AZ51</f>
        <v>831.90801683743189</v>
      </c>
      <c r="O21" s="35">
        <f ca="1">'[1]Rate Build-up'!BA51</f>
        <v>58.277026338066918</v>
      </c>
      <c r="P21" s="36">
        <f ca="1">'[1]Rate Build-up'!BB51</f>
        <v>63.594869861751853</v>
      </c>
      <c r="Q21" s="36">
        <f ca="1">'[1]Rate Build-up'!BC51</f>
        <v>69.358165591457364</v>
      </c>
      <c r="R21" s="37">
        <f ca="1">'[1]Rate Build-up'!BD51</f>
        <v>76.248761597139676</v>
      </c>
      <c r="S21" s="38">
        <f ca="1">'[1]Rate Build-up'!BE51</f>
        <v>84.587969175276243</v>
      </c>
    </row>
    <row r="22" spans="1:19" ht="15" thickBot="1" x14ac:dyDescent="0.4"/>
    <row r="23" spans="1:19" ht="30.25" customHeight="1" thickBot="1" x14ac:dyDescent="0.4">
      <c r="A23" s="39" t="str">
        <f>'[1]Rate Build-up'!BH6</f>
        <v>Annualization + Shift + Hep C adj + LIFT</v>
      </c>
    </row>
    <row r="24" spans="1:19" x14ac:dyDescent="0.35">
      <c r="A24" s="22" t="s">
        <v>3</v>
      </c>
      <c r="C24" s="23">
        <f ca="1">'[1]Rate Build-up'!BH15</f>
        <v>93324258.42518492</v>
      </c>
      <c r="D24" s="23">
        <f ca="1">'[1]Rate Build-up'!BI15</f>
        <v>106840883.43412878</v>
      </c>
      <c r="E24" s="23">
        <f ca="1">'[1]Rate Build-up'!BJ15</f>
        <v>121430555.41202825</v>
      </c>
      <c r="F24" s="23">
        <f ca="1">'[1]Rate Build-up'!BK15</f>
        <v>138927290.99655992</v>
      </c>
      <c r="G24" s="23">
        <f ca="1">'[1]Rate Build-up'!BL15</f>
        <v>160739971.75467116</v>
      </c>
      <c r="I24" s="23">
        <f ca="1">'[1]Rate Build-up'!BM15</f>
        <v>739.31780031689914</v>
      </c>
      <c r="J24" s="23">
        <f ca="1">'[1]Rate Build-up'!BN15</f>
        <v>802.19196793002402</v>
      </c>
      <c r="K24" s="23">
        <f ca="1">'[1]Rate Build-up'!BO15</f>
        <v>863.41111835538698</v>
      </c>
      <c r="L24" s="23">
        <f ca="1">'[1]Rate Build-up'!BP15</f>
        <v>923.05244854520538</v>
      </c>
      <c r="M24" s="23">
        <f ca="1">'[1]Rate Build-up'!BQ15</f>
        <v>983.22615444776432</v>
      </c>
      <c r="O24" s="23">
        <f ca="1">'[1]Rate Build-up'!BR15</f>
        <v>61.095224492108599</v>
      </c>
      <c r="P24" s="23">
        <f ca="1">'[1]Rate Build-up'!BS15</f>
        <v>68.990563891296759</v>
      </c>
      <c r="Q24" s="23">
        <f ca="1">'[1]Rate Build-up'!BT15</f>
        <v>77.456997927616698</v>
      </c>
      <c r="R24" s="23">
        <f ca="1">'[1]Rate Build-up'!BU15</f>
        <v>87.633936645933076</v>
      </c>
      <c r="S24" s="23">
        <f ca="1">'[1]Rate Build-up'!BV15</f>
        <v>99.973917742645654</v>
      </c>
    </row>
    <row r="25" spans="1:19" x14ac:dyDescent="0.35">
      <c r="A25" s="24" t="s">
        <v>4</v>
      </c>
      <c r="C25" s="23">
        <f ca="1">'[1]Rate Build-up'!BH24</f>
        <v>20385.317366125917</v>
      </c>
      <c r="D25" s="23">
        <f ca="1">'[1]Rate Build-up'!BI24</f>
        <v>23818.998846408067</v>
      </c>
      <c r="E25" s="23">
        <f ca="1">'[1]Rate Build-up'!BJ24</f>
        <v>27968.002249255991</v>
      </c>
      <c r="F25" s="23">
        <f ca="1">'[1]Rate Build-up'!BK24</f>
        <v>32948.611806959772</v>
      </c>
      <c r="G25" s="23">
        <f ca="1">'[1]Rate Build-up'!BL24</f>
        <v>38997.472750784662</v>
      </c>
      <c r="I25" s="23">
        <f ca="1">'[1]Rate Build-up'!BM24</f>
        <v>0.16149314495724837</v>
      </c>
      <c r="J25" s="23">
        <f ca="1">'[1]Rate Build-up'!BN24</f>
        <v>0.17883986863983076</v>
      </c>
      <c r="K25" s="23">
        <f ca="1">'[1]Rate Build-up'!BO24</f>
        <v>0.19886167874518454</v>
      </c>
      <c r="L25" s="23">
        <f ca="1">'[1]Rate Build-up'!BP24</f>
        <v>0.21891520799417852</v>
      </c>
      <c r="M25" s="23">
        <f ca="1">'[1]Rate Build-up'!BQ24</f>
        <v>0.23854262724679873</v>
      </c>
      <c r="O25" s="23">
        <f ca="1">'[1]Rate Build-up'!BR24</f>
        <v>1.3345356950516536E-2</v>
      </c>
      <c r="P25" s="23">
        <f ca="1">'[1]Rate Build-up'!BS24</f>
        <v>1.5380686764472368E-2</v>
      </c>
      <c r="Q25" s="23">
        <f ca="1">'[1]Rate Build-up'!BT24</f>
        <v>1.7839970219271653E-2</v>
      </c>
      <c r="R25" s="23">
        <f ca="1">'[1]Rate Build-up'!BU24</f>
        <v>2.0783652649889017E-2</v>
      </c>
      <c r="S25" s="23">
        <f ca="1">'[1]Rate Build-up'!BV24</f>
        <v>2.4254888752303843E-2</v>
      </c>
    </row>
    <row r="26" spans="1:19" x14ac:dyDescent="0.35">
      <c r="A26" s="24" t="s">
        <v>5</v>
      </c>
      <c r="C26" s="23">
        <f ca="1">'[1]Rate Build-up'!BH33</f>
        <v>1078.5757823769443</v>
      </c>
      <c r="D26" s="23">
        <f ca="1">'[1]Rate Build-up'!BI33</f>
        <v>1056.847648010154</v>
      </c>
      <c r="E26" s="23">
        <f ca="1">'[1]Rate Build-up'!BJ33</f>
        <v>1036.880017638113</v>
      </c>
      <c r="F26" s="23">
        <f ca="1">'[1]Rate Build-up'!BK33</f>
        <v>40.446649583329467</v>
      </c>
      <c r="G26" s="23">
        <f ca="1">'[1]Rate Build-up'!BL33</f>
        <v>0</v>
      </c>
      <c r="I26" s="23">
        <f ca="1">'[1]Rate Build-up'!BM33</f>
        <v>8.5445123096398266E-3</v>
      </c>
      <c r="J26" s="23">
        <f ca="1">'[1]Rate Build-up'!BN33</f>
        <v>7.9351149794842212E-3</v>
      </c>
      <c r="K26" s="23">
        <f ca="1">'[1]Rate Build-up'!BO33</f>
        <v>7.3725573649200118E-3</v>
      </c>
      <c r="L26" s="23">
        <f ca="1">'[1]Rate Build-up'!BP33</f>
        <v>2.6873322487995998E-4</v>
      </c>
      <c r="M26" s="23">
        <f ca="1">'[1]Rate Build-up'!BQ33</f>
        <v>0</v>
      </c>
      <c r="O26" s="23">
        <f ca="1">'[1]Rate Build-up'!BR33</f>
        <v>7.0609539971750932E-4</v>
      </c>
      <c r="P26" s="23">
        <f ca="1">'[1]Rate Build-up'!BS33</f>
        <v>6.8244021239645034E-4</v>
      </c>
      <c r="Q26" s="23">
        <f ca="1">'[1]Rate Build-up'!BT33</f>
        <v>6.6139542148077048E-4</v>
      </c>
      <c r="R26" s="23">
        <f ca="1">'[1]Rate Build-up'!BU33</f>
        <v>2.5513339400057241E-5</v>
      </c>
      <c r="S26" s="23">
        <f ca="1">'[1]Rate Build-up'!BV33</f>
        <v>0</v>
      </c>
    </row>
    <row r="27" spans="1:19" ht="15" thickBot="1" x14ac:dyDescent="0.4">
      <c r="A27" s="25" t="s">
        <v>6</v>
      </c>
      <c r="C27" s="23">
        <f ca="1">'[1]Rate Build-up'!BH42</f>
        <v>516.9008520265769</v>
      </c>
      <c r="D27" s="23">
        <f ca="1">'[1]Rate Build-up'!BI42</f>
        <v>801.44431473042039</v>
      </c>
      <c r="E27" s="23">
        <f ca="1">'[1]Rate Build-up'!BJ42</f>
        <v>1126.152887543793</v>
      </c>
      <c r="F27" s="23">
        <f ca="1">'[1]Rate Build-up'!BK42</f>
        <v>1480.319607917166</v>
      </c>
      <c r="G27" s="23">
        <f ca="1">'[1]Rate Build-up'!BL42</f>
        <v>1886.3303813326913</v>
      </c>
      <c r="I27" s="23">
        <f ca="1">'[1]Rate Build-up'!BM42</f>
        <v>4.0949053049114817E-3</v>
      </c>
      <c r="J27" s="23">
        <f ca="1">'[1]Rate Build-up'!BN42</f>
        <v>6.0174735677499692E-3</v>
      </c>
      <c r="K27" s="23">
        <f ca="1">'[1]Rate Build-up'!BO42</f>
        <v>8.0073167809707694E-3</v>
      </c>
      <c r="L27" s="23">
        <f ca="1">'[1]Rate Build-up'!BP42</f>
        <v>9.8354515438673108E-3</v>
      </c>
      <c r="M27" s="23">
        <f ca="1">'[1]Rate Build-up'!BQ42</f>
        <v>1.1538445270392609E-2</v>
      </c>
      <c r="O27" s="23">
        <f ca="1">'[1]Rate Build-up'!BR42</f>
        <v>3.3839190503766759E-4</v>
      </c>
      <c r="P27" s="23">
        <f ca="1">'[1]Rate Build-up'!BS42</f>
        <v>5.1751813934424427E-4</v>
      </c>
      <c r="Q27" s="23">
        <f ca="1">'[1]Rate Build-up'!BT42</f>
        <v>7.1833997284030172E-4</v>
      </c>
      <c r="R27" s="23">
        <f ca="1">'[1]Rate Build-up'!BU42</f>
        <v>9.3377070700354804E-4</v>
      </c>
      <c r="S27" s="23">
        <f ca="1">'[1]Rate Build-up'!BV42</f>
        <v>1.1732230404185547E-3</v>
      </c>
    </row>
    <row r="28" spans="1:19" ht="15" thickBot="1" x14ac:dyDescent="0.4">
      <c r="A28" s="26" t="s">
        <v>7</v>
      </c>
      <c r="C28" s="27">
        <f ca="1">SUM(C24:C27)</f>
        <v>93346239.219185442</v>
      </c>
      <c r="D28" s="28">
        <f ca="1">SUM(D24:D27)</f>
        <v>106866560.72493793</v>
      </c>
      <c r="E28" s="28">
        <f ca="1">SUM(E24:E27)</f>
        <v>121460686.44718269</v>
      </c>
      <c r="F28" s="29">
        <f ca="1">SUM(F24:F27)</f>
        <v>138961760.37462437</v>
      </c>
      <c r="G28" s="30">
        <f ca="1">SUM(G24:G27)</f>
        <v>160780855.55780327</v>
      </c>
      <c r="I28" s="31">
        <f ca="1">'[1]Rate Build-up'!BM51</f>
        <v>739.49193287947105</v>
      </c>
      <c r="J28" s="32">
        <f ca="1">'[1]Rate Build-up'!BN51</f>
        <v>802.38476038721126</v>
      </c>
      <c r="K28" s="32">
        <f ca="1">'[1]Rate Build-up'!BO51</f>
        <v>863.62535990827803</v>
      </c>
      <c r="L28" s="33">
        <f ca="1">'[1]Rate Build-up'!BP51</f>
        <v>923.28146793796839</v>
      </c>
      <c r="M28" s="34">
        <f ca="1">'[1]Rate Build-up'!BQ51</f>
        <v>983.47623552028131</v>
      </c>
      <c r="O28" s="35">
        <f ca="1">'[1]Rate Build-up'!BR51</f>
        <v>61.10961433636389</v>
      </c>
      <c r="P28" s="36">
        <f ca="1">'[1]Rate Build-up'!BS51</f>
        <v>69.00714453641298</v>
      </c>
      <c r="Q28" s="36">
        <f ca="1">'[1]Rate Build-up'!BT51</f>
        <v>77.476217633230291</v>
      </c>
      <c r="R28" s="37">
        <f ca="1">'[1]Rate Build-up'!BU51</f>
        <v>87.655679582629375</v>
      </c>
      <c r="S28" s="38">
        <f ca="1">'[1]Rate Build-up'!BV51</f>
        <v>99.99934585443836</v>
      </c>
    </row>
    <row r="29" spans="1:19" ht="15" thickBot="1" x14ac:dyDescent="0.4"/>
    <row r="30" spans="1:19" ht="29.5" thickBot="1" x14ac:dyDescent="0.4">
      <c r="A30" s="39" t="str">
        <f>'[1]Rate Build-up'!BY6</f>
        <v>Annualization + Shift + Hep C adj + Lift + INCREMENTAL BRAND</v>
      </c>
    </row>
    <row r="31" spans="1:19" x14ac:dyDescent="0.35">
      <c r="A31" s="22" t="s">
        <v>3</v>
      </c>
      <c r="C31" s="23">
        <f ca="1">'[1]Rate Build-up'!BY15</f>
        <v>94209743.724134028</v>
      </c>
      <c r="D31" s="23">
        <f ca="1">'[1]Rate Build-up'!BZ15</f>
        <v>109011691.5051987</v>
      </c>
      <c r="E31" s="23">
        <f ca="1">'[1]Rate Build-up'!CA15</f>
        <v>125076232.29785892</v>
      </c>
      <c r="F31" s="23">
        <f ca="1">'[1]Rate Build-up'!CB15</f>
        <v>144194000.697714</v>
      </c>
      <c r="G31" s="23">
        <f ca="1">'[1]Rate Build-up'!CC15</f>
        <v>167838673.42850778</v>
      </c>
      <c r="I31" s="23">
        <f ca="1">'[1]Rate Build-up'!CD15</f>
        <v>740.50465402443717</v>
      </c>
      <c r="J31" s="23">
        <f ca="1">'[1]Rate Build-up'!CE15</f>
        <v>803.99391466423356</v>
      </c>
      <c r="K31" s="23">
        <f ca="1">'[1]Rate Build-up'!CF15</f>
        <v>865.95249249082565</v>
      </c>
      <c r="L31" s="23">
        <f ca="1">'[1]Rate Build-up'!CG15</f>
        <v>926.23000023978341</v>
      </c>
      <c r="M31" s="23">
        <f ca="1">'[1]Rate Build-up'!CH15</f>
        <v>987.03706083510633</v>
      </c>
      <c r="O31" s="23">
        <f ca="1">'[1]Rate Build-up'!CI15</f>
        <v>61.779295718312859</v>
      </c>
      <c r="P31" s="23">
        <f ca="1">'[1]Rate Build-up'!CJ15</f>
        <v>70.518499574843275</v>
      </c>
      <c r="Q31" s="23">
        <f ca="1">'[1]Rate Build-up'!CK15</f>
        <v>79.935771877818908</v>
      </c>
      <c r="R31" s="23">
        <f ca="1">'[1]Rate Build-up'!CL15</f>
        <v>91.145608254770607</v>
      </c>
      <c r="S31" s="23">
        <f ca="1">'[1]Rate Build-up'!CM15</f>
        <v>104.62542938779866</v>
      </c>
    </row>
    <row r="32" spans="1:19" x14ac:dyDescent="0.35">
      <c r="A32" s="24" t="s">
        <v>4</v>
      </c>
      <c r="C32" s="23">
        <f ca="1">'[1]Rate Build-up'!BY24</f>
        <v>20810.6706126227</v>
      </c>
      <c r="D32" s="23">
        <f ca="1">'[1]Rate Build-up'!BZ24</f>
        <v>24559.263878793899</v>
      </c>
      <c r="E32" s="23">
        <f ca="1">'[1]Rate Build-up'!CA24</f>
        <v>29096.03938828484</v>
      </c>
      <c r="F32" s="23">
        <f ca="1">'[1]Rate Build-up'!CB24</f>
        <v>34530.544610004661</v>
      </c>
      <c r="G32" s="23">
        <f ca="1">'[1]Rate Build-up'!CC24</f>
        <v>41103.557499227441</v>
      </c>
      <c r="I32" s="23">
        <f ca="1">'[1]Rate Build-up'!CD24</f>
        <v>0.16357542046968715</v>
      </c>
      <c r="J32" s="23">
        <f ca="1">'[1]Rate Build-up'!CE24</f>
        <v>0.1811319358001317</v>
      </c>
      <c r="K32" s="23">
        <f ca="1">'[1]Rate Build-up'!CF24</f>
        <v>0.20144345066211114</v>
      </c>
      <c r="L32" s="23">
        <f ca="1">'[1]Rate Build-up'!CG24</f>
        <v>0.22180691421034635</v>
      </c>
      <c r="M32" s="23">
        <f ca="1">'[1]Rate Build-up'!CH24</f>
        <v>0.24172459037687566</v>
      </c>
      <c r="O32" s="23">
        <f ca="1">'[1]Rate Build-up'!CI24</f>
        <v>1.364687476104732E-2</v>
      </c>
      <c r="P32" s="23">
        <f ca="1">'[1]Rate Build-up'!CJ24</f>
        <v>1.5887125642047292E-2</v>
      </c>
      <c r="Q32" s="23">
        <f ca="1">'[1]Rate Build-up'!CK24</f>
        <v>1.859517451366165E-2</v>
      </c>
      <c r="R32" s="23">
        <f ca="1">'[1]Rate Build-up'!CL24</f>
        <v>2.1826896241302927E-2</v>
      </c>
      <c r="S32" s="23">
        <f ca="1">'[1]Rate Build-up'!CM24</f>
        <v>2.5622684360375177E-2</v>
      </c>
    </row>
    <row r="33" spans="1:19" x14ac:dyDescent="0.35">
      <c r="A33" s="24" t="s">
        <v>5</v>
      </c>
      <c r="C33" s="23">
        <f ca="1">'[1]Rate Build-up'!BY33</f>
        <v>1066.5574938187176</v>
      </c>
      <c r="D33" s="23">
        <f ca="1">'[1]Rate Build-up'!BZ33</f>
        <v>1055.1844317691066</v>
      </c>
      <c r="E33" s="23">
        <f ca="1">'[1]Rate Build-up'!CA33</f>
        <v>1044.2525442754786</v>
      </c>
      <c r="F33" s="23">
        <f ca="1">'[1]Rate Build-up'!CB33</f>
        <v>41.02602937191665</v>
      </c>
      <c r="G33" s="23">
        <f ca="1">'[1]Rate Build-up'!CC33</f>
        <v>0</v>
      </c>
      <c r="I33" s="23">
        <f ca="1">'[1]Rate Build-up'!CD33</f>
        <v>8.3833238127690272E-3</v>
      </c>
      <c r="J33" s="23">
        <f ca="1">'[1]Rate Build-up'!CE33</f>
        <v>7.7823016070743285E-3</v>
      </c>
      <c r="K33" s="23">
        <f ca="1">'[1]Rate Build-up'!CF33</f>
        <v>7.2297756087806014E-3</v>
      </c>
      <c r="L33" s="23">
        <f ca="1">'[1]Rate Build-up'!CG33</f>
        <v>2.6353065322495177E-4</v>
      </c>
      <c r="M33" s="23">
        <f ca="1">'[1]Rate Build-up'!CH33</f>
        <v>0</v>
      </c>
      <c r="O33" s="23">
        <f ca="1">'[1]Rate Build-up'!CI33</f>
        <v>6.994092989378298E-4</v>
      </c>
      <c r="P33" s="23">
        <f ca="1">'[1]Rate Build-up'!CJ33</f>
        <v>6.8258754520419875E-4</v>
      </c>
      <c r="Q33" s="23">
        <f ca="1">'[1]Rate Build-up'!CK33</f>
        <v>6.6737805919235018E-4</v>
      </c>
      <c r="R33" s="23">
        <f ca="1">'[1]Rate Build-up'!CL33</f>
        <v>2.5932718305115378E-5</v>
      </c>
      <c r="S33" s="23">
        <f ca="1">'[1]Rate Build-up'!CM33</f>
        <v>0</v>
      </c>
    </row>
    <row r="34" spans="1:19" ht="15" thickBot="1" x14ac:dyDescent="0.4">
      <c r="A34" s="25" t="s">
        <v>6</v>
      </c>
      <c r="C34" s="23">
        <f ca="1">'[1]Rate Build-up'!BY42</f>
        <v>528.75116937372582</v>
      </c>
      <c r="D34" s="23">
        <f ca="1">'[1]Rate Build-up'!BZ42</f>
        <v>827.57784057545268</v>
      </c>
      <c r="E34" s="23">
        <f ca="1">'[1]Rate Build-up'!CA42</f>
        <v>1172.7795895967452</v>
      </c>
      <c r="F34" s="23">
        <f ca="1">'[1]Rate Build-up'!CB42</f>
        <v>1552.4383189798259</v>
      </c>
      <c r="G34" s="23">
        <f ca="1">'[1]Rate Build-up'!CC42</f>
        <v>1989.0650206294997</v>
      </c>
      <c r="I34" s="23">
        <f ca="1">'[1]Rate Build-up'!CD42</f>
        <v>4.1560743747337528E-3</v>
      </c>
      <c r="J34" s="23">
        <f ca="1">'[1]Rate Build-up'!CE42</f>
        <v>6.1036347436357339E-3</v>
      </c>
      <c r="K34" s="23">
        <f ca="1">'[1]Rate Build-up'!CF42</f>
        <v>8.1196194520408004E-3</v>
      </c>
      <c r="L34" s="23">
        <f ca="1">'[1]Rate Build-up'!CG42</f>
        <v>9.9720857844519829E-3</v>
      </c>
      <c r="M34" s="23">
        <f ca="1">'[1]Rate Build-up'!CH42</f>
        <v>1.1697428558432551E-2</v>
      </c>
      <c r="O34" s="23">
        <f ca="1">'[1]Rate Build-up'!CI42</f>
        <v>3.4673563012543266E-4</v>
      </c>
      <c r="P34" s="23">
        <f ca="1">'[1]Rate Build-up'!CJ42</f>
        <v>5.3535127097800001E-4</v>
      </c>
      <c r="Q34" s="23">
        <f ca="1">'[1]Rate Build-up'!CK42</f>
        <v>7.4951923330818357E-4</v>
      </c>
      <c r="R34" s="23">
        <f ca="1">'[1]Rate Build-up'!CL42</f>
        <v>9.8130251034551593E-4</v>
      </c>
      <c r="S34" s="23">
        <f ca="1">'[1]Rate Build-up'!CM42</f>
        <v>1.2399215127987578E-3</v>
      </c>
    </row>
    <row r="35" spans="1:19" ht="15" thickBot="1" x14ac:dyDescent="0.4">
      <c r="A35" s="26" t="s">
        <v>7</v>
      </c>
      <c r="C35" s="27">
        <f ca="1">SUM(C31:C34)</f>
        <v>94232149.703409836</v>
      </c>
      <c r="D35" s="28">
        <f ca="1">SUM(D31:D34)</f>
        <v>109038133.53134985</v>
      </c>
      <c r="E35" s="28">
        <f ca="1">SUM(E31:E34)</f>
        <v>125107545.36938107</v>
      </c>
      <c r="F35" s="29">
        <f ca="1">SUM(F31:F34)</f>
        <v>144230124.70667234</v>
      </c>
      <c r="G35" s="30">
        <f ca="1">SUM(G31:G34)</f>
        <v>167881766.05102763</v>
      </c>
      <c r="I35" s="31">
        <f ca="1">'[1]Rate Build-up'!CD51</f>
        <v>740.68076884309426</v>
      </c>
      <c r="J35" s="32">
        <f ca="1">'[1]Rate Build-up'!CE51</f>
        <v>804.1889325363843</v>
      </c>
      <c r="K35" s="32">
        <f ca="1">'[1]Rate Build-up'!CF51</f>
        <v>866.16928533654846</v>
      </c>
      <c r="L35" s="33">
        <f ca="1">'[1]Rate Build-up'!CG51</f>
        <v>926.46204277043148</v>
      </c>
      <c r="M35" s="34">
        <f ca="1">'[1]Rate Build-up'!CH51</f>
        <v>987.29048285404156</v>
      </c>
      <c r="O35" s="35">
        <f ca="1">'[1]Rate Build-up'!CI51</f>
        <v>61.793988738002966</v>
      </c>
      <c r="P35" s="36">
        <f ca="1">'[1]Rate Build-up'!CJ51</f>
        <v>70.535604639301496</v>
      </c>
      <c r="Q35" s="36">
        <f ca="1">'[1]Rate Build-up'!CK51</f>
        <v>79.955783949625058</v>
      </c>
      <c r="R35" s="37">
        <f ca="1">'[1]Rate Build-up'!CL51</f>
        <v>91.168442386240571</v>
      </c>
      <c r="S35" s="38">
        <f ca="1">'[1]Rate Build-up'!CM51</f>
        <v>104.65229199367184</v>
      </c>
    </row>
    <row r="38" spans="1:19" x14ac:dyDescent="0.35">
      <c r="D38" s="23"/>
      <c r="E38" s="23"/>
      <c r="F38" s="23"/>
      <c r="G38" s="23"/>
    </row>
    <row r="39" spans="1:19" x14ac:dyDescent="0.35">
      <c r="C39" s="23"/>
      <c r="D39" s="23"/>
      <c r="E39" s="23"/>
      <c r="F39" s="23"/>
      <c r="G39" s="23"/>
    </row>
    <row r="40" spans="1:19" x14ac:dyDescent="0.35">
      <c r="C40" s="23"/>
      <c r="D40" s="23"/>
      <c r="E40" s="23"/>
      <c r="F40" s="23"/>
      <c r="G40" s="23"/>
    </row>
    <row r="42" spans="1:19" x14ac:dyDescent="0.35">
      <c r="C42" s="23"/>
      <c r="D42" s="23"/>
      <c r="E42" s="23"/>
      <c r="F42" s="23"/>
      <c r="G42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2026-04-13T23:20:21Z</dcterms:created>
  <dcterms:modified xsi:type="dcterms:W3CDTF">2026-04-13T23:25:12Z</dcterms:modified>
</cp:coreProperties>
</file>