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Detailed_stat_external-2027" sheetId="1" state="visible" r:id="rId1"/>
    <sheet xmlns:r="http://schemas.openxmlformats.org/officeDocument/2006/relationships" name="Detailed_stat_external-2028" sheetId="2" state="visible" r:id="rId2"/>
    <sheet xmlns:r="http://schemas.openxmlformats.org/officeDocument/2006/relationships" name="Detailed_stat_external-2029" sheetId="3" state="visible" r:id="rId3"/>
    <sheet xmlns:r="http://schemas.openxmlformats.org/officeDocument/2006/relationships" name="Detailed_stat_external-2030" sheetId="4" state="visible" r:id="rId4"/>
    <sheet xmlns:r="http://schemas.openxmlformats.org/officeDocument/2006/relationships" name="Detailed_stat_external-2031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mm/dd/yy;@"/>
    <numFmt numFmtId="165" formatCode="&quot;$&quot;#,##0_);[Red]\(&quot;$&quot;#,##0\)"/>
    <numFmt numFmtId="166" formatCode="#,##0.0"/>
  </numFmts>
  <fonts count="11">
    <font>
      <name val="Calibri"/>
      <family val="2"/>
      <color theme="1"/>
      <sz val="11"/>
      <scheme val="minor"/>
    </font>
    <font>
      <name val="Calibri"/>
      <family val="2"/>
      <b val="1"/>
      <sz val="14"/>
      <scheme val="minor"/>
    </font>
    <font>
      <name val="Calibri"/>
      <family val="2"/>
      <b val="1"/>
      <color theme="1"/>
      <sz val="11"/>
      <scheme val="minor"/>
    </font>
    <font>
      <name val="Arial"/>
      <family val="2"/>
      <b val="1"/>
      <sz val="11"/>
    </font>
    <font>
      <name val="Arial"/>
      <family val="2"/>
      <sz val="10"/>
    </font>
    <font>
      <name val="Arial"/>
      <family val="2"/>
      <b val="1"/>
      <sz val="10"/>
    </font>
    <font>
      <name val="Calibri"/>
      <family val="2"/>
      <b val="1"/>
      <color theme="0"/>
      <sz val="11"/>
      <scheme val="minor"/>
    </font>
    <font>
      <name val="Calibri"/>
      <family val="2"/>
      <b val="1"/>
      <color rgb="FFC00000"/>
      <sz val="11"/>
      <scheme val="minor"/>
    </font>
    <font>
      <name val="Calibri"/>
      <family val="2"/>
      <b val="1"/>
      <color rgb="FFC00000"/>
      <sz val="11"/>
      <u val="single"/>
      <scheme val="minor"/>
    </font>
    <font>
      <name val="Calibri"/>
      <family val="2"/>
      <color theme="1"/>
      <sz val="11"/>
      <u val="single"/>
      <scheme val="minor"/>
    </font>
    <font>
      <name val="Calibri"/>
      <family val="2"/>
      <color rgb="FFFF0000"/>
      <sz val="11"/>
      <scheme val="minor"/>
    </font>
  </fonts>
  <fills count="10">
    <fill>
      <patternFill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E6D6D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E0CACE"/>
        <bgColor indexed="64"/>
      </patternFill>
    </fill>
  </fills>
  <borders count="68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/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 style="medium">
        <color rgb="FFFCD5B4"/>
      </bottom>
      <diagonal/>
    </border>
    <border>
      <left style="medium">
        <color rgb="FFD45D00"/>
      </left>
      <right style="medium">
        <color rgb="FFFABF8F"/>
      </right>
      <top/>
      <bottom/>
      <diagonal/>
    </border>
    <border>
      <left style="medium">
        <color rgb="FFD45D00"/>
      </left>
      <right style="medium">
        <color rgb="FFFABF8F"/>
      </right>
      <top/>
      <bottom style="medium">
        <color rgb="FFFABF8F"/>
      </bottom>
      <diagonal/>
    </border>
    <border>
      <left style="medium">
        <color rgb="FFD45D00"/>
      </left>
      <right/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 style="medium">
        <color rgb="FFD45D00"/>
      </bottom>
      <diagonal/>
    </border>
    <border>
      <left/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theme="9" tint="-0.249946592608417"/>
      </left>
      <right/>
      <top/>
      <bottom style="medium">
        <color rgb="FFD45D00"/>
      </bottom>
      <diagonal/>
    </border>
    <border>
      <left/>
      <right/>
      <top/>
      <bottom style="medium">
        <color rgb="FFD45D00"/>
      </bottom>
      <diagonal/>
    </border>
    <border>
      <left/>
      <right style="medium">
        <color theme="9" tint="-0.249946592608417"/>
      </right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/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/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theme="9" tint="-0.249946592608417"/>
      </left>
      <right style="medium">
        <color rgb="FFD45D00"/>
      </right>
      <top style="medium">
        <color rgb="FFD45D00"/>
      </top>
      <bottom/>
      <diagonal/>
    </border>
    <border>
      <left/>
      <right style="medium">
        <color theme="9" tint="-0.249946592608417"/>
      </right>
      <top style="medium">
        <color rgb="FFD45D00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/>
      <bottom/>
      <diagonal/>
    </border>
    <border>
      <left/>
      <right style="medium">
        <color rgb="FFD45D00"/>
      </right>
      <top/>
      <bottom/>
      <diagonal/>
    </border>
    <border>
      <left style="medium">
        <color theme="9" tint="-0.249946592608417"/>
      </left>
      <right style="medium">
        <color rgb="FFD45D00"/>
      </right>
      <top/>
      <bottom/>
      <diagonal/>
    </border>
    <border>
      <left/>
      <right style="medium">
        <color theme="9" tint="-0.249946592608417"/>
      </right>
      <top/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D45D00"/>
      </left>
      <right style="dotted">
        <color rgb="FFD45D00"/>
      </right>
      <top/>
      <bottom style="dotted">
        <color rgb="FFD45D00"/>
      </bottom>
      <diagonal/>
    </border>
    <border>
      <left/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D45D00"/>
      </left>
      <right style="dotted">
        <color rgb="FFD45D00"/>
      </right>
      <top/>
      <bottom style="medium">
        <color rgb="FFD45D00"/>
      </bottom>
      <diagonal/>
    </border>
    <border>
      <left/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theme="9" tint="-0.249946592608417"/>
      </left>
      <right style="medium">
        <color rgb="FFD45D00"/>
      </right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/>
      <right/>
      <top/>
      <bottom style="double">
        <color rgb="FFD45D00"/>
      </bottom>
      <diagonal/>
    </border>
    <border>
      <left style="medium">
        <color rgb="FFD45D00"/>
      </left>
      <right/>
      <top style="medium">
        <color rgb="FFD45D00"/>
      </top>
      <bottom style="dotted">
        <color rgb="FFD45D00"/>
      </bottom>
      <diagonal/>
    </border>
    <border>
      <left/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 style="dotted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/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/>
      <diagonal/>
    </border>
    <border>
      <left/>
      <right style="medium">
        <color rgb="FFD45D00"/>
      </right>
      <top style="dotted">
        <color rgb="FFD45D00"/>
      </top>
      <bottom/>
      <diagonal/>
    </border>
    <border>
      <left style="medium">
        <color rgb="FFE87722"/>
      </left>
      <right style="medium">
        <color rgb="FFE87722"/>
      </right>
      <top/>
      <bottom/>
      <diagonal/>
    </border>
    <border>
      <left style="medium">
        <color rgb="FFD45D00"/>
      </left>
      <right/>
      <top style="dotted">
        <color rgb="FFD45D00"/>
      </top>
      <bottom style="double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</borders>
  <cellStyleXfs count="1">
    <xf numFmtId="0" fontId="0" fillId="0" borderId="0"/>
  </cellStyleXfs>
  <cellXfs count="146">
    <xf numFmtId="0" fontId="0" fillId="0" borderId="0" pivotButton="0" quotePrefix="0" xfId="0"/>
    <xf numFmtId="0" fontId="1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2" fillId="0" borderId="0" applyAlignment="1" pivotButton="0" quotePrefix="0" xfId="0">
      <alignment horizontal="right"/>
    </xf>
    <xf numFmtId="164" fontId="3" fillId="3" borderId="4" pivotButton="0" quotePrefix="0" xfId="0"/>
    <xf numFmtId="0" fontId="3" fillId="3" borderId="5" applyAlignment="1" pivotButton="0" quotePrefix="0" xfId="0">
      <alignment horizontal="center" vertical="center"/>
    </xf>
    <xf numFmtId="164" fontId="3" fillId="3" borderId="6" pivotButton="0" quotePrefix="0" xfId="0"/>
    <xf numFmtId="165" fontId="0" fillId="0" borderId="0" pivotButton="0" quotePrefix="0" xfId="0"/>
    <xf numFmtId="3" fontId="3" fillId="3" borderId="7" pivotButton="0" quotePrefix="0" xfId="0"/>
    <xf numFmtId="0" fontId="0" fillId="4" borderId="0" applyAlignment="1" pivotButton="0" quotePrefix="0" xfId="0">
      <alignment vertical="top"/>
    </xf>
    <xf numFmtId="0" fontId="3" fillId="4" borderId="8" applyAlignment="1" pivotButton="0" quotePrefix="0" xfId="0">
      <alignment horizontal="centerContinuous" vertical="top"/>
    </xf>
    <xf numFmtId="0" fontId="3" fillId="4" borderId="9" applyAlignment="1" pivotButton="0" quotePrefix="0" xfId="0">
      <alignment horizontal="centerContinuous" vertical="top"/>
    </xf>
    <xf numFmtId="0" fontId="0" fillId="4" borderId="9" applyAlignment="1" pivotButton="0" quotePrefix="0" xfId="0">
      <alignment horizontal="centerContinuous" vertical="top"/>
    </xf>
    <xf numFmtId="0" fontId="4" fillId="4" borderId="10" applyAlignment="1" pivotButton="0" quotePrefix="0" xfId="0">
      <alignment horizontal="centerContinuous" vertical="center"/>
    </xf>
    <xf numFmtId="0" fontId="3" fillId="4" borderId="10" applyAlignment="1" pivotButton="0" quotePrefix="0" xfId="0">
      <alignment horizontal="centerContinuous" vertical="top"/>
    </xf>
    <xf numFmtId="0" fontId="3" fillId="4" borderId="0" applyAlignment="1" pivotButton="0" quotePrefix="0" xfId="0">
      <alignment horizontal="centerContinuous" vertical="top"/>
    </xf>
    <xf numFmtId="0" fontId="0" fillId="4" borderId="0" applyAlignment="1" pivotButton="0" quotePrefix="0" xfId="0">
      <alignment horizontal="centerContinuous" vertical="top"/>
    </xf>
    <xf numFmtId="0" fontId="4" fillId="4" borderId="0" applyAlignment="1" pivotButton="0" quotePrefix="0" xfId="0">
      <alignment horizontal="centerContinuous" vertical="center"/>
    </xf>
    <xf numFmtId="0" fontId="3" fillId="4" borderId="0" applyAlignment="1" pivotButton="0" quotePrefix="0" xfId="0">
      <alignment vertical="top"/>
    </xf>
    <xf numFmtId="0" fontId="5" fillId="2" borderId="8" applyAlignment="1" pivotButton="0" quotePrefix="0" xfId="0">
      <alignment horizontal="centerContinuous" vertical="top"/>
    </xf>
    <xf numFmtId="0" fontId="5" fillId="2" borderId="9" applyAlignment="1" pivotButton="0" quotePrefix="0" xfId="0">
      <alignment horizontal="centerContinuous" vertical="top"/>
    </xf>
    <xf numFmtId="0" fontId="5" fillId="2" borderId="10" applyAlignment="1" pivotButton="0" quotePrefix="0" xfId="0">
      <alignment horizontal="centerContinuous" vertical="center"/>
    </xf>
    <xf numFmtId="0" fontId="5" fillId="2" borderId="10" applyAlignment="1" pivotButton="0" quotePrefix="0" xfId="0">
      <alignment horizontal="centerContinuous" vertical="top"/>
    </xf>
    <xf numFmtId="0" fontId="2" fillId="2" borderId="1" applyAlignment="1" pivotButton="0" quotePrefix="0" xfId="0">
      <alignment horizontal="centerContinuous"/>
    </xf>
    <xf numFmtId="0" fontId="2" fillId="2" borderId="2" applyAlignment="1" pivotButton="0" quotePrefix="0" xfId="0">
      <alignment horizontal="centerContinuous"/>
    </xf>
    <xf numFmtId="0" fontId="2" fillId="2" borderId="3" applyAlignment="1" pivotButton="0" quotePrefix="0" xfId="0">
      <alignment horizontal="centerContinuous"/>
    </xf>
    <xf numFmtId="0" fontId="5" fillId="4" borderId="0" applyAlignment="1" pivotButton="0" quotePrefix="0" xfId="0">
      <alignment horizontal="center"/>
    </xf>
    <xf numFmtId="0" fontId="5" fillId="4" borderId="8" applyAlignment="1" pivotButton="0" quotePrefix="0" xfId="0">
      <alignment horizontal="center"/>
    </xf>
    <xf numFmtId="0" fontId="5" fillId="4" borderId="9" applyAlignment="1" pivotButton="0" quotePrefix="0" xfId="0">
      <alignment horizontal="center"/>
    </xf>
    <xf numFmtId="0" fontId="5" fillId="4" borderId="10" applyAlignment="1" pivotButton="0" quotePrefix="0" xfId="0">
      <alignment horizontal="center"/>
    </xf>
    <xf numFmtId="0" fontId="4" fillId="4" borderId="0" applyAlignment="1" pivotButton="0" quotePrefix="0" xfId="0">
      <alignment vertical="center"/>
    </xf>
    <xf numFmtId="0" fontId="5" fillId="4" borderId="8" applyAlignment="1" pivotButton="0" quotePrefix="0" xfId="0">
      <alignment horizontal="center" wrapText="1"/>
    </xf>
    <xf numFmtId="0" fontId="5" fillId="4" borderId="9" applyAlignment="1" pivotButton="0" quotePrefix="0" xfId="0">
      <alignment horizontal="center" wrapText="1"/>
    </xf>
    <xf numFmtId="0" fontId="5" fillId="4" borderId="10" applyAlignment="1" pivotButton="0" quotePrefix="0" xfId="0">
      <alignment horizontal="center" wrapText="1"/>
    </xf>
    <xf numFmtId="0" fontId="5" fillId="4" borderId="11" applyAlignment="1" pivotButton="0" quotePrefix="0" xfId="0">
      <alignment horizontal="center" wrapText="1"/>
    </xf>
    <xf numFmtId="0" fontId="5" fillId="4" borderId="12" applyAlignment="1" pivotButton="0" quotePrefix="0" xfId="0">
      <alignment horizontal="center" wrapText="1"/>
    </xf>
    <xf numFmtId="0" fontId="5" fillId="4" borderId="13" applyAlignment="1" pivotButton="0" quotePrefix="0" xfId="0">
      <alignment horizontal="center" wrapText="1"/>
    </xf>
    <xf numFmtId="0" fontId="6" fillId="5" borderId="14" pivotButton="0" quotePrefix="0" xfId="0"/>
    <xf numFmtId="3" fontId="0" fillId="4" borderId="15" applyAlignment="1" pivotButton="0" quotePrefix="0" xfId="0">
      <alignment vertical="top"/>
    </xf>
    <xf numFmtId="3" fontId="0" fillId="4" borderId="16" applyAlignment="1" pivotButton="0" quotePrefix="0" xfId="0">
      <alignment vertical="top"/>
    </xf>
    <xf numFmtId="166" fontId="0" fillId="4" borderId="17" applyAlignment="1" pivotButton="0" quotePrefix="0" xfId="0">
      <alignment vertical="top"/>
    </xf>
    <xf numFmtId="166" fontId="4" fillId="4" borderId="18" applyAlignment="1" pivotButton="0" quotePrefix="0" xfId="0">
      <alignment vertical="center"/>
    </xf>
    <xf numFmtId="0" fontId="7" fillId="0" borderId="19" applyAlignment="1" pivotButton="0" quotePrefix="0" xfId="0">
      <alignment horizontal="center"/>
    </xf>
    <xf numFmtId="0" fontId="0" fillId="0" borderId="20" pivotButton="0" quotePrefix="0" xfId="0"/>
    <xf numFmtId="165" fontId="0" fillId="4" borderId="20" pivotButton="0" quotePrefix="0" xfId="0"/>
    <xf numFmtId="3" fontId="0" fillId="4" borderId="21" pivotButton="0" quotePrefix="0" xfId="0"/>
    <xf numFmtId="0" fontId="7" fillId="0" borderId="22" applyAlignment="1" pivotButton="0" quotePrefix="0" xfId="0">
      <alignment horizontal="center"/>
    </xf>
    <xf numFmtId="3" fontId="0" fillId="0" borderId="23" pivotButton="0" quotePrefix="0" xfId="0"/>
    <xf numFmtId="0" fontId="6" fillId="5" borderId="24" pivotButton="0" quotePrefix="0" xfId="0"/>
    <xf numFmtId="3" fontId="0" fillId="4" borderId="25" applyAlignment="1" pivotButton="0" quotePrefix="0" xfId="0">
      <alignment vertical="top"/>
    </xf>
    <xf numFmtId="3" fontId="0" fillId="4" borderId="26" applyAlignment="1" pivotButton="0" quotePrefix="0" xfId="0">
      <alignment vertical="top"/>
    </xf>
    <xf numFmtId="166" fontId="0" fillId="4" borderId="27" applyAlignment="1" pivotButton="0" quotePrefix="0" xfId="0">
      <alignment vertical="top"/>
    </xf>
    <xf numFmtId="166" fontId="4" fillId="4" borderId="28" applyAlignment="1" pivotButton="0" quotePrefix="0" xfId="0">
      <alignment vertical="center"/>
    </xf>
    <xf numFmtId="0" fontId="7" fillId="0" borderId="29" applyAlignment="1" pivotButton="0" quotePrefix="0" xfId="0">
      <alignment horizontal="center"/>
    </xf>
    <xf numFmtId="165" fontId="0" fillId="4" borderId="0" pivotButton="0" quotePrefix="0" xfId="0"/>
    <xf numFmtId="3" fontId="0" fillId="4" borderId="30" pivotButton="0" quotePrefix="0" xfId="0"/>
    <xf numFmtId="0" fontId="7" fillId="0" borderId="31" applyAlignment="1" pivotButton="0" quotePrefix="0" xfId="0">
      <alignment horizontal="center"/>
    </xf>
    <xf numFmtId="3" fontId="0" fillId="0" borderId="32" pivotButton="0" quotePrefix="0" xfId="0"/>
    <xf numFmtId="0" fontId="6" fillId="5" borderId="33" pivotButton="0" quotePrefix="0" xfId="0"/>
    <xf numFmtId="3" fontId="0" fillId="4" borderId="34" applyAlignment="1" pivotButton="0" quotePrefix="0" xfId="0">
      <alignment vertical="top"/>
    </xf>
    <xf numFmtId="3" fontId="0" fillId="4" borderId="35" applyAlignment="1" pivotButton="0" quotePrefix="0" xfId="0">
      <alignment vertical="top"/>
    </xf>
    <xf numFmtId="166" fontId="0" fillId="4" borderId="36" applyAlignment="1" pivotButton="0" quotePrefix="0" xfId="0">
      <alignment vertical="top"/>
    </xf>
    <xf numFmtId="166" fontId="4" fillId="4" borderId="37" applyAlignment="1" pivotButton="0" quotePrefix="0" xfId="0">
      <alignment vertical="center"/>
    </xf>
    <xf numFmtId="0" fontId="6" fillId="5" borderId="38" pivotButton="0" quotePrefix="0" xfId="0"/>
    <xf numFmtId="3" fontId="0" fillId="4" borderId="39" applyAlignment="1" pivotButton="0" quotePrefix="0" xfId="0">
      <alignment vertical="top"/>
    </xf>
    <xf numFmtId="3" fontId="0" fillId="4" borderId="40" applyAlignment="1" pivotButton="0" quotePrefix="0" xfId="0">
      <alignment vertical="top"/>
    </xf>
    <xf numFmtId="166" fontId="0" fillId="4" borderId="41" applyAlignment="1" pivotButton="0" quotePrefix="0" xfId="0">
      <alignment vertical="top"/>
    </xf>
    <xf numFmtId="166" fontId="4" fillId="4" borderId="42" applyAlignment="1" pivotButton="0" quotePrefix="0" xfId="0">
      <alignment vertical="center"/>
    </xf>
    <xf numFmtId="0" fontId="6" fillId="5" borderId="43" pivotButton="0" quotePrefix="0" xfId="0"/>
    <xf numFmtId="3" fontId="0" fillId="6" borderId="44" applyAlignment="1" pivotButton="0" quotePrefix="0" xfId="0">
      <alignment vertical="top"/>
    </xf>
    <xf numFmtId="3" fontId="0" fillId="6" borderId="45" applyAlignment="1" pivotButton="0" quotePrefix="0" xfId="0">
      <alignment vertical="top"/>
    </xf>
    <xf numFmtId="166" fontId="0" fillId="6" borderId="46" applyAlignment="1" pivotButton="0" quotePrefix="0" xfId="0">
      <alignment vertical="top"/>
    </xf>
    <xf numFmtId="166" fontId="4" fillId="6" borderId="47" applyAlignment="1" pivotButton="0" quotePrefix="0" xfId="0">
      <alignment vertical="center"/>
    </xf>
    <xf numFmtId="3" fontId="0" fillId="4" borderId="0" applyAlignment="1" pivotButton="0" quotePrefix="0" xfId="0">
      <alignment vertical="top"/>
    </xf>
    <xf numFmtId="166" fontId="0" fillId="4" borderId="0" applyAlignment="1" pivotButton="0" quotePrefix="0" xfId="0">
      <alignment vertical="top"/>
    </xf>
    <xf numFmtId="166" fontId="4" fillId="4" borderId="0" applyAlignment="1" pivotButton="0" quotePrefix="0" xfId="0">
      <alignment vertical="center"/>
    </xf>
    <xf numFmtId="0" fontId="8" fillId="0" borderId="0" pivotButton="0" quotePrefix="0" xfId="0"/>
    <xf numFmtId="0" fontId="9" fillId="0" borderId="0" pivotButton="0" quotePrefix="0" xfId="0"/>
    <xf numFmtId="0" fontId="5" fillId="4" borderId="0" applyAlignment="1" pivotButton="0" quotePrefix="0" xfId="0">
      <alignment horizontal="center" vertical="top"/>
    </xf>
    <xf numFmtId="0" fontId="5" fillId="4" borderId="0" applyAlignment="1" pivotButton="0" quotePrefix="0" xfId="0">
      <alignment horizontal="center" vertical="center"/>
    </xf>
    <xf numFmtId="0" fontId="7" fillId="0" borderId="48" applyAlignment="1" pivotButton="0" quotePrefix="0" xfId="0">
      <alignment horizontal="center"/>
    </xf>
    <xf numFmtId="0" fontId="0" fillId="0" borderId="12" pivotButton="0" quotePrefix="0" xfId="0"/>
    <xf numFmtId="165" fontId="0" fillId="4" borderId="12" pivotButton="0" quotePrefix="0" xfId="0"/>
    <xf numFmtId="3" fontId="0" fillId="4" borderId="49" pivotButton="0" quotePrefix="0" xfId="0"/>
    <xf numFmtId="0" fontId="7" fillId="0" borderId="50" applyAlignment="1" pivotButton="0" quotePrefix="0" xfId="0">
      <alignment horizontal="center"/>
    </xf>
    <xf numFmtId="0" fontId="0" fillId="0" borderId="51" pivotButton="0" quotePrefix="0" xfId="0"/>
    <xf numFmtId="3" fontId="0" fillId="0" borderId="52" pivotButton="0" quotePrefix="0" xfId="0"/>
    <xf numFmtId="0" fontId="0" fillId="0" borderId="53" pivotButton="0" quotePrefix="0" xfId="0"/>
    <xf numFmtId="3" fontId="0" fillId="4" borderId="54" applyAlignment="1" pivotButton="0" quotePrefix="0" xfId="0">
      <alignment vertical="top"/>
    </xf>
    <xf numFmtId="3" fontId="0" fillId="4" borderId="17" applyAlignment="1" pivotButton="0" quotePrefix="0" xfId="0">
      <alignment vertical="top"/>
    </xf>
    <xf numFmtId="3" fontId="0" fillId="4" borderId="55" applyAlignment="1" pivotButton="0" quotePrefix="0" xfId="0">
      <alignment vertical="top"/>
    </xf>
    <xf numFmtId="3" fontId="0" fillId="4" borderId="56" applyAlignment="1" pivotButton="0" quotePrefix="0" xfId="0">
      <alignment vertical="top"/>
    </xf>
    <xf numFmtId="3" fontId="0" fillId="4" borderId="27" applyAlignment="1" pivotButton="0" quotePrefix="0" xfId="0">
      <alignment vertical="top"/>
    </xf>
    <xf numFmtId="3" fontId="0" fillId="4" borderId="57" applyAlignment="1" pivotButton="0" quotePrefix="0" xfId="0">
      <alignment vertical="top"/>
    </xf>
    <xf numFmtId="3" fontId="0" fillId="4" borderId="58" applyAlignment="1" pivotButton="0" quotePrefix="0" xfId="0">
      <alignment vertical="top"/>
    </xf>
    <xf numFmtId="3" fontId="0" fillId="4" borderId="59" applyAlignment="1" pivotButton="0" quotePrefix="0" xfId="0">
      <alignment vertical="top"/>
    </xf>
    <xf numFmtId="3" fontId="0" fillId="4" borderId="60" applyAlignment="1" pivotButton="0" quotePrefix="0" xfId="0">
      <alignment vertical="top"/>
    </xf>
    <xf numFmtId="0" fontId="10" fillId="7" borderId="0" pivotButton="0" quotePrefix="0" xfId="0"/>
    <xf numFmtId="0" fontId="0" fillId="4" borderId="0" pivotButton="0" quotePrefix="0" xfId="0"/>
    <xf numFmtId="0" fontId="6" fillId="5" borderId="61" pivotButton="0" quotePrefix="0" xfId="0"/>
    <xf numFmtId="3" fontId="0" fillId="8" borderId="62" applyAlignment="1" pivotButton="0" quotePrefix="0" xfId="0">
      <alignment horizontal="right" vertical="top"/>
    </xf>
    <xf numFmtId="3" fontId="0" fillId="8" borderId="36" applyAlignment="1" pivotButton="0" quotePrefix="0" xfId="0">
      <alignment horizontal="right" vertical="top"/>
    </xf>
    <xf numFmtId="3" fontId="0" fillId="8" borderId="63" applyAlignment="1" pivotButton="0" quotePrefix="0" xfId="0">
      <alignment horizontal="right" vertical="top"/>
    </xf>
    <xf numFmtId="3" fontId="0" fillId="4" borderId="62" applyAlignment="1" pivotButton="0" quotePrefix="0" xfId="0">
      <alignment vertical="top"/>
    </xf>
    <xf numFmtId="3" fontId="0" fillId="4" borderId="36" applyAlignment="1" pivotButton="0" quotePrefix="0" xfId="0">
      <alignment vertical="top"/>
    </xf>
    <xf numFmtId="3" fontId="0" fillId="4" borderId="63" applyAlignment="1" pivotButton="0" quotePrefix="0" xfId="0">
      <alignment vertical="top"/>
    </xf>
    <xf numFmtId="3" fontId="0" fillId="6" borderId="64" applyAlignment="1" pivotButton="0" quotePrefix="0" xfId="0">
      <alignment vertical="top"/>
    </xf>
    <xf numFmtId="3" fontId="0" fillId="6" borderId="46" applyAlignment="1" pivotButton="0" quotePrefix="0" xfId="0">
      <alignment vertical="top"/>
    </xf>
    <xf numFmtId="3" fontId="0" fillId="6" borderId="49" applyAlignment="1" pivotButton="0" quotePrefix="0" xfId="0">
      <alignment vertical="top"/>
    </xf>
    <xf numFmtId="0" fontId="6" fillId="5" borderId="65" pivotButton="0" quotePrefix="0" xfId="0"/>
    <xf numFmtId="3" fontId="0" fillId="4" borderId="66" applyAlignment="1" pivotButton="0" quotePrefix="0" xfId="0">
      <alignment vertical="top"/>
    </xf>
    <xf numFmtId="0" fontId="5" fillId="9" borderId="65" applyAlignment="1" pivotButton="0" quotePrefix="0" xfId="0">
      <alignment horizontal="center" vertical="top"/>
    </xf>
    <xf numFmtId="3" fontId="0" fillId="9" borderId="67" applyAlignment="1" pivotButton="0" quotePrefix="0" xfId="0">
      <alignment vertical="top"/>
    </xf>
    <xf numFmtId="0" fontId="1" fillId="2" borderId="2" applyAlignment="1" pivotButton="0" quotePrefix="0" xfId="0">
      <alignment horizontal="center" vertical="center"/>
    </xf>
    <xf numFmtId="164" fontId="3" fillId="3" borderId="4" pivotButton="0" quotePrefix="0" xfId="0"/>
    <xf numFmtId="164" fontId="3" fillId="3" borderId="6" pivotButton="0" quotePrefix="0" xfId="0"/>
    <xf numFmtId="165" fontId="0" fillId="0" borderId="0" pivotButton="0" quotePrefix="0" xfId="0"/>
    <xf numFmtId="3" fontId="7" fillId="0" borderId="19" applyAlignment="1" pivotButton="0" quotePrefix="0" xfId="0">
      <alignment horizontal="center"/>
    </xf>
    <xf numFmtId="4" fontId="0" fillId="4" borderId="20" pivotButton="0" quotePrefix="0" xfId="0"/>
    <xf numFmtId="3" fontId="7" fillId="0" borderId="22" applyAlignment="1" pivotButton="0" quotePrefix="0" xfId="0">
      <alignment horizontal="center"/>
    </xf>
    <xf numFmtId="3" fontId="7" fillId="0" borderId="29" applyAlignment="1" pivotButton="0" quotePrefix="0" xfId="0">
      <alignment horizontal="center"/>
    </xf>
    <xf numFmtId="4" fontId="0" fillId="4" borderId="0" pivotButton="0" quotePrefix="0" xfId="0"/>
    <xf numFmtId="3" fontId="7" fillId="0" borderId="31" applyAlignment="1" pivotButton="0" quotePrefix="0" xfId="0">
      <alignment horizontal="center"/>
    </xf>
    <xf numFmtId="3" fontId="7" fillId="0" borderId="48" applyAlignment="1" pivotButton="0" quotePrefix="0" xfId="0">
      <alignment horizontal="center"/>
    </xf>
    <xf numFmtId="4" fontId="0" fillId="4" borderId="12" pivotButton="0" quotePrefix="0" xfId="0"/>
    <xf numFmtId="3" fontId="7" fillId="0" borderId="50" applyAlignment="1" pivotButton="0" quotePrefix="0" xfId="0">
      <alignment horizontal="center"/>
    </xf>
    <xf numFmtId="4" fontId="0" fillId="4" borderId="54" applyAlignment="1" pivotButton="0" quotePrefix="0" xfId="0">
      <alignment vertical="top"/>
    </xf>
    <xf numFmtId="4" fontId="0" fillId="4" borderId="17" applyAlignment="1" pivotButton="0" quotePrefix="0" xfId="0">
      <alignment vertical="top"/>
    </xf>
    <xf numFmtId="4" fontId="0" fillId="4" borderId="55" applyAlignment="1" pivotButton="0" quotePrefix="0" xfId="0">
      <alignment vertical="top"/>
    </xf>
    <xf numFmtId="4" fontId="0" fillId="4" borderId="56" applyAlignment="1" pivotButton="0" quotePrefix="0" xfId="0">
      <alignment vertical="top"/>
    </xf>
    <xf numFmtId="4" fontId="0" fillId="4" borderId="27" applyAlignment="1" pivotButton="0" quotePrefix="0" xfId="0">
      <alignment vertical="top"/>
    </xf>
    <xf numFmtId="4" fontId="0" fillId="4" borderId="57" applyAlignment="1" pivotButton="0" quotePrefix="0" xfId="0">
      <alignment vertical="top"/>
    </xf>
    <xf numFmtId="4" fontId="0" fillId="4" borderId="58" applyAlignment="1" pivotButton="0" quotePrefix="0" xfId="0">
      <alignment vertical="top"/>
    </xf>
    <xf numFmtId="4" fontId="0" fillId="4" borderId="59" applyAlignment="1" pivotButton="0" quotePrefix="0" xfId="0">
      <alignment vertical="top"/>
    </xf>
    <xf numFmtId="4" fontId="0" fillId="4" borderId="60" applyAlignment="1" pivotButton="0" quotePrefix="0" xfId="0">
      <alignment vertical="top"/>
    </xf>
    <xf numFmtId="4" fontId="0" fillId="8" borderId="62" applyAlignment="1" pivotButton="0" quotePrefix="0" xfId="0">
      <alignment horizontal="right" vertical="top"/>
    </xf>
    <xf numFmtId="4" fontId="0" fillId="8" borderId="36" applyAlignment="1" pivotButton="0" quotePrefix="0" xfId="0">
      <alignment horizontal="right" vertical="top"/>
    </xf>
    <xf numFmtId="4" fontId="0" fillId="8" borderId="63" applyAlignment="1" pivotButton="0" quotePrefix="0" xfId="0">
      <alignment horizontal="right" vertical="top"/>
    </xf>
    <xf numFmtId="4" fontId="0" fillId="4" borderId="62" applyAlignment="1" pivotButton="0" quotePrefix="0" xfId="0">
      <alignment vertical="top"/>
    </xf>
    <xf numFmtId="4" fontId="0" fillId="4" borderId="36" applyAlignment="1" pivotButton="0" quotePrefix="0" xfId="0">
      <alignment vertical="top"/>
    </xf>
    <xf numFmtId="4" fontId="0" fillId="4" borderId="63" applyAlignment="1" pivotButton="0" quotePrefix="0" xfId="0">
      <alignment vertical="top"/>
    </xf>
    <xf numFmtId="4" fontId="0" fillId="6" borderId="64" applyAlignment="1" pivotButton="0" quotePrefix="0" xfId="0">
      <alignment vertical="top"/>
    </xf>
    <xf numFmtId="4" fontId="0" fillId="6" borderId="46" applyAlignment="1" pivotButton="0" quotePrefix="0" xfId="0">
      <alignment vertical="top"/>
    </xf>
    <xf numFmtId="4" fontId="0" fillId="6" borderId="49" applyAlignment="1" pivotButton="0" quotePrefix="0" xfId="0">
      <alignment vertical="top"/>
    </xf>
    <xf numFmtId="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tabSelected="1" zoomScale="80" zoomScaleNormal="80" workbookViewId="0">
      <pane ySplit="13" topLeftCell="A79" activePane="bottomLeft" state="frozen"/>
      <selection activeCell="H10" sqref="H10"/>
      <selection pane="bottomLeft" activeCell="B101" sqref="B10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RxAdvance HTA Groups Rebate1 - M003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01/01/2025</t>
        </is>
      </c>
      <c r="AD17" s="4" t="n"/>
      <c r="AE17" s="4" t="n"/>
      <c r="AF17" s="6" t="n">
        <v>2027</v>
      </c>
    </row>
    <row r="18">
      <c r="B18" s="4" t="n"/>
      <c r="C18" s="4" t="inlineStr">
        <is>
          <t>End Date:</t>
        </is>
      </c>
      <c r="D18" s="116" t="inlineStr">
        <is>
          <t>11/30/2025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11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2027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32107</v>
      </c>
      <c r="E25" s="40" t="n">
        <v>1153747.5</v>
      </c>
      <c r="F25" s="40" t="n">
        <v>965679</v>
      </c>
      <c r="G25" s="41" t="n">
        <v>35.93445354595571</v>
      </c>
      <c r="H25" s="42" t="n">
        <v>30.07689911857227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4485152.572008871</v>
      </c>
      <c r="AI25" s="46" t="n">
        <v>6502.991610080123</v>
      </c>
      <c r="AK25" s="120" t="n">
        <v>1</v>
      </c>
      <c r="AL25" s="44" t="inlineStr">
        <is>
          <t>BIKTARVY</t>
        </is>
      </c>
      <c r="AM25" s="44" t="inlineStr">
        <is>
          <t>HIV-MULTICLASS COMBO</t>
        </is>
      </c>
      <c r="AN25" s="48" t="n">
        <v>101.3643058170182</v>
      </c>
    </row>
    <row r="26">
      <c r="B26" s="49" t="inlineStr">
        <is>
          <t>Retail 90</t>
        </is>
      </c>
      <c r="C26" s="10" t="n"/>
      <c r="D26" s="50" t="n">
        <v>16331</v>
      </c>
      <c r="E26" s="51" t="n">
        <v>1569823.89</v>
      </c>
      <c r="F26" s="51" t="n">
        <v>1189067</v>
      </c>
      <c r="G26" s="52" t="n">
        <v>96.12539893454166</v>
      </c>
      <c r="H26" s="53" t="n">
        <v>72.8104218970057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HUMIRA PEN</t>
        </is>
      </c>
      <c r="AG26" t="inlineStr">
        <is>
          <t>IMMUNOMODULATORS</t>
        </is>
      </c>
      <c r="AH26" s="122" t="n">
        <v>846073.3380457358</v>
      </c>
      <c r="AI26" s="56" t="n">
        <v>189.4409895539809</v>
      </c>
      <c r="AK26" s="123" t="n">
        <v>2</v>
      </c>
      <c r="AL26" t="inlineStr">
        <is>
          <t>OHTUVAYRE</t>
        </is>
      </c>
      <c r="AM26" t="inlineStr">
        <is>
          <t>PDE3 &amp; PDE4 INHIBITORS</t>
        </is>
      </c>
      <c r="AN26" s="58" t="n">
        <v>73.87122570835558</v>
      </c>
    </row>
    <row r="27" ht="15" customHeight="1" thickBot="1">
      <c r="B27" s="59" t="inlineStr">
        <is>
          <t>Mail</t>
        </is>
      </c>
      <c r="C27" s="10" t="n"/>
      <c r="D27" s="60" t="n">
        <v>271</v>
      </c>
      <c r="E27" s="61" t="n">
        <v>31455</v>
      </c>
      <c r="F27" s="61" t="n">
        <v>23764</v>
      </c>
      <c r="G27" s="62" t="n">
        <v>116.070110701107</v>
      </c>
      <c r="H27" s="63" t="n">
        <v>87.69003690036901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DUPIXENT</t>
        </is>
      </c>
      <c r="AG27" t="inlineStr">
        <is>
          <t>CHRONIC INFLAMMATORY DISEASE</t>
        </is>
      </c>
      <c r="AH27" s="122" t="n">
        <v>679878.583986561</v>
      </c>
      <c r="AI27" s="56" t="n">
        <v>580.7009912939548</v>
      </c>
      <c r="AK27" s="123" t="n">
        <v>3</v>
      </c>
      <c r="AL27" t="inlineStr">
        <is>
          <t>ROZLYTREK</t>
        </is>
      </c>
      <c r="AM27" t="inlineStr">
        <is>
          <t>ONCOLOGY</t>
        </is>
      </c>
      <c r="AN27" s="58" t="n">
        <v>9.180623421488455</v>
      </c>
    </row>
    <row r="28" ht="15" customHeight="1" thickTop="1">
      <c r="B28" s="64" t="inlineStr">
        <is>
          <t>Non-Specialty</t>
        </is>
      </c>
      <c r="C28" s="10" t="n"/>
      <c r="D28" s="65" t="n">
        <v>48709</v>
      </c>
      <c r="E28" s="66" t="n">
        <v>2755026.39</v>
      </c>
      <c r="F28" s="66" t="n">
        <v>2178510</v>
      </c>
      <c r="G28" s="67" t="n">
        <v>56.56093103943829</v>
      </c>
      <c r="H28" s="68" t="n">
        <v>44.72499948674783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BREZTRI AEROSPHERE</t>
        </is>
      </c>
      <c r="AG28" t="inlineStr">
        <is>
          <t>LABA LAMA COMBO</t>
        </is>
      </c>
      <c r="AH28" s="122" t="n">
        <v>597696.7696467171</v>
      </c>
      <c r="AI28" s="56" t="n">
        <v>1210.913003344472</v>
      </c>
      <c r="AK28" s="123" t="n">
        <v>4</v>
      </c>
      <c r="AL28" t="inlineStr">
        <is>
          <t>KISQALI</t>
        </is>
      </c>
      <c r="AM28" t="inlineStr">
        <is>
          <t>ONCOLOGY</t>
        </is>
      </c>
      <c r="AN28" s="58" t="n">
        <v>12.62335720454663</v>
      </c>
    </row>
    <row r="29" ht="15" customHeight="1" thickBot="1">
      <c r="B29" s="59" t="inlineStr">
        <is>
          <t>Specialty</t>
        </is>
      </c>
      <c r="C29" s="10" t="n"/>
      <c r="D29" s="60" t="n">
        <v>1746</v>
      </c>
      <c r="E29" s="61" t="n">
        <v>37134.48</v>
      </c>
      <c r="F29" s="61" t="n">
        <v>98497</v>
      </c>
      <c r="G29" s="62" t="n">
        <v>21.26831615120275</v>
      </c>
      <c r="H29" s="63" t="n">
        <v>56.41294387170676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SKYRIZI PEN</t>
        </is>
      </c>
      <c r="AG29" t="inlineStr">
        <is>
          <t>IMMUNOMODULATORS</t>
        </is>
      </c>
      <c r="AH29" s="122" t="n">
        <v>562819.203762886</v>
      </c>
      <c r="AI29" s="56" t="n">
        <v>67.70495355457277</v>
      </c>
      <c r="AK29" s="123" t="n">
        <v>5</v>
      </c>
      <c r="AL29" t="inlineStr">
        <is>
          <t>NUPLAZID</t>
        </is>
      </c>
      <c r="AM29" t="inlineStr">
        <is>
          <t>ATYPICAL ANTIPSYCHOTICS</t>
        </is>
      </c>
      <c r="AN29" s="58" t="n">
        <v>33.44443065581841</v>
      </c>
    </row>
    <row r="30" ht="15.6" customHeight="1" thickBot="1" thickTop="1">
      <c r="B30" s="69" t="inlineStr">
        <is>
          <t>Total</t>
        </is>
      </c>
      <c r="C30" s="10" t="n"/>
      <c r="D30" s="70" t="n">
        <v>50455</v>
      </c>
      <c r="E30" s="71" t="n">
        <v>2792160.87</v>
      </c>
      <c r="F30" s="71" t="n">
        <v>2277007</v>
      </c>
      <c r="G30" s="72" t="n">
        <v>55.33962679615498</v>
      </c>
      <c r="H30" s="73" t="n">
        <v>45.12946189673967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TRULICITY</t>
        </is>
      </c>
      <c r="AG30" t="inlineStr">
        <is>
          <t>GLUCAGON-LIKE PEPTIDE-1 AGONISTS (GLP1)</t>
        </is>
      </c>
      <c r="AH30" s="122" t="n">
        <v>511661.1386850696</v>
      </c>
      <c r="AI30" s="56" t="n">
        <v>758.1776779944734</v>
      </c>
      <c r="AK30" s="123" t="n">
        <v>6</v>
      </c>
      <c r="AL30" t="inlineStr">
        <is>
          <t>ONETOUCH ULTRA</t>
        </is>
      </c>
      <c r="AM30" t="inlineStr">
        <is>
          <t>DIABETES TEST STRIPS</t>
        </is>
      </c>
      <c r="AN30" s="58" t="n">
        <v>630.7031600300147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GEMTESA</t>
        </is>
      </c>
      <c r="AG31" t="inlineStr">
        <is>
          <t>URINARY ANTISPASMODICS &amp; OAB DRUGS</t>
        </is>
      </c>
      <c r="AH31" s="122" t="n">
        <v>382233.8253246067</v>
      </c>
      <c r="AI31" s="56" t="n">
        <v>682.8589505041771</v>
      </c>
      <c r="AK31" s="123" t="n">
        <v>7</v>
      </c>
      <c r="AL31" t="inlineStr">
        <is>
          <t>JUBBONTI</t>
        </is>
      </c>
      <c r="AM31" t="inlineStr">
        <is>
          <t>OSTEOPOROSIS AGENTS</t>
        </is>
      </c>
      <c r="AN31" s="58" t="n">
        <v>79.44526533298979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SKYRIZI</t>
        </is>
      </c>
      <c r="AG32" t="inlineStr">
        <is>
          <t>IMMUNOMODULATORS</t>
        </is>
      </c>
      <c r="AH32" s="122" t="n">
        <v>369206.196133754</v>
      </c>
      <c r="AI32" s="56" t="n">
        <v>45.78173533647929</v>
      </c>
      <c r="AK32" s="123" t="n">
        <v>8</v>
      </c>
      <c r="AL32" t="inlineStr">
        <is>
          <t>PRIVIGEN</t>
        </is>
      </c>
      <c r="AM32" t="inlineStr">
        <is>
          <t>IMMUNE SERUMS</t>
        </is>
      </c>
      <c r="AN32" s="58" t="n">
        <v>11.2344110251479</v>
      </c>
    </row>
    <row r="33">
      <c r="B33" s="38" t="inlineStr">
        <is>
          <t>Retail 30</t>
        </is>
      </c>
      <c r="C33" s="10" t="n"/>
      <c r="D33" s="39" t="n">
        <v>211717</v>
      </c>
      <c r="E33" s="40" t="n">
        <v>11764762.997</v>
      </c>
      <c r="F33" s="40" t="n">
        <v>5096858</v>
      </c>
      <c r="G33" s="41" t="n">
        <v>55.56834357656682</v>
      </c>
      <c r="H33" s="42" t="n">
        <v>24.07391943018274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ERLEADA</t>
        </is>
      </c>
      <c r="AG33" t="inlineStr">
        <is>
          <t>ONCOLOGY</t>
        </is>
      </c>
      <c r="AH33" s="122" t="n">
        <v>313194.4577243056</v>
      </c>
      <c r="AI33" s="56" t="n">
        <v>71.14983151653553</v>
      </c>
      <c r="AK33" s="123" t="n">
        <v>9</v>
      </c>
      <c r="AL33" t="inlineStr">
        <is>
          <t>NEXLIZET</t>
        </is>
      </c>
      <c r="AM33" t="inlineStr">
        <is>
          <t>ACL INHIBITORS &amp; COMBOS</t>
        </is>
      </c>
      <c r="AN33" s="58" t="n">
        <v>162.9289755343502</v>
      </c>
    </row>
    <row r="34">
      <c r="B34" s="49" t="inlineStr">
        <is>
          <t>Retail 90</t>
        </is>
      </c>
      <c r="C34" s="10" t="n"/>
      <c r="D34" s="50" t="n">
        <v>222457</v>
      </c>
      <c r="E34" s="51" t="n">
        <v>23360198.918</v>
      </c>
      <c r="F34" s="51" t="n">
        <v>19365597</v>
      </c>
      <c r="G34" s="52" t="n">
        <v>105.0099521165888</v>
      </c>
      <c r="H34" s="53" t="n">
        <v>87.05321477858642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RINVOQ</t>
        </is>
      </c>
      <c r="AG34" t="inlineStr">
        <is>
          <t>IMMUNOMODULATORS</t>
        </is>
      </c>
      <c r="AH34" s="122" t="n">
        <v>242906.6009746044</v>
      </c>
      <c r="AI34" s="56" t="n">
        <v>80.22009841522772</v>
      </c>
      <c r="AK34" s="123" t="n">
        <v>10</v>
      </c>
      <c r="AL34" t="inlineStr">
        <is>
          <t>DOVATO</t>
        </is>
      </c>
      <c r="AM34" t="inlineStr">
        <is>
          <t>HIV-MULTICLASS COMBO</t>
        </is>
      </c>
      <c r="AN34" s="58" t="n">
        <v>35.96797948345809</v>
      </c>
    </row>
    <row r="35" ht="15" customHeight="1" thickBot="1">
      <c r="B35" s="59" t="inlineStr">
        <is>
          <t>Mail</t>
        </is>
      </c>
      <c r="C35" s="10" t="n"/>
      <c r="D35" s="60" t="n">
        <v>3473</v>
      </c>
      <c r="E35" s="61" t="n">
        <v>403203.3</v>
      </c>
      <c r="F35" s="61" t="n">
        <v>307998</v>
      </c>
      <c r="G35" s="62" t="n">
        <v>116.0965447739706</v>
      </c>
      <c r="H35" s="63" t="n">
        <v>88.68355888281025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COSENTYX UNOREADY</t>
        </is>
      </c>
      <c r="AG35" t="inlineStr">
        <is>
          <t>IMMUNOMODULATORS</t>
        </is>
      </c>
      <c r="AH35" s="122" t="n">
        <v>196882.514267751</v>
      </c>
      <c r="AI35" s="56" t="n">
        <v>42.53972034371863</v>
      </c>
      <c r="AK35" s="123" t="n">
        <v>11</v>
      </c>
      <c r="AL35" t="inlineStr">
        <is>
          <t>KESIMPTA</t>
        </is>
      </c>
      <c r="AM35" t="inlineStr">
        <is>
          <t>MS</t>
        </is>
      </c>
      <c r="AN35" s="58" t="n">
        <v>8.838991353947019</v>
      </c>
    </row>
    <row r="36" ht="15" customHeight="1" thickTop="1">
      <c r="B36" s="64" t="inlineStr">
        <is>
          <t>Non-Specialty</t>
        </is>
      </c>
      <c r="C36" s="10" t="n"/>
      <c r="D36" s="65" t="n">
        <v>437647</v>
      </c>
      <c r="E36" s="66" t="n">
        <v>35528165.215</v>
      </c>
      <c r="F36" s="66" t="n">
        <v>24770453</v>
      </c>
      <c r="G36" s="67" t="n">
        <v>81.1799583111503</v>
      </c>
      <c r="H36" s="68" t="n">
        <v>56.59916096762916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CREON</t>
        </is>
      </c>
      <c r="AG36" t="inlineStr">
        <is>
          <t>DIGESTIVE ENZYMES</t>
        </is>
      </c>
      <c r="AH36" s="122" t="n">
        <v>182113.6173087421</v>
      </c>
      <c r="AI36" s="56" t="n">
        <v>183.2779633371303</v>
      </c>
      <c r="AK36" s="123" t="n">
        <v>12</v>
      </c>
      <c r="AL36" t="inlineStr">
        <is>
          <t>DESCOVY</t>
        </is>
      </c>
      <c r="AM36" t="inlineStr">
        <is>
          <t>HIV-MULTICLASS COMBO</t>
        </is>
      </c>
      <c r="AN36" s="58" t="n">
        <v>35.96797948345809</v>
      </c>
    </row>
    <row r="37" ht="15" customHeight="1" thickBot="1">
      <c r="B37" s="59" t="inlineStr">
        <is>
          <t>Specialty</t>
        </is>
      </c>
      <c r="C37" s="10" t="n"/>
      <c r="D37" s="60" t="n">
        <v>292</v>
      </c>
      <c r="E37" s="61" t="n">
        <v>35656.4</v>
      </c>
      <c r="F37" s="61" t="n">
        <v>9993</v>
      </c>
      <c r="G37" s="62" t="n">
        <v>122.1109589041096</v>
      </c>
      <c r="H37" s="63" t="n">
        <v>34.22260273972603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STIOLTO RESPIMAT</t>
        </is>
      </c>
      <c r="AG37" t="inlineStr">
        <is>
          <t>LABA LAMA COMBO</t>
        </is>
      </c>
      <c r="AH37" s="122" t="n">
        <v>150368.4995924648</v>
      </c>
      <c r="AI37" s="56" t="n">
        <v>389.2615316687251</v>
      </c>
      <c r="AK37" s="123" t="n">
        <v>13</v>
      </c>
      <c r="AL37" t="inlineStr">
        <is>
          <t>IMPAVIDO</t>
        </is>
      </c>
      <c r="AM37" t="inlineStr">
        <is>
          <t>ANTI-INFECTIVE AGENTS - MISC.</t>
        </is>
      </c>
      <c r="AN37" s="58" t="n">
        <v>1.84429453750347</v>
      </c>
    </row>
    <row r="38" ht="15.6" customHeight="1" thickBot="1" thickTop="1">
      <c r="B38" s="69" t="inlineStr">
        <is>
          <t>Total</t>
        </is>
      </c>
      <c r="C38" s="10" t="n"/>
      <c r="D38" s="70" t="n">
        <v>437939</v>
      </c>
      <c r="E38" s="71" t="n">
        <v>35563821.615</v>
      </c>
      <c r="F38" s="71" t="n">
        <v>24780446</v>
      </c>
      <c r="G38" s="72" t="n">
        <v>81.20724944569906</v>
      </c>
      <c r="H38" s="73" t="n">
        <v>56.58424118427452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COSENTYX SENSOREADY PEN</t>
        </is>
      </c>
      <c r="AG38" t="inlineStr">
        <is>
          <t>IMMUNOMODULATORS</t>
        </is>
      </c>
      <c r="AH38" s="122" t="n">
        <v>145976.1620390519</v>
      </c>
      <c r="AI38" s="56" t="n">
        <v>36.41682867681511</v>
      </c>
      <c r="AK38" s="123" t="n">
        <v>14</v>
      </c>
      <c r="AL38" t="inlineStr">
        <is>
          <t>ONETOUCH VERIO TEST STRIPS</t>
        </is>
      </c>
      <c r="AM38" t="inlineStr">
        <is>
          <t>DIABETES TEST STRIPS</t>
        </is>
      </c>
      <c r="AN38" s="58" t="n">
        <v>649.121129802971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FREESTYLE LIBRE 3 PLUS/SENSOR/GLUCOSE MONITORING SYSTEM</t>
        </is>
      </c>
      <c r="AG39" t="inlineStr">
        <is>
          <t>DIABETES MONITORING AND TESTING SUPPLIES</t>
        </is>
      </c>
      <c r="AH39" s="122" t="n">
        <v>130851.9975852997</v>
      </c>
      <c r="AI39" s="56" t="n">
        <v>1776.792378096958</v>
      </c>
      <c r="AK39" s="123" t="n">
        <v>15</v>
      </c>
      <c r="AL39" t="inlineStr">
        <is>
          <t>LYSODREN</t>
        </is>
      </c>
      <c r="AM39" t="inlineStr">
        <is>
          <t>ONCOLOGY</t>
        </is>
      </c>
      <c r="AN39" s="58" t="n">
        <v>11.87983014505911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SPIRIVA RESPIMAT</t>
        </is>
      </c>
      <c r="AG40" t="inlineStr">
        <is>
          <t>LAMA/ACH</t>
        </is>
      </c>
      <c r="AH40" s="122" t="n">
        <v>111582.8160452323</v>
      </c>
      <c r="AI40" s="56" t="n">
        <v>326.6424257603529</v>
      </c>
      <c r="AK40" s="123" t="n">
        <v>16</v>
      </c>
      <c r="AL40" t="inlineStr">
        <is>
          <t>NEXLETOL</t>
        </is>
      </c>
      <c r="AM40" t="inlineStr">
        <is>
          <t>ACL INHIBITORS &amp; COMBOS</t>
        </is>
      </c>
      <c r="AN40" s="58" t="n">
        <v>84.67175106509536</v>
      </c>
    </row>
    <row r="41">
      <c r="B41" s="38" t="inlineStr">
        <is>
          <t>Retail 30</t>
        </is>
      </c>
      <c r="C41" s="10" t="n"/>
      <c r="D41" s="39" t="n">
        <v>243824</v>
      </c>
      <c r="E41" s="40" t="n">
        <v>12918510.497</v>
      </c>
      <c r="F41" s="40" t="n">
        <v>6062537</v>
      </c>
      <c r="G41" s="41" t="n">
        <v>52.98293234874335</v>
      </c>
      <c r="H41" s="42" t="n">
        <v>24.86439809042588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ZENPEP</t>
        </is>
      </c>
      <c r="AG41" t="inlineStr">
        <is>
          <t>DIGESTIVE ENZYMES</t>
        </is>
      </c>
      <c r="AH41" s="122" t="n">
        <v>109743.4473794957</v>
      </c>
      <c r="AI41" s="56" t="n">
        <v>41.55721261714001</v>
      </c>
      <c r="AK41" s="123" t="n">
        <v>17</v>
      </c>
      <c r="AL41" t="inlineStr">
        <is>
          <t>KERENDIA</t>
        </is>
      </c>
      <c r="AM41" t="inlineStr">
        <is>
          <t>NON-STEROIDAL MINERALOCORTICOID RECEPTOR ANTAGONISTS</t>
        </is>
      </c>
      <c r="AN41" s="58" t="n">
        <v>75.69141383091859</v>
      </c>
    </row>
    <row r="42">
      <c r="B42" s="49" t="inlineStr">
        <is>
          <t>Retail 90</t>
        </is>
      </c>
      <c r="C42" s="10" t="n"/>
      <c r="D42" s="50" t="n">
        <v>238788</v>
      </c>
      <c r="E42" s="51" t="n">
        <v>24930022.808</v>
      </c>
      <c r="F42" s="51" t="n">
        <v>20554664</v>
      </c>
      <c r="G42" s="52" t="n">
        <v>104.4023267835905</v>
      </c>
      <c r="H42" s="53" t="n">
        <v>86.07913295475484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PAXLOVID</t>
        </is>
      </c>
      <c r="AG42" t="inlineStr">
        <is>
          <t>MISC. ANTIVIRALS</t>
        </is>
      </c>
      <c r="AH42" s="122" t="n">
        <v>105846.3459741615</v>
      </c>
      <c r="AI42" s="56" t="n">
        <v>397.3074031341287</v>
      </c>
      <c r="AK42" s="123" t="n">
        <v>18</v>
      </c>
      <c r="AL42" t="inlineStr">
        <is>
          <t>WEZLANA</t>
        </is>
      </c>
      <c r="AM42" t="inlineStr">
        <is>
          <t>IMMUNOMODULATORS</t>
        </is>
      </c>
      <c r="AN42" s="58" t="n">
        <v>2.089306808207243</v>
      </c>
    </row>
    <row r="43" ht="15" customHeight="1" thickBot="1">
      <c r="B43" s="59" t="inlineStr">
        <is>
          <t>Mail</t>
        </is>
      </c>
      <c r="C43" s="10" t="n"/>
      <c r="D43" s="60" t="n">
        <v>3744</v>
      </c>
      <c r="E43" s="61" t="n">
        <v>434658.3</v>
      </c>
      <c r="F43" s="61" t="n">
        <v>331762</v>
      </c>
      <c r="G43" s="62" t="n">
        <v>116.0946314102564</v>
      </c>
      <c r="H43" s="63" t="n">
        <v>88.61164529914529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EMGALITY</t>
        </is>
      </c>
      <c r="AG43" t="inlineStr">
        <is>
          <t>MIGRAINE PRODUCTS</t>
        </is>
      </c>
      <c r="AH43" s="122" t="n">
        <v>96931.03874979376</v>
      </c>
      <c r="AI43" s="56" t="n">
        <v>204.0127137102595</v>
      </c>
      <c r="AK43" s="123" t="n">
        <v>19</v>
      </c>
      <c r="AL43" t="inlineStr">
        <is>
          <t>TRIUMEQ</t>
        </is>
      </c>
      <c r="AM43" t="inlineStr">
        <is>
          <t>HIV-MULTICLASS COMBO</t>
        </is>
      </c>
      <c r="AN43" s="58" t="n">
        <v>13.07926526671203</v>
      </c>
    </row>
    <row r="44" ht="15.6" customHeight="1" thickBot="1" thickTop="1">
      <c r="B44" s="64" t="inlineStr">
        <is>
          <t>Non-Specialty</t>
        </is>
      </c>
      <c r="C44" s="10" t="n"/>
      <c r="D44" s="65" t="n">
        <v>486356</v>
      </c>
      <c r="E44" s="66" t="n">
        <v>38283191.605</v>
      </c>
      <c r="F44" s="66" t="n">
        <v>26948963</v>
      </c>
      <c r="G44" s="67" t="n">
        <v>78.71434012328417</v>
      </c>
      <c r="H44" s="68" t="n">
        <v>55.40995279178215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PROLIA</t>
        </is>
      </c>
      <c r="AG44" s="82" t="inlineStr">
        <is>
          <t>OSTEOPOROSIS AGENTS</t>
        </is>
      </c>
      <c r="AH44" s="125" t="n">
        <v>89158.2690825083</v>
      </c>
      <c r="AI44" s="84" t="n">
        <v>238.3357959989694</v>
      </c>
      <c r="AK44" s="126" t="n">
        <v>20</v>
      </c>
      <c r="AL44" s="86" t="inlineStr">
        <is>
          <t>TRESIBA FLEXTOUCH</t>
        </is>
      </c>
      <c r="AM44" s="86" t="inlineStr">
        <is>
          <t>BASAL INSULIN</t>
        </is>
      </c>
      <c r="AN44" s="87" t="n">
        <v>473.6343829769097</v>
      </c>
    </row>
    <row r="45" ht="15" customHeight="1" thickBot="1">
      <c r="B45" s="59" t="inlineStr">
        <is>
          <t>Specialty</t>
        </is>
      </c>
      <c r="C45" s="10" t="n"/>
      <c r="D45" s="60" t="n">
        <v>2038</v>
      </c>
      <c r="E45" s="61" t="n">
        <v>72790.88</v>
      </c>
      <c r="F45" s="61" t="n">
        <v>108490</v>
      </c>
      <c r="G45" s="62" t="n">
        <v>35.71682041216879</v>
      </c>
      <c r="H45" s="63" t="n">
        <v>53.23356231599607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488394</v>
      </c>
      <c r="E46" s="71" t="n">
        <v>38355982.485</v>
      </c>
      <c r="F46" s="71" t="n">
        <v>27057453</v>
      </c>
      <c r="G46" s="72" t="n">
        <v>78.53491747441615</v>
      </c>
      <c r="H46" s="73" t="n">
        <v>55.40087101807148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4996813.710693942</v>
      </c>
      <c r="AH49" s="46" t="n">
        <v>7261.169288074598</v>
      </c>
    </row>
    <row r="50" ht="15" customHeight="1" thickBot="1">
      <c r="AE50" s="121" t="n">
        <v>2</v>
      </c>
      <c r="AF50" t="inlineStr">
        <is>
          <t>IMMUNOMODULATORS</t>
        </is>
      </c>
      <c r="AG50" s="122" t="n">
        <v>2605825.366236278</v>
      </c>
      <c r="AH50" s="56" t="n">
        <v>612.6259182172483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2027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LABA LAMA COMBO</t>
        </is>
      </c>
      <c r="AG51" s="122" t="n">
        <v>763392.075933326</v>
      </c>
      <c r="AH51" s="56" t="n">
        <v>1746.424073544983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CHRONIC INFLAMMATORY DISEASE</t>
        </is>
      </c>
      <c r="AG52" s="122" t="n">
        <v>679878.583986561</v>
      </c>
      <c r="AH52" s="56" t="n">
        <v>586.0125314758862</v>
      </c>
    </row>
    <row r="53">
      <c r="B53" s="38" t="inlineStr">
        <is>
          <t>OTCs</t>
        </is>
      </c>
      <c r="D53" s="127" t="n">
        <v>1347</v>
      </c>
      <c r="E53" s="128" t="n">
        <v>1403</v>
      </c>
      <c r="F53" s="128" t="n">
        <v>16</v>
      </c>
      <c r="G53" s="128" t="n">
        <v>0</v>
      </c>
      <c r="H53" s="129" t="n">
        <v>2766</v>
      </c>
      <c r="J53" s="127" t="n">
        <v>1360.461874663778</v>
      </c>
      <c r="K53" s="128" t="n">
        <v>1442.583703144494</v>
      </c>
      <c r="L53" s="128" t="n">
        <v>16.81060051458184</v>
      </c>
      <c r="M53" s="128" t="n">
        <v>0</v>
      </c>
      <c r="N53" s="129" t="n">
        <v>2819.856178322854</v>
      </c>
      <c r="P53" s="127" t="n">
        <v>1374.950469289653</v>
      </c>
      <c r="Q53" s="128" t="n">
        <v>1467.885546217304</v>
      </c>
      <c r="R53" s="128" t="n">
        <v>17.34055365383277</v>
      </c>
      <c r="S53" s="128" t="n">
        <v>0</v>
      </c>
      <c r="T53" s="129" t="n">
        <v>2860.176569160789</v>
      </c>
      <c r="V53" s="127" t="n">
        <v>1391.766589336762</v>
      </c>
      <c r="W53" s="128" t="n">
        <v>1490.435200163811</v>
      </c>
      <c r="X53" s="128" t="n">
        <v>17.72189602814375</v>
      </c>
      <c r="Y53" s="128" t="n">
        <v>0</v>
      </c>
      <c r="Z53" s="129" t="n">
        <v>2899.923685528717</v>
      </c>
      <c r="AE53" s="121" t="n">
        <v>5</v>
      </c>
      <c r="AF53" t="inlineStr">
        <is>
          <t>URINARY ANTISPASMODICS &amp; OAB DRUGS</t>
        </is>
      </c>
      <c r="AG53" s="122" t="n">
        <v>382233.8253246067</v>
      </c>
      <c r="AH53" s="56" t="n">
        <v>683.223513430522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ONCOLOGY</t>
        </is>
      </c>
      <c r="AG54" s="122" t="n">
        <v>313194.4577243056</v>
      </c>
      <c r="AH54" s="56" t="n">
        <v>112.8666877814321</v>
      </c>
    </row>
    <row r="55">
      <c r="B55" s="64" t="inlineStr">
        <is>
          <t>Vaccines</t>
        </is>
      </c>
      <c r="D55" s="130" t="n">
        <v>9389</v>
      </c>
      <c r="E55" s="131" t="n">
        <v>7</v>
      </c>
      <c r="F55" s="131" t="n">
        <v>0</v>
      </c>
      <c r="G55" s="131" t="n">
        <v>0</v>
      </c>
      <c r="H55" s="132" t="n">
        <v>9396</v>
      </c>
      <c r="J55" s="130" t="n">
        <v>9604.744793221946</v>
      </c>
      <c r="K55" s="131" t="n">
        <v>7.468734608523377</v>
      </c>
      <c r="L55" s="131" t="n">
        <v>0</v>
      </c>
      <c r="M55" s="131" t="n">
        <v>0</v>
      </c>
      <c r="N55" s="132" t="n">
        <v>9612.213527830469</v>
      </c>
      <c r="P55" s="130" t="n">
        <v>9711.100612668353</v>
      </c>
      <c r="Q55" s="131" t="n">
        <v>7.681420291833214</v>
      </c>
      <c r="R55" s="131" t="n">
        <v>0</v>
      </c>
      <c r="S55" s="131" t="n">
        <v>0</v>
      </c>
      <c r="T55" s="132" t="n">
        <v>9718.782032960187</v>
      </c>
      <c r="V55" s="130" t="n">
        <v>9788.465905473897</v>
      </c>
      <c r="W55" s="131" t="n">
        <v>7.841870691875749</v>
      </c>
      <c r="X55" s="131" t="n">
        <v>0</v>
      </c>
      <c r="Y55" s="131" t="n">
        <v>0</v>
      </c>
      <c r="Z55" s="132" t="n">
        <v>9796.307776165773</v>
      </c>
      <c r="AE55" s="121" t="n">
        <v>7</v>
      </c>
      <c r="AF55" t="inlineStr">
        <is>
          <t>DIGESTIVE ENZYMES</t>
        </is>
      </c>
      <c r="AG55" s="122" t="n">
        <v>291857.0646882378</v>
      </c>
      <c r="AH55" s="56" t="n">
        <v>224.8351759542703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MIGRAINE PRODUCTS</t>
        </is>
      </c>
      <c r="AG56" s="122" t="n">
        <v>246964.8044843118</v>
      </c>
      <c r="AH56" s="56" t="n">
        <v>457.5545255467092</v>
      </c>
    </row>
    <row r="57">
      <c r="B57" s="64" t="inlineStr">
        <is>
          <t>MSBs</t>
        </is>
      </c>
      <c r="D57" s="130" t="n">
        <v>2931</v>
      </c>
      <c r="E57" s="131" t="n">
        <v>1459</v>
      </c>
      <c r="F57" s="131" t="n">
        <v>29</v>
      </c>
      <c r="G57" s="131" t="n">
        <v>87</v>
      </c>
      <c r="H57" s="132" t="n">
        <v>4506</v>
      </c>
      <c r="J57" s="130" t="n">
        <v>1744.054218418617</v>
      </c>
      <c r="K57" s="131" t="n">
        <v>1050.980920266796</v>
      </c>
      <c r="L57" s="131" t="n">
        <v>13.46605752084745</v>
      </c>
      <c r="M57" s="131" t="n">
        <v>41.96486816008204</v>
      </c>
      <c r="N57" s="132" t="n">
        <v>2850.466064366342</v>
      </c>
      <c r="P57" s="130" t="n">
        <v>1635.212972539078</v>
      </c>
      <c r="Q57" s="131" t="n">
        <v>1001.385901888838</v>
      </c>
      <c r="R57" s="131" t="n">
        <v>11.50133525344111</v>
      </c>
      <c r="S57" s="131" t="n">
        <v>41.68803870239996</v>
      </c>
      <c r="T57" s="132" t="n">
        <v>2689.788248383757</v>
      </c>
      <c r="V57" s="130" t="n">
        <v>1409.614172356645</v>
      </c>
      <c r="W57" s="131" t="n">
        <v>964.2203879681116</v>
      </c>
      <c r="X57" s="131" t="n">
        <v>9.80421488211929</v>
      </c>
      <c r="Y57" s="131" t="n">
        <v>42.13077516565712</v>
      </c>
      <c r="Z57" s="132" t="n">
        <v>2425.769550372533</v>
      </c>
      <c r="AE57" s="121" t="n">
        <v>9</v>
      </c>
      <c r="AF57" t="inlineStr">
        <is>
          <t>BASAL INSULIN</t>
        </is>
      </c>
      <c r="AG57" s="122" t="n">
        <v>164356.4629033951</v>
      </c>
      <c r="AH57" s="56" t="n">
        <v>1638.122906921952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LAMA/ACH</t>
        </is>
      </c>
      <c r="AG58" s="122" t="n">
        <v>157726.9288691788</v>
      </c>
      <c r="AH58" s="56" t="n">
        <v>462.5086911719521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1143</v>
      </c>
      <c r="H59" s="132" t="n">
        <v>1143</v>
      </c>
      <c r="J59" s="130" t="n">
        <v>0</v>
      </c>
      <c r="K59" s="131" t="n">
        <v>0</v>
      </c>
      <c r="L59" s="131" t="n">
        <v>0</v>
      </c>
      <c r="M59" s="131" t="n">
        <v>1251.272016547032</v>
      </c>
      <c r="N59" s="132" t="n">
        <v>1251.272016547032</v>
      </c>
      <c r="P59" s="130" t="n">
        <v>0</v>
      </c>
      <c r="Q59" s="131" t="n">
        <v>0</v>
      </c>
      <c r="R59" s="131" t="n">
        <v>0</v>
      </c>
      <c r="S59" s="131" t="n">
        <v>1340.040023429968</v>
      </c>
      <c r="T59" s="132" t="n">
        <v>1340.040023429968</v>
      </c>
      <c r="V59" s="130" t="n">
        <v>0</v>
      </c>
      <c r="W59" s="131" t="n">
        <v>0</v>
      </c>
      <c r="X59" s="131" t="n">
        <v>0</v>
      </c>
      <c r="Y59" s="131" t="n">
        <v>1395.880080084951</v>
      </c>
      <c r="Z59" s="132" t="n">
        <v>1395.880080084951</v>
      </c>
      <c r="AE59" s="121" t="n">
        <v>11</v>
      </c>
      <c r="AF59" t="inlineStr">
        <is>
          <t>DIABETES MONITORING AND TESTING SUPPLIES</t>
        </is>
      </c>
      <c r="AG59" s="122" t="n">
        <v>139907.9944236459</v>
      </c>
      <c r="AH59" s="56" t="n">
        <v>1894.11775226041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MISC. ANTIVIRALS</t>
        </is>
      </c>
      <c r="AG60" s="122" t="n">
        <v>126310.8446137636</v>
      </c>
      <c r="AH60" s="56" t="n">
        <v>473.1751484562236</v>
      </c>
    </row>
    <row r="61">
      <c r="B61" s="64" t="inlineStr">
        <is>
          <t>Formulary Exclusions</t>
        </is>
      </c>
      <c r="D61" s="130" t="n">
        <v>2579</v>
      </c>
      <c r="E61" s="131" t="n">
        <v>785</v>
      </c>
      <c r="F61" s="131" t="n">
        <v>22</v>
      </c>
      <c r="G61" s="131" t="n">
        <v>68</v>
      </c>
      <c r="H61" s="132" t="n">
        <v>3454</v>
      </c>
      <c r="J61" s="130" t="n">
        <v>3475.77049067758</v>
      </c>
      <c r="K61" s="131" t="n">
        <v>1879.236665364516</v>
      </c>
      <c r="L61" s="131" t="n">
        <v>40.88056000062585</v>
      </c>
      <c r="M61" s="131" t="n">
        <v>83.07733275588409</v>
      </c>
      <c r="N61" s="132" t="n">
        <v>5478.965048798607</v>
      </c>
      <c r="P61" s="130" t="n">
        <v>4130.131957310844</v>
      </c>
      <c r="Q61" s="131" t="n">
        <v>2671.817886250134</v>
      </c>
      <c r="R61" s="131" t="n">
        <v>54.47014864180036</v>
      </c>
      <c r="S61" s="131" t="n">
        <v>91.05240222120837</v>
      </c>
      <c r="T61" s="132" t="n">
        <v>6947.472394423987</v>
      </c>
      <c r="V61" s="130" t="n">
        <v>4273.151023763351</v>
      </c>
      <c r="W61" s="131" t="n">
        <v>2806.341432842156</v>
      </c>
      <c r="X61" s="131" t="n">
        <v>57.02415701411742</v>
      </c>
      <c r="Y61" s="131" t="n">
        <v>101.0761670850872</v>
      </c>
      <c r="Z61" s="132" t="n">
        <v>7237.592780704711</v>
      </c>
      <c r="AE61" s="121" t="n">
        <v>13</v>
      </c>
      <c r="AF61" t="inlineStr">
        <is>
          <t>OPHTHALMICS - RHO KINASE INHIBITOR &amp; COMBOS</t>
        </is>
      </c>
      <c r="AG61" s="122" t="n">
        <v>91243.33193643911</v>
      </c>
      <c r="AH61" s="56" t="n">
        <v>272.1384864083959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OSTEOPOROSIS AGENTS</t>
        </is>
      </c>
      <c r="AG62" s="122" t="n">
        <v>89158.2690825083</v>
      </c>
      <c r="AH62" s="56" t="n">
        <v>330.5085322076429</v>
      </c>
    </row>
    <row r="63">
      <c r="B63" s="64" t="inlineStr">
        <is>
          <t>Misc</t>
        </is>
      </c>
      <c r="D63" s="130" t="n">
        <v>1695</v>
      </c>
      <c r="E63" s="131" t="n">
        <v>1331</v>
      </c>
      <c r="F63" s="131" t="n">
        <v>23</v>
      </c>
      <c r="G63" s="131" t="n">
        <v>2</v>
      </c>
      <c r="H63" s="132" t="n">
        <v>3051</v>
      </c>
      <c r="J63" s="130" t="n">
        <v>2399.052334449065</v>
      </c>
      <c r="K63" s="131" t="n">
        <v>1992.31258498821</v>
      </c>
      <c r="L63" s="131" t="n">
        <v>33.57613890171319</v>
      </c>
      <c r="M63" s="131" t="n">
        <v>209.6733577939747</v>
      </c>
      <c r="N63" s="132" t="n">
        <v>4634.614416132963</v>
      </c>
      <c r="P63" s="130" t="n">
        <v>2826.131680913324</v>
      </c>
      <c r="Q63" s="131" t="n">
        <v>2417.817724958292</v>
      </c>
      <c r="R63" s="131" t="n">
        <v>40.463977920018</v>
      </c>
      <c r="S63" s="131" t="n">
        <v>231.3531612844695</v>
      </c>
      <c r="T63" s="132" t="n">
        <v>5515.766545076103</v>
      </c>
      <c r="V63" s="130" t="n">
        <v>3333.582500652559</v>
      </c>
      <c r="W63" s="131" t="n">
        <v>2919.67757570038</v>
      </c>
      <c r="X63" s="131" t="n">
        <v>48.29562868547174</v>
      </c>
      <c r="Y63" s="131" t="n">
        <v>250.4907355877558</v>
      </c>
      <c r="Z63" s="132" t="n">
        <v>6552.046440626166</v>
      </c>
      <c r="AE63" s="121" t="n">
        <v>15</v>
      </c>
      <c r="AF63" t="inlineStr">
        <is>
          <t>POTASSIUM REMOVING AGENTS</t>
        </is>
      </c>
      <c r="AG63" s="122" t="n">
        <v>73879.08277685668</v>
      </c>
      <c r="AH63" s="56" t="n">
        <v>130.8563425551474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2</v>
      </c>
      <c r="H64" s="135" t="n">
        <v>2</v>
      </c>
      <c r="J64" s="133" t="n">
        <v>0</v>
      </c>
      <c r="K64" s="134" t="n">
        <v>0</v>
      </c>
      <c r="L64" s="134" t="n">
        <v>0</v>
      </c>
      <c r="M64" s="134" t="n">
        <v>1.61693912030697</v>
      </c>
      <c r="N64" s="135" t="n">
        <v>1.61693912030697</v>
      </c>
      <c r="P64" s="133" t="n">
        <v>0</v>
      </c>
      <c r="Q64" s="134" t="n">
        <v>0</v>
      </c>
      <c r="R64" s="134" t="n">
        <v>0</v>
      </c>
      <c r="S64" s="134" t="n">
        <v>1.640449587259669</v>
      </c>
      <c r="T64" s="135" t="n">
        <v>1.640449587259669</v>
      </c>
      <c r="V64" s="133" t="n">
        <v>0</v>
      </c>
      <c r="W64" s="134" t="n">
        <v>0</v>
      </c>
      <c r="X64" s="134" t="n">
        <v>0</v>
      </c>
      <c r="Y64" s="134" t="n">
        <v>1.709600881596582</v>
      </c>
      <c r="Z64" s="135" t="n">
        <v>1.709600881596582</v>
      </c>
      <c r="AE64" s="121" t="n">
        <v>16</v>
      </c>
      <c r="AF64" t="inlineStr">
        <is>
          <t>OPHTHALMIC PROSTAGLANDINS</t>
        </is>
      </c>
      <c r="AG64" s="122" t="n">
        <v>68499.72142474953</v>
      </c>
      <c r="AH64" s="56" t="n">
        <v>229.4341204836981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 2026, 2027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ATYPICAL ANTIPSYCHOTICS</t>
        </is>
      </c>
      <c r="AG65" s="122" t="n">
        <v>67946.46727132701</v>
      </c>
      <c r="AH65" s="56" t="n">
        <v>188.8163368822109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ANTIARRHYTHMICS</t>
        </is>
      </c>
      <c r="AG66" s="122" t="n">
        <v>64589.03808480527</v>
      </c>
      <c r="AH66" s="56" t="n">
        <v>108.1413547605109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1900.278059066834</v>
      </c>
      <c r="K67" s="140" t="n">
        <v>1114.495647238112</v>
      </c>
      <c r="L67" s="140" t="n">
        <v>22.34085682814803</v>
      </c>
      <c r="M67" s="140" t="n">
        <v>193.8046836844156</v>
      </c>
      <c r="N67" s="141" t="n">
        <v>3230.919246817511</v>
      </c>
      <c r="P67" s="139" t="n">
        <v>1376.52034078133</v>
      </c>
      <c r="Q67" s="140" t="n">
        <v>474.1870466229238</v>
      </c>
      <c r="R67" s="140" t="n">
        <v>10.15020924840391</v>
      </c>
      <c r="S67" s="140" t="n">
        <v>195.9246325159089</v>
      </c>
      <c r="T67" s="141" t="n">
        <v>2056.782229168566</v>
      </c>
      <c r="V67" s="139" t="n">
        <v>1409.31120853687</v>
      </c>
      <c r="W67" s="140" t="n">
        <v>497.2231949594201</v>
      </c>
      <c r="X67" s="140" t="n">
        <v>10.97973574079871</v>
      </c>
      <c r="Y67" s="140" t="n">
        <v>208.2943256733983</v>
      </c>
      <c r="Z67" s="141" t="n">
        <v>2125.808464910487</v>
      </c>
      <c r="AE67" s="121" t="n">
        <v>19</v>
      </c>
      <c r="AF67" t="inlineStr">
        <is>
          <t>OPIOID AGONISTS &amp; COMBOS</t>
        </is>
      </c>
      <c r="AG67" s="122" t="n">
        <v>63735.35805642563</v>
      </c>
      <c r="AH67" s="56" t="n">
        <v>182.4815355620256</v>
      </c>
    </row>
    <row r="68" ht="15.6" customHeight="1" thickBot="1" thickTop="1">
      <c r="B68" s="69" t="inlineStr">
        <is>
          <t>Total</t>
        </is>
      </c>
      <c r="D68" s="142" t="n">
        <v>17941</v>
      </c>
      <c r="E68" s="143" t="n">
        <v>4985</v>
      </c>
      <c r="F68" s="143" t="n">
        <v>90</v>
      </c>
      <c r="G68" s="143" t="n">
        <v>1300</v>
      </c>
      <c r="H68" s="144" t="n">
        <v>24318</v>
      </c>
      <c r="J68" s="142" t="n">
        <v>20484.36177049782</v>
      </c>
      <c r="K68" s="143" t="n">
        <v>7487.078255610652</v>
      </c>
      <c r="L68" s="143" t="n">
        <v>127.0742137659164</v>
      </c>
      <c r="M68" s="143" t="n">
        <v>1779.792258941388</v>
      </c>
      <c r="N68" s="144" t="n">
        <v>29879.92343793609</v>
      </c>
      <c r="P68" s="142" t="n">
        <v>21054.04803350258</v>
      </c>
      <c r="Q68" s="143" t="n">
        <v>8040.775526229325</v>
      </c>
      <c r="R68" s="143" t="n">
        <v>133.9262247174962</v>
      </c>
      <c r="S68" s="143" t="n">
        <v>1900.058258153955</v>
      </c>
      <c r="T68" s="144" t="n">
        <v>31130.44849219062</v>
      </c>
      <c r="V68" s="142" t="n">
        <v>21605.89140012008</v>
      </c>
      <c r="W68" s="143" t="n">
        <v>8685.739662325754</v>
      </c>
      <c r="X68" s="143" t="n">
        <v>143.8256323506509</v>
      </c>
      <c r="Y68" s="143" t="n">
        <v>1997.87208359685</v>
      </c>
      <c r="Z68" s="144" t="n">
        <v>32435.03837927494</v>
      </c>
      <c r="AE68" s="124" t="n">
        <v>20</v>
      </c>
      <c r="AF68" s="82" t="inlineStr">
        <is>
          <t>SEDATIVE HYPNOTICS</t>
        </is>
      </c>
      <c r="AG68" s="125" t="n">
        <v>63724.53791713162</v>
      </c>
      <c r="AH68" s="84" t="n">
        <v>178.1609603833926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7</v>
      </c>
      <c r="E71" s="128" t="n">
        <v>5</v>
      </c>
      <c r="F71" s="128" t="n">
        <v>0</v>
      </c>
      <c r="G71" s="128" t="n">
        <v>0</v>
      </c>
      <c r="H71" s="129" t="n">
        <v>12</v>
      </c>
      <c r="J71" s="127" t="n">
        <v>7.750518176765181</v>
      </c>
      <c r="K71" s="128" t="n">
        <v>4.33584327075745</v>
      </c>
      <c r="L71" s="128" t="n">
        <v>0</v>
      </c>
      <c r="M71" s="128" t="n">
        <v>0</v>
      </c>
      <c r="N71" s="129" t="n">
        <v>12.08636144752263</v>
      </c>
      <c r="P71" s="127" t="n">
        <v>8.192848110463446</v>
      </c>
      <c r="Q71" s="128" t="n">
        <v>4.071420362981852</v>
      </c>
      <c r="R71" s="128" t="n">
        <v>0</v>
      </c>
      <c r="S71" s="128" t="n">
        <v>0</v>
      </c>
      <c r="T71" s="129" t="n">
        <v>12.2642684734453</v>
      </c>
      <c r="V71" s="127" t="n">
        <v>8.682800100355173</v>
      </c>
      <c r="W71" s="128" t="n">
        <v>3.832345246287813</v>
      </c>
      <c r="X71" s="128" t="n">
        <v>0</v>
      </c>
      <c r="Y71" s="128" t="n">
        <v>0</v>
      </c>
      <c r="Z71" s="129" t="n">
        <v>12.51514534664299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2421</v>
      </c>
      <c r="E75" s="131" t="n">
        <v>373</v>
      </c>
      <c r="F75" s="131" t="n">
        <v>5</v>
      </c>
      <c r="G75" s="131" t="n">
        <v>0</v>
      </c>
      <c r="H75" s="132" t="n">
        <v>2799</v>
      </c>
      <c r="J75" s="130" t="n">
        <v>7197.985321755256</v>
      </c>
      <c r="K75" s="131" t="n">
        <v>2449.55639459372</v>
      </c>
      <c r="L75" s="131" t="n">
        <v>65.41942268273522</v>
      </c>
      <c r="M75" s="131" t="n">
        <v>19.05646504017929</v>
      </c>
      <c r="N75" s="132" t="n">
        <v>9732.017604071891</v>
      </c>
      <c r="P75" s="130" t="n">
        <v>8157.149229625111</v>
      </c>
      <c r="Q75" s="131" t="n">
        <v>2891.426278414408</v>
      </c>
      <c r="R75" s="131" t="n">
        <v>77.95867935544808</v>
      </c>
      <c r="S75" s="131" t="n">
        <v>20.56193962167864</v>
      </c>
      <c r="T75" s="132" t="n">
        <v>11147.09612701665</v>
      </c>
      <c r="V75" s="130" t="n">
        <v>9996.096520677067</v>
      </c>
      <c r="W75" s="131" t="n">
        <v>3404.183159089577</v>
      </c>
      <c r="X75" s="131" t="n">
        <v>96.66477524674978</v>
      </c>
      <c r="Y75" s="131" t="n">
        <v>21.82725051307309</v>
      </c>
      <c r="Z75" s="132" t="n">
        <v>13518.77170552647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68</v>
      </c>
      <c r="H77" s="132" t="n">
        <v>68</v>
      </c>
      <c r="J77" s="130" t="n">
        <v>0</v>
      </c>
      <c r="K77" s="131" t="n">
        <v>0</v>
      </c>
      <c r="L77" s="131" t="n">
        <v>0</v>
      </c>
      <c r="M77" s="131" t="n">
        <v>179.755418341803</v>
      </c>
      <c r="N77" s="132" t="n">
        <v>179.755418341803</v>
      </c>
      <c r="P77" s="130" t="n">
        <v>0</v>
      </c>
      <c r="Q77" s="131" t="n">
        <v>0</v>
      </c>
      <c r="R77" s="131" t="n">
        <v>0</v>
      </c>
      <c r="S77" s="131" t="n">
        <v>232.6051624475786</v>
      </c>
      <c r="T77" s="132" t="n">
        <v>232.6051624475786</v>
      </c>
      <c r="V77" s="130" t="n">
        <v>0</v>
      </c>
      <c r="W77" s="131" t="n">
        <v>0</v>
      </c>
      <c r="X77" s="131" t="n">
        <v>0</v>
      </c>
      <c r="Y77" s="131" t="n">
        <v>302.4812668391931</v>
      </c>
      <c r="Z77" s="132" t="n">
        <v>302.4812668391931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2006</v>
      </c>
      <c r="E79" s="131" t="n">
        <v>2399</v>
      </c>
      <c r="F79" s="131" t="n">
        <v>10</v>
      </c>
      <c r="G79" s="131" t="n">
        <v>23</v>
      </c>
      <c r="H79" s="132" t="n">
        <v>4438</v>
      </c>
      <c r="J79" s="130" t="n">
        <v>2209.568549907321</v>
      </c>
      <c r="K79" s="131" t="n">
        <v>2593.333683184456</v>
      </c>
      <c r="L79" s="131" t="n">
        <v>10.83583126299182</v>
      </c>
      <c r="M79" s="131" t="n">
        <v>26.18930320257346</v>
      </c>
      <c r="N79" s="132" t="n">
        <v>4839.927367557342</v>
      </c>
      <c r="P79" s="130" t="n">
        <v>2292.902614467378</v>
      </c>
      <c r="Q79" s="131" t="n">
        <v>2663.39792184583</v>
      </c>
      <c r="R79" s="131" t="n">
        <v>11.13788013767394</v>
      </c>
      <c r="S79" s="131" t="n">
        <v>27.565414861867</v>
      </c>
      <c r="T79" s="132" t="n">
        <v>4995.00383131275</v>
      </c>
      <c r="V79" s="130" t="n">
        <v>2339.927961197535</v>
      </c>
      <c r="W79" s="131" t="n">
        <v>2717.102643076892</v>
      </c>
      <c r="X79" s="131" t="n">
        <v>11.3701704635769</v>
      </c>
      <c r="Y79" s="131" t="n">
        <v>29.21374271380387</v>
      </c>
      <c r="Z79" s="132" t="n">
        <v>5097.614517451808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0</v>
      </c>
      <c r="K81" s="131" t="n">
        <v>0</v>
      </c>
      <c r="L81" s="131" t="n">
        <v>0</v>
      </c>
      <c r="M81" s="131" t="n">
        <v>0.6342430371881846</v>
      </c>
      <c r="N81" s="132" t="n">
        <v>0.6342430371881846</v>
      </c>
      <c r="P81" s="130" t="n">
        <v>0</v>
      </c>
      <c r="Q81" s="131" t="n">
        <v>0</v>
      </c>
      <c r="R81" s="131" t="n">
        <v>0</v>
      </c>
      <c r="S81" s="131" t="n">
        <v>0.7092703061041448</v>
      </c>
      <c r="T81" s="132" t="n">
        <v>0.7092703061041448</v>
      </c>
      <c r="V81" s="130" t="n">
        <v>0</v>
      </c>
      <c r="W81" s="131" t="n">
        <v>0</v>
      </c>
      <c r="X81" s="131" t="n">
        <v>0</v>
      </c>
      <c r="Y81" s="131" t="n">
        <v>0.7622658580093002</v>
      </c>
      <c r="Z81" s="132" t="n">
        <v>0.7622658580093002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0.6342430371881935</v>
      </c>
      <c r="N82" s="135" t="n">
        <v>0.6342430371881935</v>
      </c>
      <c r="P82" s="133" t="n">
        <v>0</v>
      </c>
      <c r="Q82" s="134" t="n">
        <v>0</v>
      </c>
      <c r="R82" s="134" t="n">
        <v>0</v>
      </c>
      <c r="S82" s="134" t="n">
        <v>0.7092703061041666</v>
      </c>
      <c r="T82" s="135" t="n">
        <v>0.7092703061041666</v>
      </c>
      <c r="V82" s="133" t="n">
        <v>0</v>
      </c>
      <c r="W82" s="134" t="n">
        <v>0</v>
      </c>
      <c r="X82" s="134" t="n">
        <v>0</v>
      </c>
      <c r="Y82" s="134" t="n">
        <v>0.7622658580093674</v>
      </c>
      <c r="Z82" s="135" t="n">
        <v>0.7622658580093674</v>
      </c>
    </row>
    <row r="83">
      <c r="A83" s="98" t="inlineStr">
        <is>
          <t>Added MFP row but needs adjusting for non-CY</t>
        </is>
      </c>
      <c r="B83" s="64" t="inlineStr">
        <is>
          <t>MFP 2026, 2027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212099.4593786842</v>
      </c>
      <c r="K85" s="140" t="n">
        <v>223453.9364003303</v>
      </c>
      <c r="L85" s="140" t="n">
        <v>3494.351149346138</v>
      </c>
      <c r="M85" s="140" t="n">
        <v>328.4039082666113</v>
      </c>
      <c r="N85" s="141" t="n">
        <v>439376.1508366273</v>
      </c>
      <c r="P85" s="139" t="n">
        <v>215866.620434553</v>
      </c>
      <c r="Q85" s="140" t="n">
        <v>228713.3997223013</v>
      </c>
      <c r="R85" s="140" t="n">
        <v>3563.632499004144</v>
      </c>
      <c r="S85" s="140" t="n">
        <v>340.6424710336581</v>
      </c>
      <c r="T85" s="141" t="n">
        <v>448484.2951268921</v>
      </c>
      <c r="V85" s="139" t="n">
        <v>217786.8806903263</v>
      </c>
      <c r="W85" s="140" t="n">
        <v>231736.3916218678</v>
      </c>
      <c r="X85" s="140" t="n">
        <v>3593.607718707795</v>
      </c>
      <c r="Y85" s="140" t="n">
        <v>394.8692993607791</v>
      </c>
      <c r="Z85" s="141" t="n">
        <v>453511.7493302627</v>
      </c>
    </row>
    <row r="86" ht="15.6" customHeight="1" thickBot="1" thickTop="1">
      <c r="B86" s="69" t="inlineStr">
        <is>
          <t>Total</t>
        </is>
      </c>
      <c r="D86" s="142" t="n">
        <v>4434</v>
      </c>
      <c r="E86" s="143" t="n">
        <v>2777</v>
      </c>
      <c r="F86" s="143" t="n">
        <v>15</v>
      </c>
      <c r="G86" s="143" t="n">
        <v>91</v>
      </c>
      <c r="H86" s="144" t="n">
        <v>7317</v>
      </c>
      <c r="J86" s="142" t="n">
        <v>221514.7637685236</v>
      </c>
      <c r="K86" s="143" t="n">
        <v>228501.1623213792</v>
      </c>
      <c r="L86" s="143" t="n">
        <v>3570.606403291865</v>
      </c>
      <c r="M86" s="143" t="n">
        <v>554.0393378883552</v>
      </c>
      <c r="N86" s="144" t="n">
        <v>454141.2060741203</v>
      </c>
      <c r="P86" s="142" t="n">
        <v>226324.8651267559</v>
      </c>
      <c r="Q86" s="143" t="n">
        <v>234272.2953429245</v>
      </c>
      <c r="R86" s="143" t="n">
        <v>3652.729058497267</v>
      </c>
      <c r="S86" s="143" t="n">
        <v>622.0842582708865</v>
      </c>
      <c r="T86" s="144" t="n">
        <v>464872.6830567548</v>
      </c>
      <c r="V86" s="142" t="n">
        <v>230131.5879723013</v>
      </c>
      <c r="W86" s="143" t="n">
        <v>237861.5097692806</v>
      </c>
      <c r="X86" s="143" t="n">
        <v>3701.642664418122</v>
      </c>
      <c r="Y86" s="143" t="n">
        <v>749.1538252848585</v>
      </c>
      <c r="Z86" s="144" t="n">
        <v>472444.6564971429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1354</v>
      </c>
      <c r="E89" s="128" t="n">
        <v>1408</v>
      </c>
      <c r="F89" s="128" t="n">
        <v>16</v>
      </c>
      <c r="G89" s="128" t="n">
        <v>0</v>
      </c>
      <c r="H89" s="129" t="n">
        <v>2778</v>
      </c>
      <c r="J89" s="127" t="n">
        <v>1368.212392840543</v>
      </c>
      <c r="K89" s="128" t="n">
        <v>1446.919546415251</v>
      </c>
      <c r="L89" s="128" t="n">
        <v>16.81060051458184</v>
      </c>
      <c r="M89" s="128" t="n">
        <v>0</v>
      </c>
      <c r="N89" s="129" t="n">
        <v>2831.942539770377</v>
      </c>
      <c r="P89" s="127" t="n">
        <v>1383.143317400116</v>
      </c>
      <c r="Q89" s="128" t="n">
        <v>1471.956966580286</v>
      </c>
      <c r="R89" s="128" t="n">
        <v>17.34055365383277</v>
      </c>
      <c r="S89" s="128" t="n">
        <v>0</v>
      </c>
      <c r="T89" s="129" t="n">
        <v>2872.440837634235</v>
      </c>
      <c r="V89" s="127" t="n">
        <v>1400.449389437117</v>
      </c>
      <c r="W89" s="128" t="n">
        <v>1494.267545410099</v>
      </c>
      <c r="X89" s="128" t="n">
        <v>17.72189602814375</v>
      </c>
      <c r="Y89" s="128" t="n">
        <v>0</v>
      </c>
      <c r="Z89" s="129" t="n">
        <v>2912.43883087536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9389</v>
      </c>
      <c r="E91" s="131" t="n">
        <v>7</v>
      </c>
      <c r="F91" s="131" t="n">
        <v>0</v>
      </c>
      <c r="G91" s="131" t="n">
        <v>0</v>
      </c>
      <c r="H91" s="132" t="n">
        <v>9396</v>
      </c>
      <c r="J91" s="130" t="n">
        <v>9604.744793221946</v>
      </c>
      <c r="K91" s="131" t="n">
        <v>7.468734608523377</v>
      </c>
      <c r="L91" s="131" t="n">
        <v>0</v>
      </c>
      <c r="M91" s="131" t="n">
        <v>0</v>
      </c>
      <c r="N91" s="132" t="n">
        <v>9612.213527830469</v>
      </c>
      <c r="P91" s="130" t="n">
        <v>9711.100612668353</v>
      </c>
      <c r="Q91" s="131" t="n">
        <v>7.681420291833214</v>
      </c>
      <c r="R91" s="131" t="n">
        <v>0</v>
      </c>
      <c r="S91" s="131" t="n">
        <v>0</v>
      </c>
      <c r="T91" s="132" t="n">
        <v>9718.782032960187</v>
      </c>
      <c r="V91" s="130" t="n">
        <v>9788.465905473897</v>
      </c>
      <c r="W91" s="131" t="n">
        <v>7.841870691875749</v>
      </c>
      <c r="X91" s="131" t="n">
        <v>0</v>
      </c>
      <c r="Y91" s="131" t="n">
        <v>0</v>
      </c>
      <c r="Z91" s="132" t="n">
        <v>9796.307776165773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5352</v>
      </c>
      <c r="E93" s="131" t="n">
        <v>1832</v>
      </c>
      <c r="F93" s="131" t="n">
        <v>34</v>
      </c>
      <c r="G93" s="131" t="n">
        <v>87</v>
      </c>
      <c r="H93" s="132" t="n">
        <v>7305</v>
      </c>
      <c r="J93" s="130" t="n">
        <v>8942.039540173873</v>
      </c>
      <c r="K93" s="131" t="n">
        <v>3500.537314860516</v>
      </c>
      <c r="L93" s="131" t="n">
        <v>78.88548020358267</v>
      </c>
      <c r="M93" s="131" t="n">
        <v>61.02133320026132</v>
      </c>
      <c r="N93" s="132" t="n">
        <v>12582.48366843823</v>
      </c>
      <c r="P93" s="130" t="n">
        <v>9792.36220216419</v>
      </c>
      <c r="Q93" s="131" t="n">
        <v>3892.812180303246</v>
      </c>
      <c r="R93" s="131" t="n">
        <v>89.4600146088892</v>
      </c>
      <c r="S93" s="131" t="n">
        <v>62.2499783240786</v>
      </c>
      <c r="T93" s="132" t="n">
        <v>13836.8843754004</v>
      </c>
      <c r="V93" s="130" t="n">
        <v>11405.71069303371</v>
      </c>
      <c r="W93" s="131" t="n">
        <v>4368.403547057689</v>
      </c>
      <c r="X93" s="131" t="n">
        <v>106.4689901288691</v>
      </c>
      <c r="Y93" s="131" t="n">
        <v>63.95802567873021</v>
      </c>
      <c r="Z93" s="132" t="n">
        <v>15944.541255899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1211</v>
      </c>
      <c r="H95" s="132" t="n">
        <v>1211</v>
      </c>
      <c r="J95" s="130" t="n">
        <v>0</v>
      </c>
      <c r="K95" s="131" t="n">
        <v>0</v>
      </c>
      <c r="L95" s="131" t="n">
        <v>0</v>
      </c>
      <c r="M95" s="131" t="n">
        <v>1431.027434888835</v>
      </c>
      <c r="N95" s="132" t="n">
        <v>1431.027434888835</v>
      </c>
      <c r="P95" s="130" t="n">
        <v>0</v>
      </c>
      <c r="Q95" s="131" t="n">
        <v>0</v>
      </c>
      <c r="R95" s="131" t="n">
        <v>0</v>
      </c>
      <c r="S95" s="131" t="n">
        <v>1572.645185877547</v>
      </c>
      <c r="T95" s="132" t="n">
        <v>1572.645185877547</v>
      </c>
      <c r="V95" s="130" t="n">
        <v>0</v>
      </c>
      <c r="W95" s="131" t="n">
        <v>0</v>
      </c>
      <c r="X95" s="131" t="n">
        <v>0</v>
      </c>
      <c r="Y95" s="131" t="n">
        <v>1698.361346924144</v>
      </c>
      <c r="Z95" s="132" t="n">
        <v>1698.361346924144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4585</v>
      </c>
      <c r="E97" s="131" t="n">
        <v>3184</v>
      </c>
      <c r="F97" s="131" t="n">
        <v>32</v>
      </c>
      <c r="G97" s="131" t="n">
        <v>91</v>
      </c>
      <c r="H97" s="132" t="n">
        <v>7892</v>
      </c>
      <c r="J97" s="130" t="n">
        <v>5685.3390405849</v>
      </c>
      <c r="K97" s="131" t="n">
        <v>4472.570348548972</v>
      </c>
      <c r="L97" s="131" t="n">
        <v>51.71639126361767</v>
      </c>
      <c r="M97" s="131" t="n">
        <v>109.2666359584575</v>
      </c>
      <c r="N97" s="132" t="n">
        <v>10318.89241635595</v>
      </c>
      <c r="P97" s="130" t="n">
        <v>6423.034571778222</v>
      </c>
      <c r="Q97" s="131" t="n">
        <v>5335.215808095963</v>
      </c>
      <c r="R97" s="131" t="n">
        <v>65.60802877947431</v>
      </c>
      <c r="S97" s="131" t="n">
        <v>118.6178170830754</v>
      </c>
      <c r="T97" s="132" t="n">
        <v>11942.47622573673</v>
      </c>
      <c r="V97" s="130" t="n">
        <v>6613.078984960886</v>
      </c>
      <c r="W97" s="131" t="n">
        <v>5523.444075919048</v>
      </c>
      <c r="X97" s="131" t="n">
        <v>68.39432747769432</v>
      </c>
      <c r="Y97" s="131" t="n">
        <v>130.2899097988911</v>
      </c>
      <c r="Z97" s="132" t="n">
        <v>12335.20729815652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1695</v>
      </c>
      <c r="E99" s="131" t="n">
        <v>1331</v>
      </c>
      <c r="F99" s="131" t="n">
        <v>23</v>
      </c>
      <c r="G99" s="131" t="n">
        <v>2</v>
      </c>
      <c r="H99" s="132" t="n">
        <v>3051</v>
      </c>
      <c r="J99" s="130" t="n">
        <v>2399.052334449079</v>
      </c>
      <c r="K99" s="131" t="n">
        <v>1992.31258498822</v>
      </c>
      <c r="L99" s="131" t="n">
        <v>33.57613890171297</v>
      </c>
      <c r="M99" s="131" t="n">
        <v>210.3076008311627</v>
      </c>
      <c r="N99" s="132" t="n">
        <v>4635.248659170175</v>
      </c>
      <c r="P99" s="130" t="n">
        <v>2826.131680913328</v>
      </c>
      <c r="Q99" s="131" t="n">
        <v>2417.817724958295</v>
      </c>
      <c r="R99" s="131" t="n">
        <v>40.46397792001835</v>
      </c>
      <c r="S99" s="131" t="n">
        <v>232.0624315905739</v>
      </c>
      <c r="T99" s="132" t="n">
        <v>5516.475815382215</v>
      </c>
      <c r="V99" s="130" t="n">
        <v>3333.582500652556</v>
      </c>
      <c r="W99" s="131" t="n">
        <v>2919.677575700363</v>
      </c>
      <c r="X99" s="131" t="n">
        <v>48.29562868547146</v>
      </c>
      <c r="Y99" s="131" t="n">
        <v>251.2530014457652</v>
      </c>
      <c r="Z99" s="132" t="n">
        <v>6552.808706484156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2</v>
      </c>
      <c r="H100" s="135" t="n">
        <v>2</v>
      </c>
      <c r="J100" s="133" t="n">
        <v>0</v>
      </c>
      <c r="K100" s="134" t="n">
        <v>0</v>
      </c>
      <c r="L100" s="134" t="n">
        <v>0</v>
      </c>
      <c r="M100" s="134" t="n">
        <v>2.251182157495164</v>
      </c>
      <c r="N100" s="135" t="n">
        <v>2.251182157495164</v>
      </c>
      <c r="P100" s="133" t="n">
        <v>0</v>
      </c>
      <c r="Q100" s="134" t="n">
        <v>0</v>
      </c>
      <c r="R100" s="134" t="n">
        <v>0</v>
      </c>
      <c r="S100" s="134" t="n">
        <v>2.349719893363836</v>
      </c>
      <c r="T100" s="135" t="n">
        <v>2.349719893363836</v>
      </c>
      <c r="V100" s="133" t="n">
        <v>0</v>
      </c>
      <c r="W100" s="134" t="n">
        <v>0</v>
      </c>
      <c r="X100" s="134" t="n">
        <v>0</v>
      </c>
      <c r="Y100" s="134" t="n">
        <v>2.47186673960595</v>
      </c>
      <c r="Z100" s="135" t="n">
        <v>2.47186673960595</v>
      </c>
    </row>
    <row r="101">
      <c r="A101" s="98" t="inlineStr">
        <is>
          <t>Added MFP row but needs adjusting for non-CY</t>
        </is>
      </c>
      <c r="B101" s="64" t="inlineStr">
        <is>
          <t>MFP 2026, 2027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213999.7374377511</v>
      </c>
      <c r="K103" s="140" t="n">
        <v>224568.4320475684</v>
      </c>
      <c r="L103" s="140" t="n">
        <v>3516.692006174286</v>
      </c>
      <c r="M103" s="140" t="n">
        <v>522.208591951027</v>
      </c>
      <c r="N103" s="141" t="n">
        <v>442607.0700834448</v>
      </c>
      <c r="P103" s="139" t="n">
        <v>217243.1407753343</v>
      </c>
      <c r="Q103" s="140" t="n">
        <v>229187.5867689242</v>
      </c>
      <c r="R103" s="140" t="n">
        <v>3573.782708252548</v>
      </c>
      <c r="S103" s="140" t="n">
        <v>536.567103549567</v>
      </c>
      <c r="T103" s="141" t="n">
        <v>450541.0773560606</v>
      </c>
      <c r="V103" s="139" t="n">
        <v>219196.1918988632</v>
      </c>
      <c r="W103" s="140" t="n">
        <v>232233.6148168273</v>
      </c>
      <c r="X103" s="140" t="n">
        <v>3604.587454448594</v>
      </c>
      <c r="Y103" s="140" t="n">
        <v>603.1636250341774</v>
      </c>
      <c r="Z103" s="141" t="n">
        <v>455637.5577951731</v>
      </c>
    </row>
    <row r="104" ht="15.6" customHeight="1" thickBot="1" thickTop="1">
      <c r="B104" s="69" t="inlineStr">
        <is>
          <t>Total</t>
        </is>
      </c>
      <c r="D104" s="142" t="n">
        <v>22375</v>
      </c>
      <c r="E104" s="143" t="n">
        <v>7762</v>
      </c>
      <c r="F104" s="143" t="n">
        <v>105</v>
      </c>
      <c r="G104" s="143" t="n">
        <v>1391</v>
      </c>
      <c r="H104" s="144" t="n">
        <v>31635</v>
      </c>
      <c r="J104" s="142" t="n">
        <v>241999.1255390214</v>
      </c>
      <c r="K104" s="143" t="n">
        <v>235988.2405769899</v>
      </c>
      <c r="L104" s="143" t="n">
        <v>3697.680617057781</v>
      </c>
      <c r="M104" s="143" t="n">
        <v>2333.831596829744</v>
      </c>
      <c r="N104" s="144" t="n">
        <v>484021.1295120563</v>
      </c>
      <c r="P104" s="142" t="n">
        <v>247378.9131602585</v>
      </c>
      <c r="Q104" s="143" t="n">
        <v>242313.0708691538</v>
      </c>
      <c r="R104" s="143" t="n">
        <v>3786.655283214763</v>
      </c>
      <c r="S104" s="143" t="n">
        <v>2522.142516424842</v>
      </c>
      <c r="T104" s="144" t="n">
        <v>496003.1315489453</v>
      </c>
      <c r="V104" s="142" t="n">
        <v>251737.4793724213</v>
      </c>
      <c r="W104" s="143" t="n">
        <v>246547.2494316064</v>
      </c>
      <c r="X104" s="143" t="n">
        <v>3845.468296768772</v>
      </c>
      <c r="Y104" s="143" t="n">
        <v>2747.025908881708</v>
      </c>
      <c r="Z104" s="144" t="n">
        <v>504879.6948764177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3772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523801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RxAdvance HTA Groups Rebate1 - M003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01/01/2025</t>
        </is>
      </c>
      <c r="AD17" s="4" t="n"/>
      <c r="AE17" s="4" t="n"/>
      <c r="AF17" s="6" t="n">
        <v>2028</v>
      </c>
    </row>
    <row r="18">
      <c r="B18" s="4" t="n"/>
      <c r="C18" s="4" t="inlineStr">
        <is>
          <t>End Date:</t>
        </is>
      </c>
      <c r="D18" s="116" t="inlineStr">
        <is>
          <t>11/30/2025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11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2028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32107</v>
      </c>
      <c r="E25" s="40" t="n">
        <v>1153747.5</v>
      </c>
      <c r="F25" s="40" t="n">
        <v>965679</v>
      </c>
      <c r="G25" s="41" t="n">
        <v>35.93445354595571</v>
      </c>
      <c r="H25" s="42" t="n">
        <v>30.07689911857227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5730185.213893273</v>
      </c>
      <c r="AI25" s="46" t="n">
        <v>8128.782825788127</v>
      </c>
      <c r="AK25" s="120" t="n">
        <v>1</v>
      </c>
      <c r="AL25" s="44" t="inlineStr">
        <is>
          <t>BIKTARVY</t>
        </is>
      </c>
      <c r="AM25" s="44" t="inlineStr">
        <is>
          <t>HIV-MULTICLASS COMBO</t>
        </is>
      </c>
      <c r="AN25" s="48" t="n">
        <v>105.6956026045794</v>
      </c>
    </row>
    <row r="26">
      <c r="B26" s="49" t="inlineStr">
        <is>
          <t>Retail 90</t>
        </is>
      </c>
      <c r="C26" s="10" t="n"/>
      <c r="D26" s="50" t="n">
        <v>16331</v>
      </c>
      <c r="E26" s="51" t="n">
        <v>1569823.89</v>
      </c>
      <c r="F26" s="51" t="n">
        <v>1189067</v>
      </c>
      <c r="G26" s="52" t="n">
        <v>96.12539893454166</v>
      </c>
      <c r="H26" s="53" t="n">
        <v>72.8104218970057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DUPIXENT</t>
        </is>
      </c>
      <c r="AG26" t="inlineStr">
        <is>
          <t>CHRONIC INFLAMMATORY DISEASE</t>
        </is>
      </c>
      <c r="AH26" s="122" t="n">
        <v>877200.3253680117</v>
      </c>
      <c r="AI26" s="56" t="n">
        <v>720.7293338956136</v>
      </c>
      <c r="AK26" s="123" t="n">
        <v>2</v>
      </c>
      <c r="AL26" t="inlineStr">
        <is>
          <t>OHTUVAYRE</t>
        </is>
      </c>
      <c r="AM26" t="inlineStr">
        <is>
          <t>PDE3 &amp; PDE4 INHIBITORS</t>
        </is>
      </c>
      <c r="AN26" s="58" t="n">
        <v>73.66217013960093</v>
      </c>
    </row>
    <row r="27" ht="15" customHeight="1" thickBot="1">
      <c r="B27" s="59" t="inlineStr">
        <is>
          <t>Mail</t>
        </is>
      </c>
      <c r="C27" s="10" t="n"/>
      <c r="D27" s="60" t="n">
        <v>271</v>
      </c>
      <c r="E27" s="61" t="n">
        <v>31455</v>
      </c>
      <c r="F27" s="61" t="n">
        <v>23764</v>
      </c>
      <c r="G27" s="62" t="n">
        <v>116.070110701107</v>
      </c>
      <c r="H27" s="63" t="n">
        <v>87.69003690036901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HUMIRA PEN</t>
        </is>
      </c>
      <c r="AG27" t="inlineStr">
        <is>
          <t>IMMUNOMODULATORS</t>
        </is>
      </c>
      <c r="AH27" s="122" t="n">
        <v>848824.7660158189</v>
      </c>
      <c r="AI27" s="56" t="n">
        <v>193.3559319210432</v>
      </c>
      <c r="AK27" s="123" t="n">
        <v>3</v>
      </c>
      <c r="AL27" t="inlineStr">
        <is>
          <t>KISQALI</t>
        </is>
      </c>
      <c r="AM27" t="inlineStr">
        <is>
          <t>ONCOLOGY</t>
        </is>
      </c>
      <c r="AN27" s="58" t="n">
        <v>13.33114884300556</v>
      </c>
    </row>
    <row r="28" ht="15" customHeight="1" thickTop="1">
      <c r="B28" s="64" t="inlineStr">
        <is>
          <t>Non-Specialty</t>
        </is>
      </c>
      <c r="C28" s="10" t="n"/>
      <c r="D28" s="65" t="n">
        <v>48709</v>
      </c>
      <c r="E28" s="66" t="n">
        <v>2755026.39</v>
      </c>
      <c r="F28" s="66" t="n">
        <v>2178510</v>
      </c>
      <c r="G28" s="67" t="n">
        <v>56.56093103943829</v>
      </c>
      <c r="H28" s="68" t="n">
        <v>44.72499948674783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SKYRIZI PEN</t>
        </is>
      </c>
      <c r="AG28" t="inlineStr">
        <is>
          <t>IMMUNOMODULATORS</t>
        </is>
      </c>
      <c r="AH28" s="122" t="n">
        <v>693324.4762213475</v>
      </c>
      <c r="AI28" s="56" t="n">
        <v>79.45136733018217</v>
      </c>
      <c r="AK28" s="123" t="n">
        <v>4</v>
      </c>
      <c r="AL28" t="inlineStr">
        <is>
          <t>ROZLYTREK</t>
        </is>
      </c>
      <c r="AM28" t="inlineStr">
        <is>
          <t>ONCOLOGY</t>
        </is>
      </c>
      <c r="AN28" s="58" t="n">
        <v>9.695380976731315</v>
      </c>
    </row>
    <row r="29" ht="15" customHeight="1" thickBot="1">
      <c r="B29" s="59" t="inlineStr">
        <is>
          <t>Specialty</t>
        </is>
      </c>
      <c r="C29" s="10" t="n"/>
      <c r="D29" s="60" t="n">
        <v>1746</v>
      </c>
      <c r="E29" s="61" t="n">
        <v>37134.48</v>
      </c>
      <c r="F29" s="61" t="n">
        <v>98497</v>
      </c>
      <c r="G29" s="62" t="n">
        <v>21.26831615120275</v>
      </c>
      <c r="H29" s="63" t="n">
        <v>56.41294387170676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BREZTRI AEROSPHERE</t>
        </is>
      </c>
      <c r="AG29" t="inlineStr">
        <is>
          <t>LABA LAMA COMBO</t>
        </is>
      </c>
      <c r="AH29" s="122" t="n">
        <v>648887.7724523137</v>
      </c>
      <c r="AI29" s="56" t="n">
        <v>1266.711874538585</v>
      </c>
      <c r="AK29" s="123" t="n">
        <v>5</v>
      </c>
      <c r="AL29" t="inlineStr">
        <is>
          <t>NUPLAZID</t>
        </is>
      </c>
      <c r="AM29" t="inlineStr">
        <is>
          <t>ATYPICAL ANTIPSYCHOTICS</t>
        </is>
      </c>
      <c r="AN29" s="58" t="n">
        <v>35.95276295500479</v>
      </c>
    </row>
    <row r="30" ht="15.6" customHeight="1" thickBot="1" thickTop="1">
      <c r="B30" s="69" t="inlineStr">
        <is>
          <t>Total</t>
        </is>
      </c>
      <c r="C30" s="10" t="n"/>
      <c r="D30" s="70" t="n">
        <v>50455</v>
      </c>
      <c r="E30" s="71" t="n">
        <v>2792160.87</v>
      </c>
      <c r="F30" s="71" t="n">
        <v>2277007</v>
      </c>
      <c r="G30" s="72" t="n">
        <v>55.33962679615498</v>
      </c>
      <c r="H30" s="73" t="n">
        <v>45.12946189673967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TRULICITY</t>
        </is>
      </c>
      <c r="AG30" t="inlineStr">
        <is>
          <t>GLUCAGON-LIKE PEPTIDE-1 AGONISTS (GLP1)</t>
        </is>
      </c>
      <c r="AH30" s="122" t="n">
        <v>585277.0108078888</v>
      </c>
      <c r="AI30" s="56" t="n">
        <v>849.1589993538101</v>
      </c>
      <c r="AK30" s="123" t="n">
        <v>6</v>
      </c>
      <c r="AL30" t="inlineStr">
        <is>
          <t>PRIVIGEN</t>
        </is>
      </c>
      <c r="AM30" t="inlineStr">
        <is>
          <t>IMMUNE SERUMS</t>
        </is>
      </c>
      <c r="AN30" s="58" t="n">
        <v>12.45401868603796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SKYRIZI</t>
        </is>
      </c>
      <c r="AG31" t="inlineStr">
        <is>
          <t>IMMUNOMODULATORS</t>
        </is>
      </c>
      <c r="AH31" s="122" t="n">
        <v>486925.5983873946</v>
      </c>
      <c r="AI31" s="56" t="n">
        <v>55.47601779397878</v>
      </c>
      <c r="AK31" s="123" t="n">
        <v>7</v>
      </c>
      <c r="AL31" t="inlineStr">
        <is>
          <t>NEXLIZET</t>
        </is>
      </c>
      <c r="AM31" t="inlineStr">
        <is>
          <t>ACL INHIBITORS &amp; COMBOS</t>
        </is>
      </c>
      <c r="AN31" s="58" t="n">
        <v>183.7138249432672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GEMTESA</t>
        </is>
      </c>
      <c r="AG32" t="inlineStr">
        <is>
          <t>URINARY ANTISPASMODICS &amp; OAB DRUGS</t>
        </is>
      </c>
      <c r="AH32" s="122" t="n">
        <v>396900.49877657</v>
      </c>
      <c r="AI32" s="56" t="n">
        <v>684.9758132507401</v>
      </c>
      <c r="AK32" s="123" t="n">
        <v>8</v>
      </c>
      <c r="AL32" t="inlineStr">
        <is>
          <t>JUBBONTI</t>
        </is>
      </c>
      <c r="AM32" t="inlineStr">
        <is>
          <t>OSTEOPOROSIS AGENTS</t>
        </is>
      </c>
      <c r="AN32" s="58" t="n">
        <v>81.50925332634087</v>
      </c>
    </row>
    <row r="33">
      <c r="B33" s="38" t="inlineStr">
        <is>
          <t>Retail 30</t>
        </is>
      </c>
      <c r="C33" s="10" t="n"/>
      <c r="D33" s="39" t="n">
        <v>211717</v>
      </c>
      <c r="E33" s="40" t="n">
        <v>11764762.997</v>
      </c>
      <c r="F33" s="40" t="n">
        <v>5096858</v>
      </c>
      <c r="G33" s="41" t="n">
        <v>55.56834357656682</v>
      </c>
      <c r="H33" s="42" t="n">
        <v>24.07391943018274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ERLEADA</t>
        </is>
      </c>
      <c r="AG33" t="inlineStr">
        <is>
          <t>ONCOLOGY</t>
        </is>
      </c>
      <c r="AH33" s="122" t="n">
        <v>348907.6048488371</v>
      </c>
      <c r="AI33" s="56" t="n">
        <v>75.13920256966769</v>
      </c>
      <c r="AK33" s="123" t="n">
        <v>9</v>
      </c>
      <c r="AL33" t="inlineStr">
        <is>
          <t>DOVATO</t>
        </is>
      </c>
      <c r="AM33" t="inlineStr">
        <is>
          <t>HIV-MULTICLASS COMBO</t>
        </is>
      </c>
      <c r="AN33" s="58" t="n">
        <v>37.50489124678624</v>
      </c>
    </row>
    <row r="34">
      <c r="B34" s="49" t="inlineStr">
        <is>
          <t>Retail 90</t>
        </is>
      </c>
      <c r="C34" s="10" t="n"/>
      <c r="D34" s="50" t="n">
        <v>222457</v>
      </c>
      <c r="E34" s="51" t="n">
        <v>23360198.918</v>
      </c>
      <c r="F34" s="51" t="n">
        <v>19365597</v>
      </c>
      <c r="G34" s="52" t="n">
        <v>105.0099521165888</v>
      </c>
      <c r="H34" s="53" t="n">
        <v>87.05321477858642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RINVOQ</t>
        </is>
      </c>
      <c r="AG34" t="inlineStr">
        <is>
          <t>IMMUNOMODULATORS</t>
        </is>
      </c>
      <c r="AH34" s="122" t="n">
        <v>311534.8095318336</v>
      </c>
      <c r="AI34" s="56" t="n">
        <v>96.74290112363829</v>
      </c>
      <c r="AK34" s="123" t="n">
        <v>10</v>
      </c>
      <c r="AL34" t="inlineStr">
        <is>
          <t>DESCOVY</t>
        </is>
      </c>
      <c r="AM34" t="inlineStr">
        <is>
          <t>HIV-MULTICLASS COMBO</t>
        </is>
      </c>
      <c r="AN34" s="58" t="n">
        <v>37.50489124678624</v>
      </c>
    </row>
    <row r="35" ht="15" customHeight="1" thickBot="1">
      <c r="B35" s="59" t="inlineStr">
        <is>
          <t>Mail</t>
        </is>
      </c>
      <c r="C35" s="10" t="n"/>
      <c r="D35" s="60" t="n">
        <v>3473</v>
      </c>
      <c r="E35" s="61" t="n">
        <v>403203.3</v>
      </c>
      <c r="F35" s="61" t="n">
        <v>307998</v>
      </c>
      <c r="G35" s="62" t="n">
        <v>116.0965447739706</v>
      </c>
      <c r="H35" s="63" t="n">
        <v>88.68355888281025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COSENTYX UNOREADY</t>
        </is>
      </c>
      <c r="AG35" t="inlineStr">
        <is>
          <t>IMMUNOMODULATORS</t>
        </is>
      </c>
      <c r="AH35" s="122" t="n">
        <v>207831.890084396</v>
      </c>
      <c r="AI35" s="56" t="n">
        <v>43.33691470295992</v>
      </c>
      <c r="AK35" s="123" t="n">
        <v>11</v>
      </c>
      <c r="AL35" t="inlineStr">
        <is>
          <t>KESIMPTA</t>
        </is>
      </c>
      <c r="AM35" t="inlineStr">
        <is>
          <t>MS</t>
        </is>
      </c>
      <c r="AN35" s="58" t="n">
        <v>8.311480349943462</v>
      </c>
    </row>
    <row r="36" ht="15" customHeight="1" thickTop="1">
      <c r="B36" s="64" t="inlineStr">
        <is>
          <t>Non-Specialty</t>
        </is>
      </c>
      <c r="C36" s="10" t="n"/>
      <c r="D36" s="65" t="n">
        <v>437647</v>
      </c>
      <c r="E36" s="66" t="n">
        <v>35528165.215</v>
      </c>
      <c r="F36" s="66" t="n">
        <v>24770453</v>
      </c>
      <c r="G36" s="67" t="n">
        <v>81.1799583111503</v>
      </c>
      <c r="H36" s="68" t="n">
        <v>56.59916096762916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CREON</t>
        </is>
      </c>
      <c r="AG36" t="inlineStr">
        <is>
          <t>DIGESTIVE ENZYMES</t>
        </is>
      </c>
      <c r="AH36" s="122" t="n">
        <v>195856.8845970606</v>
      </c>
      <c r="AI36" s="56" t="n">
        <v>189.0163963692158</v>
      </c>
      <c r="AK36" s="123" t="n">
        <v>12</v>
      </c>
      <c r="AL36" t="inlineStr">
        <is>
          <t>NEXLETOL</t>
        </is>
      </c>
      <c r="AM36" t="inlineStr">
        <is>
          <t>ACL INHIBITORS &amp; COMBOS</t>
        </is>
      </c>
      <c r="AN36" s="58" t="n">
        <v>95.47332634846958</v>
      </c>
    </row>
    <row r="37" ht="15" customHeight="1" thickBot="1">
      <c r="B37" s="59" t="inlineStr">
        <is>
          <t>Specialty</t>
        </is>
      </c>
      <c r="C37" s="10" t="n"/>
      <c r="D37" s="60" t="n">
        <v>292</v>
      </c>
      <c r="E37" s="61" t="n">
        <v>35656.4</v>
      </c>
      <c r="F37" s="61" t="n">
        <v>9993</v>
      </c>
      <c r="G37" s="62" t="n">
        <v>122.1109589041096</v>
      </c>
      <c r="H37" s="63" t="n">
        <v>34.22260273972603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STIOLTO RESPIMAT</t>
        </is>
      </c>
      <c r="AG37" t="inlineStr">
        <is>
          <t>LABA LAMA COMBO</t>
        </is>
      </c>
      <c r="AH37" s="122" t="n">
        <v>164082.1215269488</v>
      </c>
      <c r="AI37" s="56" t="n">
        <v>407.19870304802</v>
      </c>
      <c r="AK37" s="123" t="n">
        <v>13</v>
      </c>
      <c r="AL37" t="inlineStr">
        <is>
          <t>LYSODREN</t>
        </is>
      </c>
      <c r="AM37" t="inlineStr">
        <is>
          <t>ONCOLOGY</t>
        </is>
      </c>
      <c r="AN37" s="58" t="n">
        <v>11.79215699858857</v>
      </c>
    </row>
    <row r="38" ht="15.6" customHeight="1" thickBot="1" thickTop="1">
      <c r="B38" s="69" t="inlineStr">
        <is>
          <t>Total</t>
        </is>
      </c>
      <c r="C38" s="10" t="n"/>
      <c r="D38" s="70" t="n">
        <v>437939</v>
      </c>
      <c r="E38" s="71" t="n">
        <v>35563821.615</v>
      </c>
      <c r="F38" s="71" t="n">
        <v>24780446</v>
      </c>
      <c r="G38" s="72" t="n">
        <v>81.20724944569906</v>
      </c>
      <c r="H38" s="73" t="n">
        <v>56.58424118427452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FREESTYLE LIBRE 3 PLUS/SENSOR/GLUCOSE MONITORING SYSTEM</t>
        </is>
      </c>
      <c r="AG38" t="inlineStr">
        <is>
          <t>DIABETES MONITORING AND TESTING SUPPLIES</t>
        </is>
      </c>
      <c r="AH38" s="122" t="n">
        <v>155381.3389819947</v>
      </c>
      <c r="AI38" s="56" t="n">
        <v>1820.8212932262</v>
      </c>
      <c r="AK38" s="123" t="n">
        <v>14</v>
      </c>
      <c r="AL38" t="inlineStr">
        <is>
          <t>KERENDIA</t>
        </is>
      </c>
      <c r="AM38" t="inlineStr">
        <is>
          <t>NON-STEROIDAL MINERALOCORTICOID RECEPTOR ANTAGONISTS</t>
        </is>
      </c>
      <c r="AN38" s="58" t="n">
        <v>85.34736749332886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COSENTYX SENSOREADY PEN</t>
        </is>
      </c>
      <c r="AG39" t="inlineStr">
        <is>
          <t>IMMUNOMODULATORS</t>
        </is>
      </c>
      <c r="AH39" s="122" t="n">
        <v>155432.1673017843</v>
      </c>
      <c r="AI39" s="56" t="n">
        <v>37.11859268194824</v>
      </c>
      <c r="AK39" s="123" t="n">
        <v>15</v>
      </c>
      <c r="AL39" t="inlineStr">
        <is>
          <t>IMPAVIDO</t>
        </is>
      </c>
      <c r="AM39" t="inlineStr">
        <is>
          <t>ANTI-INFECTIVE AGENTS - MISC.</t>
        </is>
      </c>
      <c r="AN39" s="58" t="n">
        <v>1.758276640274308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SPIRIVA RESPIMAT</t>
        </is>
      </c>
      <c r="AG40" t="inlineStr">
        <is>
          <t>LAMA/ACH</t>
        </is>
      </c>
      <c r="AH40" s="122" t="n">
        <v>120005.7060501754</v>
      </c>
      <c r="AI40" s="56" t="n">
        <v>336.8254182951961</v>
      </c>
      <c r="AK40" s="123" t="n">
        <v>16</v>
      </c>
      <c r="AL40" t="inlineStr">
        <is>
          <t>WEZLANA</t>
        </is>
      </c>
      <c r="AM40" t="inlineStr">
        <is>
          <t>IMMUNOMODULATORS</t>
        </is>
      </c>
      <c r="AN40" s="58" t="n">
        <v>2.128460417793047</v>
      </c>
    </row>
    <row r="41">
      <c r="B41" s="38" t="inlineStr">
        <is>
          <t>Retail 30</t>
        </is>
      </c>
      <c r="C41" s="10" t="n"/>
      <c r="D41" s="39" t="n">
        <v>243824</v>
      </c>
      <c r="E41" s="40" t="n">
        <v>12918510.497</v>
      </c>
      <c r="F41" s="40" t="n">
        <v>6062537</v>
      </c>
      <c r="G41" s="41" t="n">
        <v>52.98293234874335</v>
      </c>
      <c r="H41" s="42" t="n">
        <v>24.86439809042588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ZENPEP</t>
        </is>
      </c>
      <c r="AG41" t="inlineStr">
        <is>
          <t>DIGESTIVE ENZYMES</t>
        </is>
      </c>
      <c r="AH41" s="122" t="n">
        <v>117416.7466246607</v>
      </c>
      <c r="AI41" s="56" t="n">
        <v>42.85836894418266</v>
      </c>
      <c r="AK41" s="123" t="n">
        <v>17</v>
      </c>
      <c r="AL41" t="inlineStr">
        <is>
          <t>BIMZELX</t>
        </is>
      </c>
      <c r="AM41" t="inlineStr">
        <is>
          <t>CHRONIC INFLAMMATORY DISEASE</t>
        </is>
      </c>
      <c r="AN41" s="58" t="n">
        <v>3.192690626689571</v>
      </c>
    </row>
    <row r="42">
      <c r="B42" s="49" t="inlineStr">
        <is>
          <t>Retail 90</t>
        </is>
      </c>
      <c r="C42" s="10" t="n"/>
      <c r="D42" s="50" t="n">
        <v>238788</v>
      </c>
      <c r="E42" s="51" t="n">
        <v>24930022.808</v>
      </c>
      <c r="F42" s="51" t="n">
        <v>20554664</v>
      </c>
      <c r="G42" s="52" t="n">
        <v>104.4023267835905</v>
      </c>
      <c r="H42" s="53" t="n">
        <v>86.07913295475484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EMGALITY</t>
        </is>
      </c>
      <c r="AG42" t="inlineStr">
        <is>
          <t>MIGRAINE PRODUCTS</t>
        </is>
      </c>
      <c r="AH42" s="122" t="n">
        <v>110402.4820316889</v>
      </c>
      <c r="AI42" s="56" t="n">
        <v>220.4806199609516</v>
      </c>
      <c r="AK42" s="123" t="n">
        <v>18</v>
      </c>
      <c r="AL42" t="inlineStr">
        <is>
          <t>ACTEMRA ACTPEN</t>
        </is>
      </c>
      <c r="AM42" t="inlineStr">
        <is>
          <t>IMMUNOMODULATORS</t>
        </is>
      </c>
      <c r="AN42" s="58" t="n">
        <v>11.49368625608245</v>
      </c>
    </row>
    <row r="43" ht="15" customHeight="1" thickBot="1">
      <c r="B43" s="59" t="inlineStr">
        <is>
          <t>Mail</t>
        </is>
      </c>
      <c r="C43" s="10" t="n"/>
      <c r="D43" s="60" t="n">
        <v>3744</v>
      </c>
      <c r="E43" s="61" t="n">
        <v>434658.3</v>
      </c>
      <c r="F43" s="61" t="n">
        <v>331762</v>
      </c>
      <c r="G43" s="62" t="n">
        <v>116.0946314102564</v>
      </c>
      <c r="H43" s="63" t="n">
        <v>88.61164529914529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PAXLOVID</t>
        </is>
      </c>
      <c r="AG43" t="inlineStr">
        <is>
          <t>MISC. ANTIVIRALS</t>
        </is>
      </c>
      <c r="AH43" s="122" t="n">
        <v>109048.5751094428</v>
      </c>
      <c r="AI43" s="56" t="n">
        <v>396.183023183259</v>
      </c>
      <c r="AK43" s="123" t="n">
        <v>19</v>
      </c>
      <c r="AL43" t="inlineStr">
        <is>
          <t>TRESIBA FLEXTOUCH</t>
        </is>
      </c>
      <c r="AM43" t="inlineStr">
        <is>
          <t>BASAL INSULIN</t>
        </is>
      </c>
      <c r="AN43" s="58" t="n">
        <v>452.4821042192224</v>
      </c>
    </row>
    <row r="44" ht="15.6" customHeight="1" thickBot="1" thickTop="1">
      <c r="B44" s="64" t="inlineStr">
        <is>
          <t>Non-Specialty</t>
        </is>
      </c>
      <c r="C44" s="10" t="n"/>
      <c r="D44" s="65" t="n">
        <v>486356</v>
      </c>
      <c r="E44" s="66" t="n">
        <v>38283191.605</v>
      </c>
      <c r="F44" s="66" t="n">
        <v>26948963</v>
      </c>
      <c r="G44" s="67" t="n">
        <v>78.71434012328417</v>
      </c>
      <c r="H44" s="68" t="n">
        <v>55.40995279178215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PROLIA</t>
        </is>
      </c>
      <c r="AG44" s="82" t="inlineStr">
        <is>
          <t>OSTEOPOROSIS AGENTS</t>
        </is>
      </c>
      <c r="AH44" s="125" t="n">
        <v>98057.63367114271</v>
      </c>
      <c r="AI44" s="84" t="n">
        <v>244.5277599790226</v>
      </c>
      <c r="AK44" s="126" t="n">
        <v>20</v>
      </c>
      <c r="AL44" s="86" t="inlineStr">
        <is>
          <t>GENVOYA</t>
        </is>
      </c>
      <c r="AM44" s="86" t="inlineStr">
        <is>
          <t>HIV-MULTICLASS COMBO</t>
        </is>
      </c>
      <c r="AN44" s="87" t="n">
        <v>3.409535567889658</v>
      </c>
    </row>
    <row r="45" ht="15" customHeight="1" thickBot="1">
      <c r="B45" s="59" t="inlineStr">
        <is>
          <t>Specialty</t>
        </is>
      </c>
      <c r="C45" s="10" t="n"/>
      <c r="D45" s="60" t="n">
        <v>2038</v>
      </c>
      <c r="E45" s="61" t="n">
        <v>72790.88</v>
      </c>
      <c r="F45" s="61" t="n">
        <v>108490</v>
      </c>
      <c r="G45" s="62" t="n">
        <v>35.71682041216879</v>
      </c>
      <c r="H45" s="63" t="n">
        <v>53.23356231599607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488394</v>
      </c>
      <c r="E46" s="71" t="n">
        <v>38355982.485</v>
      </c>
      <c r="F46" s="71" t="n">
        <v>27057453</v>
      </c>
      <c r="G46" s="72" t="n">
        <v>78.53491747441615</v>
      </c>
      <c r="H46" s="73" t="n">
        <v>55.40087101807148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6315462.224701162</v>
      </c>
      <c r="AH49" s="46" t="n">
        <v>8977.941825141937</v>
      </c>
    </row>
    <row r="50" ht="15" customHeight="1" thickBot="1">
      <c r="AE50" s="121" t="n">
        <v>2</v>
      </c>
      <c r="AF50" t="inlineStr">
        <is>
          <t>IMMUNOMODULATORS</t>
        </is>
      </c>
      <c r="AG50" s="122" t="n">
        <v>2960370.464787274</v>
      </c>
      <c r="AH50" s="56" t="n">
        <v>658.3602571987988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2028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CHRONIC INFLAMMATORY DISEASE</t>
        </is>
      </c>
      <c r="AG51" s="122" t="n">
        <v>877200.3253680117</v>
      </c>
      <c r="AH51" s="56" t="n">
        <v>726.2533367258893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LABA LAMA COMBO</t>
        </is>
      </c>
      <c r="AG52" s="122" t="n">
        <v>829608.1830175881</v>
      </c>
      <c r="AH52" s="56" t="n">
        <v>1816.777168002601</v>
      </c>
    </row>
    <row r="53">
      <c r="B53" s="38" t="inlineStr">
        <is>
          <t>OTCs</t>
        </is>
      </c>
      <c r="D53" s="127" t="n">
        <v>1347</v>
      </c>
      <c r="E53" s="128" t="n">
        <v>1403</v>
      </c>
      <c r="F53" s="128" t="n">
        <v>16</v>
      </c>
      <c r="G53" s="128" t="n">
        <v>0</v>
      </c>
      <c r="H53" s="129" t="n">
        <v>2766</v>
      </c>
      <c r="J53" s="127" t="n">
        <v>1360.461874663778</v>
      </c>
      <c r="K53" s="128" t="n">
        <v>1442.583703144494</v>
      </c>
      <c r="L53" s="128" t="n">
        <v>16.81060051458184</v>
      </c>
      <c r="M53" s="128" t="n">
        <v>0</v>
      </c>
      <c r="N53" s="129" t="n">
        <v>2819.856178322854</v>
      </c>
      <c r="P53" s="127" t="n">
        <v>1374.950469289653</v>
      </c>
      <c r="Q53" s="128" t="n">
        <v>1467.885546217304</v>
      </c>
      <c r="R53" s="128" t="n">
        <v>17.34055365383277</v>
      </c>
      <c r="S53" s="128" t="n">
        <v>0</v>
      </c>
      <c r="T53" s="129" t="n">
        <v>2860.176569160789</v>
      </c>
      <c r="V53" s="127" t="n">
        <v>1391.766589336762</v>
      </c>
      <c r="W53" s="128" t="n">
        <v>1490.435200163811</v>
      </c>
      <c r="X53" s="128" t="n">
        <v>17.72189602814375</v>
      </c>
      <c r="Y53" s="128" t="n">
        <v>0</v>
      </c>
      <c r="Z53" s="129" t="n">
        <v>2899.923685528717</v>
      </c>
      <c r="AE53" s="121" t="n">
        <v>5</v>
      </c>
      <c r="AF53" t="inlineStr">
        <is>
          <t>URINARY ANTISPASMODICS &amp; OAB DRUGS</t>
        </is>
      </c>
      <c r="AG53" s="122" t="n">
        <v>396900.49877657</v>
      </c>
      <c r="AH53" s="56" t="n">
        <v>685.0910599231773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ONCOLOGY</t>
        </is>
      </c>
      <c r="AG54" s="122" t="n">
        <v>348907.6048488371</v>
      </c>
      <c r="AH54" s="56" t="n">
        <v>115.9931226550358</v>
      </c>
    </row>
    <row r="55">
      <c r="B55" s="64" t="inlineStr">
        <is>
          <t>Vaccines</t>
        </is>
      </c>
      <c r="D55" s="130" t="n">
        <v>9389</v>
      </c>
      <c r="E55" s="131" t="n">
        <v>7</v>
      </c>
      <c r="F55" s="131" t="n">
        <v>0</v>
      </c>
      <c r="G55" s="131" t="n">
        <v>0</v>
      </c>
      <c r="H55" s="132" t="n">
        <v>9396</v>
      </c>
      <c r="J55" s="130" t="n">
        <v>9604.744793221946</v>
      </c>
      <c r="K55" s="131" t="n">
        <v>7.468734608523377</v>
      </c>
      <c r="L55" s="131" t="n">
        <v>0</v>
      </c>
      <c r="M55" s="131" t="n">
        <v>0</v>
      </c>
      <c r="N55" s="132" t="n">
        <v>9612.213527830469</v>
      </c>
      <c r="P55" s="130" t="n">
        <v>9711.100612668353</v>
      </c>
      <c r="Q55" s="131" t="n">
        <v>7.681420291833214</v>
      </c>
      <c r="R55" s="131" t="n">
        <v>0</v>
      </c>
      <c r="S55" s="131" t="n">
        <v>0</v>
      </c>
      <c r="T55" s="132" t="n">
        <v>9718.782032960187</v>
      </c>
      <c r="V55" s="130" t="n">
        <v>9788.465905473897</v>
      </c>
      <c r="W55" s="131" t="n">
        <v>7.841870691875749</v>
      </c>
      <c r="X55" s="131" t="n">
        <v>0</v>
      </c>
      <c r="Y55" s="131" t="n">
        <v>0</v>
      </c>
      <c r="Z55" s="132" t="n">
        <v>9796.307776165773</v>
      </c>
      <c r="AE55" s="121" t="n">
        <v>7</v>
      </c>
      <c r="AF55" t="inlineStr">
        <is>
          <t>DIGESTIVE ENZYMES</t>
        </is>
      </c>
      <c r="AG55" s="122" t="n">
        <v>313273.6312217214</v>
      </c>
      <c r="AH55" s="56" t="n">
        <v>231.8747653133985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MIGRAINE PRODUCTS</t>
        </is>
      </c>
      <c r="AG56" s="122" t="n">
        <v>280886.9894599498</v>
      </c>
      <c r="AH56" s="56" t="n">
        <v>494.4883268488395</v>
      </c>
    </row>
    <row r="57">
      <c r="B57" s="64" t="inlineStr">
        <is>
          <t>MSBs</t>
        </is>
      </c>
      <c r="D57" s="130" t="n">
        <v>2931</v>
      </c>
      <c r="E57" s="131" t="n">
        <v>1459</v>
      </c>
      <c r="F57" s="131" t="n">
        <v>29</v>
      </c>
      <c r="G57" s="131" t="n">
        <v>87</v>
      </c>
      <c r="H57" s="132" t="n">
        <v>4506</v>
      </c>
      <c r="J57" s="130" t="n">
        <v>1744.054218418617</v>
      </c>
      <c r="K57" s="131" t="n">
        <v>1050.980920266796</v>
      </c>
      <c r="L57" s="131" t="n">
        <v>13.46605752084745</v>
      </c>
      <c r="M57" s="131" t="n">
        <v>41.96486816008204</v>
      </c>
      <c r="N57" s="132" t="n">
        <v>2850.466064366342</v>
      </c>
      <c r="P57" s="130" t="n">
        <v>1635.212972539078</v>
      </c>
      <c r="Q57" s="131" t="n">
        <v>1001.385901888838</v>
      </c>
      <c r="R57" s="131" t="n">
        <v>11.50133525344111</v>
      </c>
      <c r="S57" s="131" t="n">
        <v>41.68803870239996</v>
      </c>
      <c r="T57" s="132" t="n">
        <v>2689.788248383757</v>
      </c>
      <c r="V57" s="130" t="n">
        <v>1409.614172356645</v>
      </c>
      <c r="W57" s="131" t="n">
        <v>964.2203879681116</v>
      </c>
      <c r="X57" s="131" t="n">
        <v>9.80421488211929</v>
      </c>
      <c r="Y57" s="131" t="n">
        <v>42.13077516565712</v>
      </c>
      <c r="Z57" s="132" t="n">
        <v>2425.769550372533</v>
      </c>
      <c r="AE57" s="121" t="n">
        <v>9</v>
      </c>
      <c r="AF57" t="inlineStr">
        <is>
          <t>DIABETES MONITORING AND TESTING SUPPLIES</t>
        </is>
      </c>
      <c r="AG57" s="122" t="n">
        <v>166135.1814599792</v>
      </c>
      <c r="AH57" s="56" t="n">
        <v>1941.053990161422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BASAL INSULIN</t>
        </is>
      </c>
      <c r="AG58" s="122" t="n">
        <v>164235.0823963753</v>
      </c>
      <c r="AH58" s="56" t="n">
        <v>1565.744525013994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1143</v>
      </c>
      <c r="H59" s="132" t="n">
        <v>1143</v>
      </c>
      <c r="J59" s="130" t="n">
        <v>0</v>
      </c>
      <c r="K59" s="131" t="n">
        <v>0</v>
      </c>
      <c r="L59" s="131" t="n">
        <v>0</v>
      </c>
      <c r="M59" s="131" t="n">
        <v>1251.272016547032</v>
      </c>
      <c r="N59" s="132" t="n">
        <v>1251.272016547032</v>
      </c>
      <c r="P59" s="130" t="n">
        <v>0</v>
      </c>
      <c r="Q59" s="131" t="n">
        <v>0</v>
      </c>
      <c r="R59" s="131" t="n">
        <v>0</v>
      </c>
      <c r="S59" s="131" t="n">
        <v>1340.040023429968</v>
      </c>
      <c r="T59" s="132" t="n">
        <v>1340.040023429968</v>
      </c>
      <c r="V59" s="130" t="n">
        <v>0</v>
      </c>
      <c r="W59" s="131" t="n">
        <v>0</v>
      </c>
      <c r="X59" s="131" t="n">
        <v>0</v>
      </c>
      <c r="Y59" s="131" t="n">
        <v>1395.880080084951</v>
      </c>
      <c r="Z59" s="132" t="n">
        <v>1395.880080084951</v>
      </c>
      <c r="AE59" s="121" t="n">
        <v>11</v>
      </c>
      <c r="AF59" t="inlineStr">
        <is>
          <t>LAMA/ACH</t>
        </is>
      </c>
      <c r="AG59" s="122" t="n">
        <v>141380.1859649398</v>
      </c>
      <c r="AH59" s="56" t="n">
        <v>381.6103836297689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MISC. ANTIVIRALS</t>
        </is>
      </c>
      <c r="AG60" s="122" t="n">
        <v>130132.197755448</v>
      </c>
      <c r="AH60" s="56" t="n">
        <v>471.8360627860924</v>
      </c>
    </row>
    <row r="61">
      <c r="B61" s="64" t="inlineStr">
        <is>
          <t>Formulary Exclusions</t>
        </is>
      </c>
      <c r="D61" s="130" t="n">
        <v>2579</v>
      </c>
      <c r="E61" s="131" t="n">
        <v>785</v>
      </c>
      <c r="F61" s="131" t="n">
        <v>22</v>
      </c>
      <c r="G61" s="131" t="n">
        <v>68</v>
      </c>
      <c r="H61" s="132" t="n">
        <v>3454</v>
      </c>
      <c r="J61" s="130" t="n">
        <v>3475.77049067758</v>
      </c>
      <c r="K61" s="131" t="n">
        <v>1879.236665364516</v>
      </c>
      <c r="L61" s="131" t="n">
        <v>40.88056000062585</v>
      </c>
      <c r="M61" s="131" t="n">
        <v>83.07733275588409</v>
      </c>
      <c r="N61" s="132" t="n">
        <v>5478.965048798607</v>
      </c>
      <c r="P61" s="130" t="n">
        <v>4130.131957310844</v>
      </c>
      <c r="Q61" s="131" t="n">
        <v>2671.817886250134</v>
      </c>
      <c r="R61" s="131" t="n">
        <v>54.47014864180036</v>
      </c>
      <c r="S61" s="131" t="n">
        <v>91.05240222120837</v>
      </c>
      <c r="T61" s="132" t="n">
        <v>6947.472394423987</v>
      </c>
      <c r="V61" s="130" t="n">
        <v>4273.151023763351</v>
      </c>
      <c r="W61" s="131" t="n">
        <v>2806.341432842156</v>
      </c>
      <c r="X61" s="131" t="n">
        <v>57.02415701411742</v>
      </c>
      <c r="Y61" s="131" t="n">
        <v>101.0761670850872</v>
      </c>
      <c r="Z61" s="132" t="n">
        <v>7237.592780704711</v>
      </c>
      <c r="AE61" s="121" t="n">
        <v>13</v>
      </c>
      <c r="AF61" t="inlineStr">
        <is>
          <t>OSTEOPOROSIS AGENTS</t>
        </is>
      </c>
      <c r="AG61" s="122" t="n">
        <v>98057.63367114271</v>
      </c>
      <c r="AH61" s="56" t="n">
        <v>337.7628504760763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OPHTHALMICS - RHO KINASE INHIBITOR &amp; COMBOS</t>
        </is>
      </c>
      <c r="AG62" s="122" t="n">
        <v>95726.37349601332</v>
      </c>
      <c r="AH62" s="56" t="n">
        <v>269.4497581626809</v>
      </c>
    </row>
    <row r="63">
      <c r="B63" s="64" t="inlineStr">
        <is>
          <t>Misc</t>
        </is>
      </c>
      <c r="D63" s="130" t="n">
        <v>1695</v>
      </c>
      <c r="E63" s="131" t="n">
        <v>1331</v>
      </c>
      <c r="F63" s="131" t="n">
        <v>23</v>
      </c>
      <c r="G63" s="131" t="n">
        <v>2</v>
      </c>
      <c r="H63" s="132" t="n">
        <v>3051</v>
      </c>
      <c r="J63" s="130" t="n">
        <v>2399.052334449065</v>
      </c>
      <c r="K63" s="131" t="n">
        <v>1992.31258498821</v>
      </c>
      <c r="L63" s="131" t="n">
        <v>33.57613890171319</v>
      </c>
      <c r="M63" s="131" t="n">
        <v>209.6733577939747</v>
      </c>
      <c r="N63" s="132" t="n">
        <v>4634.614416132963</v>
      </c>
      <c r="P63" s="130" t="n">
        <v>2826.131680913324</v>
      </c>
      <c r="Q63" s="131" t="n">
        <v>2417.817724958292</v>
      </c>
      <c r="R63" s="131" t="n">
        <v>40.463977920018</v>
      </c>
      <c r="S63" s="131" t="n">
        <v>231.3531612844695</v>
      </c>
      <c r="T63" s="132" t="n">
        <v>5515.766545076103</v>
      </c>
      <c r="V63" s="130" t="n">
        <v>3333.582500652559</v>
      </c>
      <c r="W63" s="131" t="n">
        <v>2919.67757570038</v>
      </c>
      <c r="X63" s="131" t="n">
        <v>48.29562868547174</v>
      </c>
      <c r="Y63" s="131" t="n">
        <v>250.4907355877558</v>
      </c>
      <c r="Z63" s="132" t="n">
        <v>6552.046440626166</v>
      </c>
      <c r="AE63" s="121" t="n">
        <v>15</v>
      </c>
      <c r="AF63" t="inlineStr">
        <is>
          <t>POTASSIUM REMOVING AGENTS</t>
        </is>
      </c>
      <c r="AG63" s="122" t="n">
        <v>88887.00618468355</v>
      </c>
      <c r="AH63" s="56" t="n">
        <v>147.5496861749075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2</v>
      </c>
      <c r="H64" s="135" t="n">
        <v>2</v>
      </c>
      <c r="J64" s="133" t="n">
        <v>0</v>
      </c>
      <c r="K64" s="134" t="n">
        <v>0</v>
      </c>
      <c r="L64" s="134" t="n">
        <v>0</v>
      </c>
      <c r="M64" s="134" t="n">
        <v>1.61693912030697</v>
      </c>
      <c r="N64" s="135" t="n">
        <v>1.61693912030697</v>
      </c>
      <c r="P64" s="133" t="n">
        <v>0</v>
      </c>
      <c r="Q64" s="134" t="n">
        <v>0</v>
      </c>
      <c r="R64" s="134" t="n">
        <v>0</v>
      </c>
      <c r="S64" s="134" t="n">
        <v>1.640449587259669</v>
      </c>
      <c r="T64" s="135" t="n">
        <v>1.640449587259669</v>
      </c>
      <c r="V64" s="133" t="n">
        <v>0</v>
      </c>
      <c r="W64" s="134" t="n">
        <v>0</v>
      </c>
      <c r="X64" s="134" t="n">
        <v>0</v>
      </c>
      <c r="Y64" s="134" t="n">
        <v>1.709600881596582</v>
      </c>
      <c r="Z64" s="135" t="n">
        <v>1.709600881596582</v>
      </c>
      <c r="AE64" s="121" t="n">
        <v>16</v>
      </c>
      <c r="AF64" t="inlineStr">
        <is>
          <t>ATYPICAL ANTIPSYCHOTICS</t>
        </is>
      </c>
      <c r="AG64" s="122" t="n">
        <v>77510.65745540145</v>
      </c>
      <c r="AH64" s="56" t="n">
        <v>199.6426500422856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 2026, 2027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INSULIN ADMINISTRATION SUPPLIES</t>
        </is>
      </c>
      <c r="AG65" s="122" t="n">
        <v>72997.57700775807</v>
      </c>
      <c r="AH65" s="56" t="n">
        <v>194.7526152822731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ANTIARRHYTHMICS</t>
        </is>
      </c>
      <c r="AG66" s="122" t="n">
        <v>68171.37269510971</v>
      </c>
      <c r="AH66" s="56" t="n">
        <v>107.3919351720206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1900.278059066834</v>
      </c>
      <c r="K67" s="140" t="n">
        <v>1114.495647238112</v>
      </c>
      <c r="L67" s="140" t="n">
        <v>22.34085682814803</v>
      </c>
      <c r="M67" s="140" t="n">
        <v>193.8046836844156</v>
      </c>
      <c r="N67" s="141" t="n">
        <v>3230.919246817511</v>
      </c>
      <c r="P67" s="139" t="n">
        <v>1376.52034078133</v>
      </c>
      <c r="Q67" s="140" t="n">
        <v>474.1870466229238</v>
      </c>
      <c r="R67" s="140" t="n">
        <v>10.15020924840391</v>
      </c>
      <c r="S67" s="140" t="n">
        <v>195.9246325159089</v>
      </c>
      <c r="T67" s="141" t="n">
        <v>2056.782229168566</v>
      </c>
      <c r="V67" s="139" t="n">
        <v>1409.31120853687</v>
      </c>
      <c r="W67" s="140" t="n">
        <v>497.2231949594201</v>
      </c>
      <c r="X67" s="140" t="n">
        <v>10.97973574079871</v>
      </c>
      <c r="Y67" s="140" t="n">
        <v>208.2943256733983</v>
      </c>
      <c r="Z67" s="141" t="n">
        <v>2125.808464910487</v>
      </c>
      <c r="AE67" s="121" t="n">
        <v>19</v>
      </c>
      <c r="AF67" t="inlineStr">
        <is>
          <t>SEDATIVE HYPNOTICS</t>
        </is>
      </c>
      <c r="AG67" s="122" t="n">
        <v>62932.61888608666</v>
      </c>
      <c r="AH67" s="56" t="n">
        <v>165.7698655887277</v>
      </c>
    </row>
    <row r="68" ht="15.6" customHeight="1" thickBot="1" thickTop="1">
      <c r="B68" s="69" t="inlineStr">
        <is>
          <t>Total</t>
        </is>
      </c>
      <c r="D68" s="142" t="n">
        <v>17941</v>
      </c>
      <c r="E68" s="143" t="n">
        <v>4985</v>
      </c>
      <c r="F68" s="143" t="n">
        <v>90</v>
      </c>
      <c r="G68" s="143" t="n">
        <v>1300</v>
      </c>
      <c r="H68" s="144" t="n">
        <v>24318</v>
      </c>
      <c r="J68" s="142" t="n">
        <v>20484.36177049782</v>
      </c>
      <c r="K68" s="143" t="n">
        <v>7487.078255610652</v>
      </c>
      <c r="L68" s="143" t="n">
        <v>127.0742137659164</v>
      </c>
      <c r="M68" s="143" t="n">
        <v>1779.792258941388</v>
      </c>
      <c r="N68" s="144" t="n">
        <v>29879.92343793609</v>
      </c>
      <c r="P68" s="142" t="n">
        <v>21054.04803350258</v>
      </c>
      <c r="Q68" s="143" t="n">
        <v>8040.775526229325</v>
      </c>
      <c r="R68" s="143" t="n">
        <v>133.9262247174962</v>
      </c>
      <c r="S68" s="143" t="n">
        <v>1900.058258153955</v>
      </c>
      <c r="T68" s="144" t="n">
        <v>31130.44849219062</v>
      </c>
      <c r="V68" s="142" t="n">
        <v>21605.89140012008</v>
      </c>
      <c r="W68" s="143" t="n">
        <v>8685.739662325754</v>
      </c>
      <c r="X68" s="143" t="n">
        <v>143.8256323506509</v>
      </c>
      <c r="Y68" s="143" t="n">
        <v>1997.87208359685</v>
      </c>
      <c r="Z68" s="144" t="n">
        <v>32435.03837927494</v>
      </c>
      <c r="AE68" s="124" t="n">
        <v>20</v>
      </c>
      <c r="AF68" s="82" t="inlineStr">
        <is>
          <t>OPIOID AGONISTS &amp; COMBOS</t>
        </is>
      </c>
      <c r="AG68" s="125" t="n">
        <v>60405.02048118969</v>
      </c>
      <c r="AH68" s="84" t="n">
        <v>163.1403176078065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7</v>
      </c>
      <c r="E71" s="128" t="n">
        <v>5</v>
      </c>
      <c r="F71" s="128" t="n">
        <v>0</v>
      </c>
      <c r="G71" s="128" t="n">
        <v>0</v>
      </c>
      <c r="H71" s="129" t="n">
        <v>12</v>
      </c>
      <c r="J71" s="127" t="n">
        <v>7.750518176765181</v>
      </c>
      <c r="K71" s="128" t="n">
        <v>4.33584327075745</v>
      </c>
      <c r="L71" s="128" t="n">
        <v>0</v>
      </c>
      <c r="M71" s="128" t="n">
        <v>0</v>
      </c>
      <c r="N71" s="129" t="n">
        <v>12.08636144752263</v>
      </c>
      <c r="P71" s="127" t="n">
        <v>8.192848110463446</v>
      </c>
      <c r="Q71" s="128" t="n">
        <v>4.071420362981852</v>
      </c>
      <c r="R71" s="128" t="n">
        <v>0</v>
      </c>
      <c r="S71" s="128" t="n">
        <v>0</v>
      </c>
      <c r="T71" s="129" t="n">
        <v>12.2642684734453</v>
      </c>
      <c r="V71" s="127" t="n">
        <v>8.682800100355173</v>
      </c>
      <c r="W71" s="128" t="n">
        <v>3.832345246287813</v>
      </c>
      <c r="X71" s="128" t="n">
        <v>0</v>
      </c>
      <c r="Y71" s="128" t="n">
        <v>0</v>
      </c>
      <c r="Z71" s="129" t="n">
        <v>12.51514534664299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2421</v>
      </c>
      <c r="E75" s="131" t="n">
        <v>373</v>
      </c>
      <c r="F75" s="131" t="n">
        <v>5</v>
      </c>
      <c r="G75" s="131" t="n">
        <v>0</v>
      </c>
      <c r="H75" s="132" t="n">
        <v>2799</v>
      </c>
      <c r="J75" s="130" t="n">
        <v>7197.985321755256</v>
      </c>
      <c r="K75" s="131" t="n">
        <v>2449.55639459372</v>
      </c>
      <c r="L75" s="131" t="n">
        <v>65.41942268273522</v>
      </c>
      <c r="M75" s="131" t="n">
        <v>19.05646504017929</v>
      </c>
      <c r="N75" s="132" t="n">
        <v>9732.017604071891</v>
      </c>
      <c r="P75" s="130" t="n">
        <v>8157.149229625111</v>
      </c>
      <c r="Q75" s="131" t="n">
        <v>2891.426278414408</v>
      </c>
      <c r="R75" s="131" t="n">
        <v>77.95867935544808</v>
      </c>
      <c r="S75" s="131" t="n">
        <v>20.56193962167864</v>
      </c>
      <c r="T75" s="132" t="n">
        <v>11147.09612701665</v>
      </c>
      <c r="V75" s="130" t="n">
        <v>9996.096520677067</v>
      </c>
      <c r="W75" s="131" t="n">
        <v>3404.183159089577</v>
      </c>
      <c r="X75" s="131" t="n">
        <v>96.66477524674978</v>
      </c>
      <c r="Y75" s="131" t="n">
        <v>21.82725051307309</v>
      </c>
      <c r="Z75" s="132" t="n">
        <v>13518.77170552647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68</v>
      </c>
      <c r="H77" s="132" t="n">
        <v>68</v>
      </c>
      <c r="J77" s="130" t="n">
        <v>0</v>
      </c>
      <c r="K77" s="131" t="n">
        <v>0</v>
      </c>
      <c r="L77" s="131" t="n">
        <v>0</v>
      </c>
      <c r="M77" s="131" t="n">
        <v>179.755418341803</v>
      </c>
      <c r="N77" s="132" t="n">
        <v>179.755418341803</v>
      </c>
      <c r="P77" s="130" t="n">
        <v>0</v>
      </c>
      <c r="Q77" s="131" t="n">
        <v>0</v>
      </c>
      <c r="R77" s="131" t="n">
        <v>0</v>
      </c>
      <c r="S77" s="131" t="n">
        <v>232.6051624475786</v>
      </c>
      <c r="T77" s="132" t="n">
        <v>232.6051624475786</v>
      </c>
      <c r="V77" s="130" t="n">
        <v>0</v>
      </c>
      <c r="W77" s="131" t="n">
        <v>0</v>
      </c>
      <c r="X77" s="131" t="n">
        <v>0</v>
      </c>
      <c r="Y77" s="131" t="n">
        <v>302.4812668391931</v>
      </c>
      <c r="Z77" s="132" t="n">
        <v>302.4812668391931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2006</v>
      </c>
      <c r="E79" s="131" t="n">
        <v>2399</v>
      </c>
      <c r="F79" s="131" t="n">
        <v>10</v>
      </c>
      <c r="G79" s="131" t="n">
        <v>23</v>
      </c>
      <c r="H79" s="132" t="n">
        <v>4438</v>
      </c>
      <c r="J79" s="130" t="n">
        <v>2209.568549907321</v>
      </c>
      <c r="K79" s="131" t="n">
        <v>2593.333683184456</v>
      </c>
      <c r="L79" s="131" t="n">
        <v>10.83583126299182</v>
      </c>
      <c r="M79" s="131" t="n">
        <v>26.18930320257346</v>
      </c>
      <c r="N79" s="132" t="n">
        <v>4839.927367557342</v>
      </c>
      <c r="P79" s="130" t="n">
        <v>2292.902614467378</v>
      </c>
      <c r="Q79" s="131" t="n">
        <v>2663.39792184583</v>
      </c>
      <c r="R79" s="131" t="n">
        <v>11.13788013767394</v>
      </c>
      <c r="S79" s="131" t="n">
        <v>27.565414861867</v>
      </c>
      <c r="T79" s="132" t="n">
        <v>4995.00383131275</v>
      </c>
      <c r="V79" s="130" t="n">
        <v>2339.927961197535</v>
      </c>
      <c r="W79" s="131" t="n">
        <v>2717.102643076892</v>
      </c>
      <c r="X79" s="131" t="n">
        <v>11.3701704635769</v>
      </c>
      <c r="Y79" s="131" t="n">
        <v>29.21374271380387</v>
      </c>
      <c r="Z79" s="132" t="n">
        <v>5097.614517451808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0</v>
      </c>
      <c r="K81" s="131" t="n">
        <v>0</v>
      </c>
      <c r="L81" s="131" t="n">
        <v>0</v>
      </c>
      <c r="M81" s="131" t="n">
        <v>0.6342430371881846</v>
      </c>
      <c r="N81" s="132" t="n">
        <v>0.6342430371881846</v>
      </c>
      <c r="P81" s="130" t="n">
        <v>0</v>
      </c>
      <c r="Q81" s="131" t="n">
        <v>0</v>
      </c>
      <c r="R81" s="131" t="n">
        <v>0</v>
      </c>
      <c r="S81" s="131" t="n">
        <v>0.7092703061041448</v>
      </c>
      <c r="T81" s="132" t="n">
        <v>0.7092703061041448</v>
      </c>
      <c r="V81" s="130" t="n">
        <v>0</v>
      </c>
      <c r="W81" s="131" t="n">
        <v>0</v>
      </c>
      <c r="X81" s="131" t="n">
        <v>0</v>
      </c>
      <c r="Y81" s="131" t="n">
        <v>0.7622658580093002</v>
      </c>
      <c r="Z81" s="132" t="n">
        <v>0.7622658580093002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0.6342430371881935</v>
      </c>
      <c r="N82" s="135" t="n">
        <v>0.6342430371881935</v>
      </c>
      <c r="P82" s="133" t="n">
        <v>0</v>
      </c>
      <c r="Q82" s="134" t="n">
        <v>0</v>
      </c>
      <c r="R82" s="134" t="n">
        <v>0</v>
      </c>
      <c r="S82" s="134" t="n">
        <v>0.7092703061041666</v>
      </c>
      <c r="T82" s="135" t="n">
        <v>0.7092703061041666</v>
      </c>
      <c r="V82" s="133" t="n">
        <v>0</v>
      </c>
      <c r="W82" s="134" t="n">
        <v>0</v>
      </c>
      <c r="X82" s="134" t="n">
        <v>0</v>
      </c>
      <c r="Y82" s="134" t="n">
        <v>0.7622658580093674</v>
      </c>
      <c r="Z82" s="135" t="n">
        <v>0.7622658580093674</v>
      </c>
    </row>
    <row r="83">
      <c r="A83" s="98" t="inlineStr">
        <is>
          <t>Added MFP row but needs adjusting for non-CY</t>
        </is>
      </c>
      <c r="B83" s="64" t="inlineStr">
        <is>
          <t>MFP 2026, 2027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212099.4593786842</v>
      </c>
      <c r="K85" s="140" t="n">
        <v>223453.9364003303</v>
      </c>
      <c r="L85" s="140" t="n">
        <v>3494.351149346138</v>
      </c>
      <c r="M85" s="140" t="n">
        <v>328.4039082666113</v>
      </c>
      <c r="N85" s="141" t="n">
        <v>439376.1508366273</v>
      </c>
      <c r="P85" s="139" t="n">
        <v>215866.620434553</v>
      </c>
      <c r="Q85" s="140" t="n">
        <v>228713.3997223013</v>
      </c>
      <c r="R85" s="140" t="n">
        <v>3563.632499004144</v>
      </c>
      <c r="S85" s="140" t="n">
        <v>340.6424710336581</v>
      </c>
      <c r="T85" s="141" t="n">
        <v>448484.2951268921</v>
      </c>
      <c r="V85" s="139" t="n">
        <v>217786.8806903263</v>
      </c>
      <c r="W85" s="140" t="n">
        <v>231736.3916218678</v>
      </c>
      <c r="X85" s="140" t="n">
        <v>3593.607718707795</v>
      </c>
      <c r="Y85" s="140" t="n">
        <v>394.8692993607791</v>
      </c>
      <c r="Z85" s="141" t="n">
        <v>453511.7493302627</v>
      </c>
    </row>
    <row r="86" ht="15.6" customHeight="1" thickBot="1" thickTop="1">
      <c r="B86" s="69" t="inlineStr">
        <is>
          <t>Total</t>
        </is>
      </c>
      <c r="D86" s="142" t="n">
        <v>4434</v>
      </c>
      <c r="E86" s="143" t="n">
        <v>2777</v>
      </c>
      <c r="F86" s="143" t="n">
        <v>15</v>
      </c>
      <c r="G86" s="143" t="n">
        <v>91</v>
      </c>
      <c r="H86" s="144" t="n">
        <v>7317</v>
      </c>
      <c r="J86" s="142" t="n">
        <v>221514.7637685236</v>
      </c>
      <c r="K86" s="143" t="n">
        <v>228501.1623213792</v>
      </c>
      <c r="L86" s="143" t="n">
        <v>3570.606403291865</v>
      </c>
      <c r="M86" s="143" t="n">
        <v>554.0393378883552</v>
      </c>
      <c r="N86" s="144" t="n">
        <v>454141.2060741203</v>
      </c>
      <c r="P86" s="142" t="n">
        <v>226324.8651267559</v>
      </c>
      <c r="Q86" s="143" t="n">
        <v>234272.2953429245</v>
      </c>
      <c r="R86" s="143" t="n">
        <v>3652.729058497267</v>
      </c>
      <c r="S86" s="143" t="n">
        <v>622.0842582708865</v>
      </c>
      <c r="T86" s="144" t="n">
        <v>464872.6830567548</v>
      </c>
      <c r="V86" s="142" t="n">
        <v>230131.5879723013</v>
      </c>
      <c r="W86" s="143" t="n">
        <v>237861.5097692806</v>
      </c>
      <c r="X86" s="143" t="n">
        <v>3701.642664418122</v>
      </c>
      <c r="Y86" s="143" t="n">
        <v>749.1538252848585</v>
      </c>
      <c r="Z86" s="144" t="n">
        <v>472444.6564971429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1354</v>
      </c>
      <c r="E89" s="128" t="n">
        <v>1408</v>
      </c>
      <c r="F89" s="128" t="n">
        <v>16</v>
      </c>
      <c r="G89" s="128" t="n">
        <v>0</v>
      </c>
      <c r="H89" s="129" t="n">
        <v>2778</v>
      </c>
      <c r="J89" s="127" t="n">
        <v>1368.212392840543</v>
      </c>
      <c r="K89" s="128" t="n">
        <v>1446.919546415251</v>
      </c>
      <c r="L89" s="128" t="n">
        <v>16.81060051458184</v>
      </c>
      <c r="M89" s="128" t="n">
        <v>0</v>
      </c>
      <c r="N89" s="129" t="n">
        <v>2831.942539770377</v>
      </c>
      <c r="P89" s="127" t="n">
        <v>1383.143317400116</v>
      </c>
      <c r="Q89" s="128" t="n">
        <v>1471.956966580286</v>
      </c>
      <c r="R89" s="128" t="n">
        <v>17.34055365383277</v>
      </c>
      <c r="S89" s="128" t="n">
        <v>0</v>
      </c>
      <c r="T89" s="129" t="n">
        <v>2872.440837634235</v>
      </c>
      <c r="V89" s="127" t="n">
        <v>1400.449389437117</v>
      </c>
      <c r="W89" s="128" t="n">
        <v>1494.267545410099</v>
      </c>
      <c r="X89" s="128" t="n">
        <v>17.72189602814375</v>
      </c>
      <c r="Y89" s="128" t="n">
        <v>0</v>
      </c>
      <c r="Z89" s="129" t="n">
        <v>2912.43883087536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9389</v>
      </c>
      <c r="E91" s="131" t="n">
        <v>7</v>
      </c>
      <c r="F91" s="131" t="n">
        <v>0</v>
      </c>
      <c r="G91" s="131" t="n">
        <v>0</v>
      </c>
      <c r="H91" s="132" t="n">
        <v>9396</v>
      </c>
      <c r="J91" s="130" t="n">
        <v>9604.744793221946</v>
      </c>
      <c r="K91" s="131" t="n">
        <v>7.468734608523377</v>
      </c>
      <c r="L91" s="131" t="n">
        <v>0</v>
      </c>
      <c r="M91" s="131" t="n">
        <v>0</v>
      </c>
      <c r="N91" s="132" t="n">
        <v>9612.213527830469</v>
      </c>
      <c r="P91" s="130" t="n">
        <v>9711.100612668353</v>
      </c>
      <c r="Q91" s="131" t="n">
        <v>7.681420291833214</v>
      </c>
      <c r="R91" s="131" t="n">
        <v>0</v>
      </c>
      <c r="S91" s="131" t="n">
        <v>0</v>
      </c>
      <c r="T91" s="132" t="n">
        <v>9718.782032960187</v>
      </c>
      <c r="V91" s="130" t="n">
        <v>9788.465905473897</v>
      </c>
      <c r="W91" s="131" t="n">
        <v>7.841870691875749</v>
      </c>
      <c r="X91" s="131" t="n">
        <v>0</v>
      </c>
      <c r="Y91" s="131" t="n">
        <v>0</v>
      </c>
      <c r="Z91" s="132" t="n">
        <v>9796.307776165773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5352</v>
      </c>
      <c r="E93" s="131" t="n">
        <v>1832</v>
      </c>
      <c r="F93" s="131" t="n">
        <v>34</v>
      </c>
      <c r="G93" s="131" t="n">
        <v>87</v>
      </c>
      <c r="H93" s="132" t="n">
        <v>7305</v>
      </c>
      <c r="J93" s="130" t="n">
        <v>8942.039540173873</v>
      </c>
      <c r="K93" s="131" t="n">
        <v>3500.537314860516</v>
      </c>
      <c r="L93" s="131" t="n">
        <v>78.88548020358267</v>
      </c>
      <c r="M93" s="131" t="n">
        <v>61.02133320026132</v>
      </c>
      <c r="N93" s="132" t="n">
        <v>12582.48366843823</v>
      </c>
      <c r="P93" s="130" t="n">
        <v>9792.36220216419</v>
      </c>
      <c r="Q93" s="131" t="n">
        <v>3892.812180303246</v>
      </c>
      <c r="R93" s="131" t="n">
        <v>89.4600146088892</v>
      </c>
      <c r="S93" s="131" t="n">
        <v>62.2499783240786</v>
      </c>
      <c r="T93" s="132" t="n">
        <v>13836.8843754004</v>
      </c>
      <c r="V93" s="130" t="n">
        <v>11405.71069303371</v>
      </c>
      <c r="W93" s="131" t="n">
        <v>4368.403547057689</v>
      </c>
      <c r="X93" s="131" t="n">
        <v>106.4689901288691</v>
      </c>
      <c r="Y93" s="131" t="n">
        <v>63.95802567873021</v>
      </c>
      <c r="Z93" s="132" t="n">
        <v>15944.541255899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1211</v>
      </c>
      <c r="H95" s="132" t="n">
        <v>1211</v>
      </c>
      <c r="J95" s="130" t="n">
        <v>0</v>
      </c>
      <c r="K95" s="131" t="n">
        <v>0</v>
      </c>
      <c r="L95" s="131" t="n">
        <v>0</v>
      </c>
      <c r="M95" s="131" t="n">
        <v>1431.027434888835</v>
      </c>
      <c r="N95" s="132" t="n">
        <v>1431.027434888835</v>
      </c>
      <c r="P95" s="130" t="n">
        <v>0</v>
      </c>
      <c r="Q95" s="131" t="n">
        <v>0</v>
      </c>
      <c r="R95" s="131" t="n">
        <v>0</v>
      </c>
      <c r="S95" s="131" t="n">
        <v>1572.645185877547</v>
      </c>
      <c r="T95" s="132" t="n">
        <v>1572.645185877547</v>
      </c>
      <c r="V95" s="130" t="n">
        <v>0</v>
      </c>
      <c r="W95" s="131" t="n">
        <v>0</v>
      </c>
      <c r="X95" s="131" t="n">
        <v>0</v>
      </c>
      <c r="Y95" s="131" t="n">
        <v>1698.361346924144</v>
      </c>
      <c r="Z95" s="132" t="n">
        <v>1698.361346924144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4585</v>
      </c>
      <c r="E97" s="131" t="n">
        <v>3184</v>
      </c>
      <c r="F97" s="131" t="n">
        <v>32</v>
      </c>
      <c r="G97" s="131" t="n">
        <v>91</v>
      </c>
      <c r="H97" s="132" t="n">
        <v>7892</v>
      </c>
      <c r="J97" s="130" t="n">
        <v>5685.3390405849</v>
      </c>
      <c r="K97" s="131" t="n">
        <v>4472.570348548972</v>
      </c>
      <c r="L97" s="131" t="n">
        <v>51.71639126361767</v>
      </c>
      <c r="M97" s="131" t="n">
        <v>109.2666359584575</v>
      </c>
      <c r="N97" s="132" t="n">
        <v>10318.89241635595</v>
      </c>
      <c r="P97" s="130" t="n">
        <v>6423.034571778222</v>
      </c>
      <c r="Q97" s="131" t="n">
        <v>5335.215808095963</v>
      </c>
      <c r="R97" s="131" t="n">
        <v>65.60802877947431</v>
      </c>
      <c r="S97" s="131" t="n">
        <v>118.6178170830754</v>
      </c>
      <c r="T97" s="132" t="n">
        <v>11942.47622573673</v>
      </c>
      <c r="V97" s="130" t="n">
        <v>6613.078984960886</v>
      </c>
      <c r="W97" s="131" t="n">
        <v>5523.444075919048</v>
      </c>
      <c r="X97" s="131" t="n">
        <v>68.39432747769432</v>
      </c>
      <c r="Y97" s="131" t="n">
        <v>130.2899097988911</v>
      </c>
      <c r="Z97" s="132" t="n">
        <v>12335.20729815652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1695</v>
      </c>
      <c r="E99" s="131" t="n">
        <v>1331</v>
      </c>
      <c r="F99" s="131" t="n">
        <v>23</v>
      </c>
      <c r="G99" s="131" t="n">
        <v>2</v>
      </c>
      <c r="H99" s="132" t="n">
        <v>3051</v>
      </c>
      <c r="J99" s="130" t="n">
        <v>2399.052334449079</v>
      </c>
      <c r="K99" s="131" t="n">
        <v>1992.31258498822</v>
      </c>
      <c r="L99" s="131" t="n">
        <v>33.57613890171297</v>
      </c>
      <c r="M99" s="131" t="n">
        <v>210.3076008311627</v>
      </c>
      <c r="N99" s="132" t="n">
        <v>4635.248659170175</v>
      </c>
      <c r="P99" s="130" t="n">
        <v>2826.131680913328</v>
      </c>
      <c r="Q99" s="131" t="n">
        <v>2417.817724958295</v>
      </c>
      <c r="R99" s="131" t="n">
        <v>40.46397792001835</v>
      </c>
      <c r="S99" s="131" t="n">
        <v>232.0624315905739</v>
      </c>
      <c r="T99" s="132" t="n">
        <v>5516.475815382215</v>
      </c>
      <c r="V99" s="130" t="n">
        <v>3333.582500652556</v>
      </c>
      <c r="W99" s="131" t="n">
        <v>2919.677575700363</v>
      </c>
      <c r="X99" s="131" t="n">
        <v>48.29562868547146</v>
      </c>
      <c r="Y99" s="131" t="n">
        <v>251.2530014457652</v>
      </c>
      <c r="Z99" s="132" t="n">
        <v>6552.808706484156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2</v>
      </c>
      <c r="H100" s="135" t="n">
        <v>2</v>
      </c>
      <c r="J100" s="133" t="n">
        <v>0</v>
      </c>
      <c r="K100" s="134" t="n">
        <v>0</v>
      </c>
      <c r="L100" s="134" t="n">
        <v>0</v>
      </c>
      <c r="M100" s="134" t="n">
        <v>2.251182157495164</v>
      </c>
      <c r="N100" s="135" t="n">
        <v>2.251182157495164</v>
      </c>
      <c r="P100" s="133" t="n">
        <v>0</v>
      </c>
      <c r="Q100" s="134" t="n">
        <v>0</v>
      </c>
      <c r="R100" s="134" t="n">
        <v>0</v>
      </c>
      <c r="S100" s="134" t="n">
        <v>2.349719893363836</v>
      </c>
      <c r="T100" s="135" t="n">
        <v>2.349719893363836</v>
      </c>
      <c r="V100" s="133" t="n">
        <v>0</v>
      </c>
      <c r="W100" s="134" t="n">
        <v>0</v>
      </c>
      <c r="X100" s="134" t="n">
        <v>0</v>
      </c>
      <c r="Y100" s="134" t="n">
        <v>2.47186673960595</v>
      </c>
      <c r="Z100" s="135" t="n">
        <v>2.47186673960595</v>
      </c>
    </row>
    <row r="101">
      <c r="A101" s="98" t="inlineStr">
        <is>
          <t>Added MFP row but needs adjusting for non-CY</t>
        </is>
      </c>
      <c r="B101" s="64" t="inlineStr">
        <is>
          <t>MFP 2026, 2027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213999.7374377511</v>
      </c>
      <c r="K103" s="140" t="n">
        <v>224568.4320475684</v>
      </c>
      <c r="L103" s="140" t="n">
        <v>3516.692006174286</v>
      </c>
      <c r="M103" s="140" t="n">
        <v>522.208591951027</v>
      </c>
      <c r="N103" s="141" t="n">
        <v>442607.0700834448</v>
      </c>
      <c r="P103" s="139" t="n">
        <v>217243.1407753343</v>
      </c>
      <c r="Q103" s="140" t="n">
        <v>229187.5867689242</v>
      </c>
      <c r="R103" s="140" t="n">
        <v>3573.782708252548</v>
      </c>
      <c r="S103" s="140" t="n">
        <v>536.567103549567</v>
      </c>
      <c r="T103" s="141" t="n">
        <v>450541.0773560606</v>
      </c>
      <c r="V103" s="139" t="n">
        <v>219196.1918988632</v>
      </c>
      <c r="W103" s="140" t="n">
        <v>232233.6148168273</v>
      </c>
      <c r="X103" s="140" t="n">
        <v>3604.587454448594</v>
      </c>
      <c r="Y103" s="140" t="n">
        <v>603.1636250341774</v>
      </c>
      <c r="Z103" s="141" t="n">
        <v>455637.5577951731</v>
      </c>
    </row>
    <row r="104" ht="15.6" customHeight="1" thickBot="1" thickTop="1">
      <c r="B104" s="69" t="inlineStr">
        <is>
          <t>Total</t>
        </is>
      </c>
      <c r="D104" s="142" t="n">
        <v>22375</v>
      </c>
      <c r="E104" s="143" t="n">
        <v>7762</v>
      </c>
      <c r="F104" s="143" t="n">
        <v>105</v>
      </c>
      <c r="G104" s="143" t="n">
        <v>1391</v>
      </c>
      <c r="H104" s="144" t="n">
        <v>31635</v>
      </c>
      <c r="J104" s="142" t="n">
        <v>241999.1255390214</v>
      </c>
      <c r="K104" s="143" t="n">
        <v>235988.2405769899</v>
      </c>
      <c r="L104" s="143" t="n">
        <v>3697.680617057781</v>
      </c>
      <c r="M104" s="143" t="n">
        <v>2333.831596829744</v>
      </c>
      <c r="N104" s="144" t="n">
        <v>484021.1295120563</v>
      </c>
      <c r="P104" s="142" t="n">
        <v>247378.9131602585</v>
      </c>
      <c r="Q104" s="143" t="n">
        <v>242313.0708691538</v>
      </c>
      <c r="R104" s="143" t="n">
        <v>3786.655283214763</v>
      </c>
      <c r="S104" s="143" t="n">
        <v>2522.142516424842</v>
      </c>
      <c r="T104" s="144" t="n">
        <v>496003.1315489453</v>
      </c>
      <c r="V104" s="142" t="n">
        <v>251737.4793724213</v>
      </c>
      <c r="W104" s="143" t="n">
        <v>246547.2494316064</v>
      </c>
      <c r="X104" s="143" t="n">
        <v>3845.468296768772</v>
      </c>
      <c r="Y104" s="143" t="n">
        <v>2747.025908881708</v>
      </c>
      <c r="Z104" s="144" t="n">
        <v>504879.6948764177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3772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523801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RxAdvance HTA Groups Rebate1 - M003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01/01/2025</t>
        </is>
      </c>
      <c r="AD17" s="4" t="n"/>
      <c r="AE17" s="4" t="n"/>
      <c r="AF17" s="6" t="n">
        <v>2029</v>
      </c>
    </row>
    <row r="18">
      <c r="B18" s="4" t="n"/>
      <c r="C18" s="4" t="inlineStr">
        <is>
          <t>End Date:</t>
        </is>
      </c>
      <c r="D18" s="116" t="inlineStr">
        <is>
          <t>11/30/2025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11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2029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32107</v>
      </c>
      <c r="E25" s="40" t="n">
        <v>1153747.5</v>
      </c>
      <c r="F25" s="40" t="n">
        <v>965679</v>
      </c>
      <c r="G25" s="41" t="n">
        <v>35.93445354595571</v>
      </c>
      <c r="H25" s="42" t="n">
        <v>30.07689911857227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7105821.769012146</v>
      </c>
      <c r="AI25" s="46" t="n">
        <v>9754.527377416774</v>
      </c>
      <c r="AK25" s="120" t="n">
        <v>1</v>
      </c>
      <c r="AL25" s="44" t="inlineStr">
        <is>
          <t>BIKTARVY</t>
        </is>
      </c>
      <c r="AM25" s="44" t="inlineStr">
        <is>
          <t>HIV-MULTICLASS COMBO</t>
        </is>
      </c>
      <c r="AN25" s="48" t="n">
        <v>110.0819701126695</v>
      </c>
    </row>
    <row r="26">
      <c r="B26" s="49" t="inlineStr">
        <is>
          <t>Retail 90</t>
        </is>
      </c>
      <c r="C26" s="10" t="n"/>
      <c r="D26" s="50" t="n">
        <v>16331</v>
      </c>
      <c r="E26" s="51" t="n">
        <v>1569823.89</v>
      </c>
      <c r="F26" s="51" t="n">
        <v>1189067</v>
      </c>
      <c r="G26" s="52" t="n">
        <v>96.12539893454166</v>
      </c>
      <c r="H26" s="53" t="n">
        <v>72.8104218970057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DUPIXENT</t>
        </is>
      </c>
      <c r="AG26" t="inlineStr">
        <is>
          <t>CHRONIC INFLAMMATORY DISEASE</t>
        </is>
      </c>
      <c r="AH26" s="122" t="n">
        <v>1111025.52965187</v>
      </c>
      <c r="AI26" s="56" t="n">
        <v>867.3273413215642</v>
      </c>
      <c r="AK26" s="123" t="n">
        <v>2</v>
      </c>
      <c r="AL26" t="inlineStr">
        <is>
          <t>KISQALI</t>
        </is>
      </c>
      <c r="AM26" t="inlineStr">
        <is>
          <t>ONCOLOGY</t>
        </is>
      </c>
      <c r="AN26" s="58" t="n">
        <v>14.15954643210992</v>
      </c>
    </row>
    <row r="27" ht="15" customHeight="1" thickBot="1">
      <c r="B27" s="59" t="inlineStr">
        <is>
          <t>Mail</t>
        </is>
      </c>
      <c r="C27" s="10" t="n"/>
      <c r="D27" s="60" t="n">
        <v>271</v>
      </c>
      <c r="E27" s="61" t="n">
        <v>31455</v>
      </c>
      <c r="F27" s="61" t="n">
        <v>23764</v>
      </c>
      <c r="G27" s="62" t="n">
        <v>116.070110701107</v>
      </c>
      <c r="H27" s="63" t="n">
        <v>87.69003690036901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HUMIRA PEN</t>
        </is>
      </c>
      <c r="AG27" t="inlineStr">
        <is>
          <t>IMMUNOMODULATORS</t>
        </is>
      </c>
      <c r="AH27" s="122" t="n">
        <v>867055.9045907295</v>
      </c>
      <c r="AI27" s="56" t="n">
        <v>198.8598248082519</v>
      </c>
      <c r="AK27" s="123" t="n">
        <v>3</v>
      </c>
      <c r="AL27" t="inlineStr">
        <is>
          <t>OHTUVAYRE</t>
        </is>
      </c>
      <c r="AM27" t="inlineStr">
        <is>
          <t>PDE3 &amp; PDE4 INHIBITORS</t>
        </is>
      </c>
      <c r="AN27" s="58" t="n">
        <v>73.30785510122945</v>
      </c>
    </row>
    <row r="28" ht="15" customHeight="1" thickTop="1">
      <c r="B28" s="64" t="inlineStr">
        <is>
          <t>Non-Specialty</t>
        </is>
      </c>
      <c r="C28" s="10" t="n"/>
      <c r="D28" s="65" t="n">
        <v>48709</v>
      </c>
      <c r="E28" s="66" t="n">
        <v>2755026.39</v>
      </c>
      <c r="F28" s="66" t="n">
        <v>2178510</v>
      </c>
      <c r="G28" s="67" t="n">
        <v>56.56093103943829</v>
      </c>
      <c r="H28" s="68" t="n">
        <v>44.72499948674783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SKYRIZI PEN</t>
        </is>
      </c>
      <c r="AG28" t="inlineStr">
        <is>
          <t>IMMUNOMODULATORS</t>
        </is>
      </c>
      <c r="AH28" s="122" t="n">
        <v>854042.6315761214</v>
      </c>
      <c r="AI28" s="56" t="n">
        <v>92.42565264264738</v>
      </c>
      <c r="AK28" s="123" t="n">
        <v>4</v>
      </c>
      <c r="AL28" t="inlineStr">
        <is>
          <t>ROZLYTREK</t>
        </is>
      </c>
      <c r="AM28" t="inlineStr">
        <is>
          <t>ONCOLOGY</t>
        </is>
      </c>
      <c r="AN28" s="58" t="n">
        <v>10.2978519506254</v>
      </c>
    </row>
    <row r="29" ht="15" customHeight="1" thickBot="1">
      <c r="B29" s="59" t="inlineStr">
        <is>
          <t>Specialty</t>
        </is>
      </c>
      <c r="C29" s="10" t="n"/>
      <c r="D29" s="60" t="n">
        <v>1746</v>
      </c>
      <c r="E29" s="61" t="n">
        <v>37134.48</v>
      </c>
      <c r="F29" s="61" t="n">
        <v>98497</v>
      </c>
      <c r="G29" s="62" t="n">
        <v>21.26831615120275</v>
      </c>
      <c r="H29" s="63" t="n">
        <v>56.41294387170676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BREZTRI AEROSPHERE</t>
        </is>
      </c>
      <c r="AG29" t="inlineStr">
        <is>
          <t>LABA LAMA COMBO</t>
        </is>
      </c>
      <c r="AH29" s="122" t="n">
        <v>713018.5283090936</v>
      </c>
      <c r="AI29" s="56" t="n">
        <v>1325.081957717323</v>
      </c>
      <c r="AK29" s="123" t="n">
        <v>5</v>
      </c>
      <c r="AL29" t="inlineStr">
        <is>
          <t>NUPLAZID</t>
        </is>
      </c>
      <c r="AM29" t="inlineStr">
        <is>
          <t>ATYPICAL ANTIPSYCHOTICS</t>
        </is>
      </c>
      <c r="AN29" s="58" t="n">
        <v>38.64922017663015</v>
      </c>
    </row>
    <row r="30" ht="15.6" customHeight="1" thickBot="1" thickTop="1">
      <c r="B30" s="69" t="inlineStr">
        <is>
          <t>Total</t>
        </is>
      </c>
      <c r="C30" s="10" t="n"/>
      <c r="D30" s="70" t="n">
        <v>50455</v>
      </c>
      <c r="E30" s="71" t="n">
        <v>2792160.87</v>
      </c>
      <c r="F30" s="71" t="n">
        <v>2277007</v>
      </c>
      <c r="G30" s="72" t="n">
        <v>55.33962679615498</v>
      </c>
      <c r="H30" s="73" t="n">
        <v>45.12946189673967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TRULICITY</t>
        </is>
      </c>
      <c r="AG30" t="inlineStr">
        <is>
          <t>GLUCAGON-LIKE PEPTIDE-1 AGONISTS (GLP1)</t>
        </is>
      </c>
      <c r="AH30" s="122" t="n">
        <v>671446.1559894187</v>
      </c>
      <c r="AI30" s="56" t="n">
        <v>942.5664892827294</v>
      </c>
      <c r="AK30" s="123" t="n">
        <v>6</v>
      </c>
      <c r="AL30" t="inlineStr">
        <is>
          <t>PRIVIGEN</t>
        </is>
      </c>
      <c r="AM30" t="inlineStr">
        <is>
          <t>IMMUNE SERUMS</t>
        </is>
      </c>
      <c r="AN30" s="58" t="n">
        <v>13.93517512836845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SKYRIZI</t>
        </is>
      </c>
      <c r="AG31" t="inlineStr">
        <is>
          <t>IMMUNOMODULATORS</t>
        </is>
      </c>
      <c r="AH31" s="122" t="n">
        <v>636679.3580788261</v>
      </c>
      <c r="AI31" s="56" t="n">
        <v>66.11298944579626</v>
      </c>
      <c r="AK31" s="123" t="n">
        <v>7</v>
      </c>
      <c r="AL31" t="inlineStr">
        <is>
          <t>NEXLIZET</t>
        </is>
      </c>
      <c r="AM31" t="inlineStr">
        <is>
          <t>ACL INHIBITORS &amp; COMBOS</t>
        </is>
      </c>
      <c r="AN31" s="58" t="n">
        <v>206.7405157616563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GEMTESA</t>
        </is>
      </c>
      <c r="AG32" t="inlineStr">
        <is>
          <t>URINARY ANTISPASMODICS &amp; OAB DRUGS</t>
        </is>
      </c>
      <c r="AH32" s="122" t="n">
        <v>415906.9490123874</v>
      </c>
      <c r="AI32" s="56" t="n">
        <v>685.3046016411006</v>
      </c>
      <c r="AK32" s="123" t="n">
        <v>8</v>
      </c>
      <c r="AL32" t="inlineStr">
        <is>
          <t>JUBBONTI</t>
        </is>
      </c>
      <c r="AM32" t="inlineStr">
        <is>
          <t>OSTEOPOROSIS AGENTS</t>
        </is>
      </c>
      <c r="AN32" s="58" t="n">
        <v>83.98631953492836</v>
      </c>
    </row>
    <row r="33">
      <c r="B33" s="38" t="inlineStr">
        <is>
          <t>Retail 30</t>
        </is>
      </c>
      <c r="C33" s="10" t="n"/>
      <c r="D33" s="39" t="n">
        <v>211717</v>
      </c>
      <c r="E33" s="40" t="n">
        <v>11764762.997</v>
      </c>
      <c r="F33" s="40" t="n">
        <v>5096858</v>
      </c>
      <c r="G33" s="41" t="n">
        <v>55.56834357656682</v>
      </c>
      <c r="H33" s="42" t="n">
        <v>24.07391943018274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RINVOQ</t>
        </is>
      </c>
      <c r="AG33" t="inlineStr">
        <is>
          <t>IMMUNOMODULATORS</t>
        </is>
      </c>
      <c r="AH33" s="122" t="n">
        <v>396900.6438823214</v>
      </c>
      <c r="AI33" s="56" t="n">
        <v>114.8941218067131</v>
      </c>
      <c r="AK33" s="123" t="n">
        <v>9</v>
      </c>
      <c r="AL33" t="inlineStr">
        <is>
          <t>DOVATO</t>
        </is>
      </c>
      <c r="AM33" t="inlineStr">
        <is>
          <t>HIV-MULTICLASS COMBO</t>
        </is>
      </c>
      <c r="AN33" s="58" t="n">
        <v>39.06134423352788</v>
      </c>
    </row>
    <row r="34">
      <c r="B34" s="49" t="inlineStr">
        <is>
          <t>Retail 90</t>
        </is>
      </c>
      <c r="C34" s="10" t="n"/>
      <c r="D34" s="50" t="n">
        <v>222457</v>
      </c>
      <c r="E34" s="51" t="n">
        <v>23360198.918</v>
      </c>
      <c r="F34" s="51" t="n">
        <v>19365597</v>
      </c>
      <c r="G34" s="52" t="n">
        <v>105.0099521165888</v>
      </c>
      <c r="H34" s="53" t="n">
        <v>87.05321477858642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ERLEADA</t>
        </is>
      </c>
      <c r="AG34" t="inlineStr">
        <is>
          <t>ONCOLOGY</t>
        </is>
      </c>
      <c r="AH34" s="122" t="n">
        <v>393584.477898889</v>
      </c>
      <c r="AI34" s="56" t="n">
        <v>79.80835261734684</v>
      </c>
      <c r="AK34" s="123" t="n">
        <v>10</v>
      </c>
      <c r="AL34" t="inlineStr">
        <is>
          <t>NEXLETOL</t>
        </is>
      </c>
      <c r="AM34" t="inlineStr">
        <is>
          <t>ACL INHIBITORS &amp; COMBOS</t>
        </is>
      </c>
      <c r="AN34" s="58" t="n">
        <v>107.4399530729868</v>
      </c>
    </row>
    <row r="35" ht="15" customHeight="1" thickBot="1">
      <c r="B35" s="59" t="inlineStr">
        <is>
          <t>Mail</t>
        </is>
      </c>
      <c r="C35" s="10" t="n"/>
      <c r="D35" s="60" t="n">
        <v>3473</v>
      </c>
      <c r="E35" s="61" t="n">
        <v>403203.3</v>
      </c>
      <c r="F35" s="61" t="n">
        <v>307998</v>
      </c>
      <c r="G35" s="62" t="n">
        <v>116.0965447739706</v>
      </c>
      <c r="H35" s="63" t="n">
        <v>88.68355888281025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COSENTYX UNOREADY</t>
        </is>
      </c>
      <c r="AG35" t="inlineStr">
        <is>
          <t>IMMUNOMODULATORS</t>
        </is>
      </c>
      <c r="AH35" s="122" t="n">
        <v>222729.4615547002</v>
      </c>
      <c r="AI35" s="56" t="n">
        <v>44.48750978832351</v>
      </c>
      <c r="AK35" s="123" t="n">
        <v>11</v>
      </c>
      <c r="AL35" t="inlineStr">
        <is>
          <t>KERENDIA</t>
        </is>
      </c>
      <c r="AM35" t="inlineStr">
        <is>
          <t>NON-STEROIDAL MINERALOCORTICOID RECEPTOR ANTAGONISTS</t>
        </is>
      </c>
      <c r="AN35" s="58" t="n">
        <v>96.04480653494271</v>
      </c>
    </row>
    <row r="36" ht="15" customHeight="1" thickTop="1">
      <c r="B36" s="64" t="inlineStr">
        <is>
          <t>Non-Specialty</t>
        </is>
      </c>
      <c r="C36" s="10" t="n"/>
      <c r="D36" s="65" t="n">
        <v>437647</v>
      </c>
      <c r="E36" s="66" t="n">
        <v>35528165.215</v>
      </c>
      <c r="F36" s="66" t="n">
        <v>24770453</v>
      </c>
      <c r="G36" s="67" t="n">
        <v>81.1799583111503</v>
      </c>
      <c r="H36" s="68" t="n">
        <v>56.59916096762916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CREON</t>
        </is>
      </c>
      <c r="AG36" t="inlineStr">
        <is>
          <t>DIGESTIVE ENZYMES</t>
        </is>
      </c>
      <c r="AH36" s="122" t="n">
        <v>213345.6468087839</v>
      </c>
      <c r="AI36" s="56" t="n">
        <v>194.7114603918203</v>
      </c>
      <c r="AK36" s="123" t="n">
        <v>12</v>
      </c>
      <c r="AL36" t="inlineStr">
        <is>
          <t>DESCOVY</t>
        </is>
      </c>
      <c r="AM36" t="inlineStr">
        <is>
          <t>HIV-MULTICLASS COMBO</t>
        </is>
      </c>
      <c r="AN36" s="58" t="n">
        <v>39.06134423352788</v>
      </c>
    </row>
    <row r="37" ht="15" customHeight="1" thickBot="1">
      <c r="B37" s="59" t="inlineStr">
        <is>
          <t>Specialty</t>
        </is>
      </c>
      <c r="C37" s="10" t="n"/>
      <c r="D37" s="60" t="n">
        <v>292</v>
      </c>
      <c r="E37" s="61" t="n">
        <v>35656.4</v>
      </c>
      <c r="F37" s="61" t="n">
        <v>9993</v>
      </c>
      <c r="G37" s="62" t="n">
        <v>122.1109589041096</v>
      </c>
      <c r="H37" s="63" t="n">
        <v>34.22260273972603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FREESTYLE LIBRE 3 PLUS/SENSOR/GLUCOSE MONITORING SYSTEM</t>
        </is>
      </c>
      <c r="AG37" t="inlineStr">
        <is>
          <t>DIABETES MONITORING AND TESTING SUPPLIES</t>
        </is>
      </c>
      <c r="AH37" s="122" t="n">
        <v>182152.4551494888</v>
      </c>
      <c r="AI37" s="56" t="n">
        <v>1865.941244872346</v>
      </c>
      <c r="AK37" s="123" t="n">
        <v>13</v>
      </c>
      <c r="AL37" t="inlineStr">
        <is>
          <t>LYSODREN</t>
        </is>
      </c>
      <c r="AM37" t="inlineStr">
        <is>
          <t>ONCOLOGY</t>
        </is>
      </c>
      <c r="AN37" s="58" t="n">
        <v>11.67918813454209</v>
      </c>
    </row>
    <row r="38" ht="15.6" customHeight="1" thickBot="1" thickTop="1">
      <c r="B38" s="69" t="inlineStr">
        <is>
          <t>Total</t>
        </is>
      </c>
      <c r="C38" s="10" t="n"/>
      <c r="D38" s="70" t="n">
        <v>437939</v>
      </c>
      <c r="E38" s="71" t="n">
        <v>35563821.615</v>
      </c>
      <c r="F38" s="71" t="n">
        <v>24780446</v>
      </c>
      <c r="G38" s="72" t="n">
        <v>81.20724944569906</v>
      </c>
      <c r="H38" s="73" t="n">
        <v>56.58424118427452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STIOLTO RESPIMAT</t>
        </is>
      </c>
      <c r="AG38" t="inlineStr">
        <is>
          <t>LABA LAMA COMBO</t>
        </is>
      </c>
      <c r="AH38" s="122" t="n">
        <v>181342.6495808872</v>
      </c>
      <c r="AI38" s="56" t="n">
        <v>425.9624192844726</v>
      </c>
      <c r="AK38" s="123" t="n">
        <v>14</v>
      </c>
      <c r="AL38" t="inlineStr">
        <is>
          <t>KESIMPTA</t>
        </is>
      </c>
      <c r="AM38" t="inlineStr">
        <is>
          <t>MS</t>
        </is>
      </c>
      <c r="AN38" s="58" t="n">
        <v>7.875376975981928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COSENTYX SENSOREADY PEN</t>
        </is>
      </c>
      <c r="AG39" t="inlineStr">
        <is>
          <t>IMMUNOMODULATORS</t>
        </is>
      </c>
      <c r="AH39" s="122" t="n">
        <v>168220.6477168611</v>
      </c>
      <c r="AI39" s="56" t="n">
        <v>38.12369376989282</v>
      </c>
      <c r="AK39" s="123" t="n">
        <v>15</v>
      </c>
      <c r="AL39" t="inlineStr">
        <is>
          <t>IMPAVIDO</t>
        </is>
      </c>
      <c r="AM39" t="inlineStr">
        <is>
          <t>ANTI-INFECTIVE AGENTS - MISC.</t>
        </is>
      </c>
      <c r="AN39" s="58" t="n">
        <v>1.667953969263417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SPIRIVA RESPIMAT</t>
        </is>
      </c>
      <c r="AG40" t="inlineStr">
        <is>
          <t>LAMA/ACH</t>
        </is>
      </c>
      <c r="AH40" s="122" t="n">
        <v>130081.0722402474</v>
      </c>
      <c r="AI40" s="56" t="n">
        <v>345.2595267693078</v>
      </c>
      <c r="AK40" s="123" t="n">
        <v>16</v>
      </c>
      <c r="AL40" t="inlineStr">
        <is>
          <t>WEZLANA</t>
        </is>
      </c>
      <c r="AM40" t="inlineStr">
        <is>
          <t>IMMUNOMODULATORS</t>
        </is>
      </c>
      <c r="AN40" s="58" t="n">
        <v>2.184971041885453</v>
      </c>
    </row>
    <row r="41">
      <c r="B41" s="38" t="inlineStr">
        <is>
          <t>Retail 30</t>
        </is>
      </c>
      <c r="C41" s="10" t="n"/>
      <c r="D41" s="39" t="n">
        <v>243824</v>
      </c>
      <c r="E41" s="40" t="n">
        <v>12918510.497</v>
      </c>
      <c r="F41" s="40" t="n">
        <v>6062537</v>
      </c>
      <c r="G41" s="41" t="n">
        <v>52.98293234874335</v>
      </c>
      <c r="H41" s="42" t="n">
        <v>24.86439809042588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EMGALITY</t>
        </is>
      </c>
      <c r="AG41" t="inlineStr">
        <is>
          <t>MIGRAINE PRODUCTS</t>
        </is>
      </c>
      <c r="AH41" s="122" t="n">
        <v>127490.5711693544</v>
      </c>
      <c r="AI41" s="56" t="n">
        <v>237.6692890931074</v>
      </c>
      <c r="AK41" s="123" t="n">
        <v>17</v>
      </c>
      <c r="AL41" t="inlineStr">
        <is>
          <t>BIMZELX</t>
        </is>
      </c>
      <c r="AM41" t="inlineStr">
        <is>
          <t>CHRONIC INFLAMMATORY DISEASE</t>
        </is>
      </c>
      <c r="AN41" s="58" t="n">
        <v>3.27745656282818</v>
      </c>
    </row>
    <row r="42">
      <c r="B42" s="49" t="inlineStr">
        <is>
          <t>Retail 90</t>
        </is>
      </c>
      <c r="C42" s="10" t="n"/>
      <c r="D42" s="50" t="n">
        <v>238788</v>
      </c>
      <c r="E42" s="51" t="n">
        <v>24930022.808</v>
      </c>
      <c r="F42" s="51" t="n">
        <v>20554664</v>
      </c>
      <c r="G42" s="52" t="n">
        <v>104.4023267835905</v>
      </c>
      <c r="H42" s="53" t="n">
        <v>86.07913295475484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ZENPEP</t>
        </is>
      </c>
      <c r="AG42" t="inlineStr">
        <is>
          <t>DIGESTIVE ENZYMES</t>
        </is>
      </c>
      <c r="AH42" s="122" t="n">
        <v>127063.6459825253</v>
      </c>
      <c r="AI42" s="56" t="n">
        <v>44.14969160047089</v>
      </c>
      <c r="AK42" s="123" t="n">
        <v>18</v>
      </c>
      <c r="AL42" t="inlineStr">
        <is>
          <t>ACTEMRA ACTPEN</t>
        </is>
      </c>
      <c r="AM42" t="inlineStr">
        <is>
          <t>IMMUNOMODULATORS</t>
        </is>
      </c>
      <c r="AN42" s="58" t="n">
        <v>11.79884362618144</v>
      </c>
    </row>
    <row r="43" ht="15" customHeight="1" thickBot="1">
      <c r="B43" s="59" t="inlineStr">
        <is>
          <t>Mail</t>
        </is>
      </c>
      <c r="C43" s="10" t="n"/>
      <c r="D43" s="60" t="n">
        <v>3744</v>
      </c>
      <c r="E43" s="61" t="n">
        <v>434658.3</v>
      </c>
      <c r="F43" s="61" t="n">
        <v>331762</v>
      </c>
      <c r="G43" s="62" t="n">
        <v>116.0946314102564</v>
      </c>
      <c r="H43" s="63" t="n">
        <v>88.61164529914529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PAXLOVID</t>
        </is>
      </c>
      <c r="AG43" t="inlineStr">
        <is>
          <t>MISC. ANTIVIRALS</t>
        </is>
      </c>
      <c r="AH43" s="122" t="n">
        <v>113557.6562659855</v>
      </c>
      <c r="AI43" s="56" t="n">
        <v>394.2773828417476</v>
      </c>
      <c r="AK43" s="123" t="n">
        <v>19</v>
      </c>
      <c r="AL43" t="inlineStr">
        <is>
          <t>GENVOYA</t>
        </is>
      </c>
      <c r="AM43" t="inlineStr">
        <is>
          <t>HIV-MULTICLASS COMBO</t>
        </is>
      </c>
      <c r="AN43" s="58" t="n">
        <v>3.55103129395708</v>
      </c>
    </row>
    <row r="44" ht="15.6" customHeight="1" thickBot="1" thickTop="1">
      <c r="B44" s="64" t="inlineStr">
        <is>
          <t>Non-Specialty</t>
        </is>
      </c>
      <c r="C44" s="10" t="n"/>
      <c r="D44" s="65" t="n">
        <v>486356</v>
      </c>
      <c r="E44" s="66" t="n">
        <v>38283191.605</v>
      </c>
      <c r="F44" s="66" t="n">
        <v>26948963</v>
      </c>
      <c r="G44" s="67" t="n">
        <v>78.71434012328417</v>
      </c>
      <c r="H44" s="68" t="n">
        <v>55.40995279178215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PROLIA</t>
        </is>
      </c>
      <c r="AG44" s="82" t="inlineStr">
        <is>
          <t>OSTEOPOROSIS AGENTS</t>
        </is>
      </c>
      <c r="AH44" s="125" t="n">
        <v>108268.6169730687</v>
      </c>
      <c r="AI44" s="84" t="n">
        <v>251.9589586047851</v>
      </c>
      <c r="AK44" s="126" t="n">
        <v>20</v>
      </c>
      <c r="AL44" s="86" t="inlineStr">
        <is>
          <t>XELJANZ XR</t>
        </is>
      </c>
      <c r="AM44" s="86" t="inlineStr">
        <is>
          <t>IMMUNOMODULATORS</t>
        </is>
      </c>
      <c r="AN44" s="87" t="n">
        <v>6.274956789860243</v>
      </c>
    </row>
    <row r="45" ht="15" customHeight="1" thickBot="1">
      <c r="B45" s="59" t="inlineStr">
        <is>
          <t>Specialty</t>
        </is>
      </c>
      <c r="C45" s="10" t="n"/>
      <c r="D45" s="60" t="n">
        <v>2038</v>
      </c>
      <c r="E45" s="61" t="n">
        <v>72790.88</v>
      </c>
      <c r="F45" s="61" t="n">
        <v>108490</v>
      </c>
      <c r="G45" s="62" t="n">
        <v>35.71682041216879</v>
      </c>
      <c r="H45" s="63" t="n">
        <v>53.23356231599607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488394</v>
      </c>
      <c r="E46" s="71" t="n">
        <v>38355982.485</v>
      </c>
      <c r="F46" s="71" t="n">
        <v>27057453</v>
      </c>
      <c r="G46" s="72" t="n">
        <v>78.53491747441615</v>
      </c>
      <c r="H46" s="73" t="n">
        <v>55.40087101807148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7777267.925001564</v>
      </c>
      <c r="AH49" s="46" t="n">
        <v>10697.0938666995</v>
      </c>
    </row>
    <row r="50" ht="15" customHeight="1" thickBot="1">
      <c r="AE50" s="121" t="n">
        <v>2</v>
      </c>
      <c r="AF50" t="inlineStr">
        <is>
          <t>IMMUNOMODULATORS</t>
        </is>
      </c>
      <c r="AG50" s="122" t="n">
        <v>3392626.779822471</v>
      </c>
      <c r="AH50" s="56" t="n">
        <v>707.4068275609242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2029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CHRONIC INFLAMMATORY DISEASE</t>
        </is>
      </c>
      <c r="AG51" s="122" t="n">
        <v>1111025.52965187</v>
      </c>
      <c r="AH51" s="56" t="n">
        <v>873.1126254205338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LABA LAMA COMBO</t>
        </is>
      </c>
      <c r="AG52" s="122" t="n">
        <v>912677.8824308183</v>
      </c>
      <c r="AH52" s="56" t="n">
        <v>1900.49425990416</v>
      </c>
    </row>
    <row r="53">
      <c r="B53" s="38" t="inlineStr">
        <is>
          <t>OTCs</t>
        </is>
      </c>
      <c r="D53" s="127" t="n">
        <v>1347</v>
      </c>
      <c r="E53" s="128" t="n">
        <v>1403</v>
      </c>
      <c r="F53" s="128" t="n">
        <v>16</v>
      </c>
      <c r="G53" s="128" t="n">
        <v>0</v>
      </c>
      <c r="H53" s="129" t="n">
        <v>2766</v>
      </c>
      <c r="J53" s="127" t="n">
        <v>1360.461874663778</v>
      </c>
      <c r="K53" s="128" t="n">
        <v>1442.583703144494</v>
      </c>
      <c r="L53" s="128" t="n">
        <v>16.81060051458184</v>
      </c>
      <c r="M53" s="128" t="n">
        <v>0</v>
      </c>
      <c r="N53" s="129" t="n">
        <v>2819.856178322854</v>
      </c>
      <c r="P53" s="127" t="n">
        <v>1374.950469289653</v>
      </c>
      <c r="Q53" s="128" t="n">
        <v>1467.885546217304</v>
      </c>
      <c r="R53" s="128" t="n">
        <v>17.34055365383277</v>
      </c>
      <c r="S53" s="128" t="n">
        <v>0</v>
      </c>
      <c r="T53" s="129" t="n">
        <v>2860.176569160789</v>
      </c>
      <c r="V53" s="127" t="n">
        <v>1391.766589336762</v>
      </c>
      <c r="W53" s="128" t="n">
        <v>1490.435200163811</v>
      </c>
      <c r="X53" s="128" t="n">
        <v>17.72189602814375</v>
      </c>
      <c r="Y53" s="128" t="n">
        <v>0</v>
      </c>
      <c r="Z53" s="129" t="n">
        <v>2899.923685528717</v>
      </c>
      <c r="AE53" s="121" t="n">
        <v>5</v>
      </c>
      <c r="AF53" t="inlineStr">
        <is>
          <t>URINARY ANTISPASMODICS &amp; OAB DRUGS</t>
        </is>
      </c>
      <c r="AG53" s="122" t="n">
        <v>415906.9490123874</v>
      </c>
      <c r="AH53" s="56" t="n">
        <v>685.3351048132805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ONCOLOGY</t>
        </is>
      </c>
      <c r="AG54" s="122" t="n">
        <v>393584.477898889</v>
      </c>
      <c r="AH54" s="56" t="n">
        <v>120.6369622912027</v>
      </c>
    </row>
    <row r="55">
      <c r="B55" s="64" t="inlineStr">
        <is>
          <t>Vaccines</t>
        </is>
      </c>
      <c r="D55" s="130" t="n">
        <v>9389</v>
      </c>
      <c r="E55" s="131" t="n">
        <v>7</v>
      </c>
      <c r="F55" s="131" t="n">
        <v>0</v>
      </c>
      <c r="G55" s="131" t="n">
        <v>0</v>
      </c>
      <c r="H55" s="132" t="n">
        <v>9396</v>
      </c>
      <c r="J55" s="130" t="n">
        <v>9604.744793221946</v>
      </c>
      <c r="K55" s="131" t="n">
        <v>7.468734608523377</v>
      </c>
      <c r="L55" s="131" t="n">
        <v>0</v>
      </c>
      <c r="M55" s="131" t="n">
        <v>0</v>
      </c>
      <c r="N55" s="132" t="n">
        <v>9612.213527830469</v>
      </c>
      <c r="P55" s="130" t="n">
        <v>9711.100612668353</v>
      </c>
      <c r="Q55" s="131" t="n">
        <v>7.681420291833214</v>
      </c>
      <c r="R55" s="131" t="n">
        <v>0</v>
      </c>
      <c r="S55" s="131" t="n">
        <v>0</v>
      </c>
      <c r="T55" s="132" t="n">
        <v>9718.782032960187</v>
      </c>
      <c r="V55" s="130" t="n">
        <v>9788.465905473897</v>
      </c>
      <c r="W55" s="131" t="n">
        <v>7.841870691875749</v>
      </c>
      <c r="X55" s="131" t="n">
        <v>0</v>
      </c>
      <c r="Y55" s="131" t="n">
        <v>0</v>
      </c>
      <c r="Z55" s="132" t="n">
        <v>9796.307776165773</v>
      </c>
      <c r="AE55" s="121" t="n">
        <v>7</v>
      </c>
      <c r="AF55" t="inlineStr">
        <is>
          <t>DIGESTIVE ENZYMES</t>
        </is>
      </c>
      <c r="AG55" s="122" t="n">
        <v>340409.2927913092</v>
      </c>
      <c r="AH55" s="56" t="n">
        <v>238.8611519922912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MIGRAINE PRODUCTS</t>
        </is>
      </c>
      <c r="AG56" s="122" t="n">
        <v>322426.0957396846</v>
      </c>
      <c r="AH56" s="56" t="n">
        <v>533.0386368099751</v>
      </c>
    </row>
    <row r="57">
      <c r="B57" s="64" t="inlineStr">
        <is>
          <t>MSBs</t>
        </is>
      </c>
      <c r="D57" s="130" t="n">
        <v>2931</v>
      </c>
      <c r="E57" s="131" t="n">
        <v>1459</v>
      </c>
      <c r="F57" s="131" t="n">
        <v>29</v>
      </c>
      <c r="G57" s="131" t="n">
        <v>87</v>
      </c>
      <c r="H57" s="132" t="n">
        <v>4506</v>
      </c>
      <c r="J57" s="130" t="n">
        <v>1744.054218418617</v>
      </c>
      <c r="K57" s="131" t="n">
        <v>1050.980920266796</v>
      </c>
      <c r="L57" s="131" t="n">
        <v>13.46605752084745</v>
      </c>
      <c r="M57" s="131" t="n">
        <v>41.96486816008204</v>
      </c>
      <c r="N57" s="132" t="n">
        <v>2850.466064366342</v>
      </c>
      <c r="P57" s="130" t="n">
        <v>1635.212972539078</v>
      </c>
      <c r="Q57" s="131" t="n">
        <v>1001.385901888838</v>
      </c>
      <c r="R57" s="131" t="n">
        <v>11.50133525344111</v>
      </c>
      <c r="S57" s="131" t="n">
        <v>41.68803870239996</v>
      </c>
      <c r="T57" s="132" t="n">
        <v>2689.788248383757</v>
      </c>
      <c r="V57" s="130" t="n">
        <v>1409.614172356645</v>
      </c>
      <c r="W57" s="131" t="n">
        <v>964.2203879681116</v>
      </c>
      <c r="X57" s="131" t="n">
        <v>9.80421488211929</v>
      </c>
      <c r="Y57" s="131" t="n">
        <v>42.13077516565712</v>
      </c>
      <c r="Z57" s="132" t="n">
        <v>2425.769550372533</v>
      </c>
      <c r="AE57" s="121" t="n">
        <v>9</v>
      </c>
      <c r="AF57" t="inlineStr">
        <is>
          <t>DIABETES MONITORING AND TESTING SUPPLIES</t>
        </is>
      </c>
      <c r="AG57" s="122" t="n">
        <v>194759.5000657007</v>
      </c>
      <c r="AH57" s="56" t="n">
        <v>1989.153308037623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BASAL INSULIN</t>
        </is>
      </c>
      <c r="AG58" s="122" t="n">
        <v>164477.1319843271</v>
      </c>
      <c r="AH58" s="56" t="n">
        <v>1494.471834235357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1143</v>
      </c>
      <c r="H59" s="132" t="n">
        <v>1143</v>
      </c>
      <c r="J59" s="130" t="n">
        <v>0</v>
      </c>
      <c r="K59" s="131" t="n">
        <v>0</v>
      </c>
      <c r="L59" s="131" t="n">
        <v>0</v>
      </c>
      <c r="M59" s="131" t="n">
        <v>1251.272016547032</v>
      </c>
      <c r="N59" s="132" t="n">
        <v>1251.272016547032</v>
      </c>
      <c r="P59" s="130" t="n">
        <v>0</v>
      </c>
      <c r="Q59" s="131" t="n">
        <v>0</v>
      </c>
      <c r="R59" s="131" t="n">
        <v>0</v>
      </c>
      <c r="S59" s="131" t="n">
        <v>1340.040023429968</v>
      </c>
      <c r="T59" s="132" t="n">
        <v>1340.040023429968</v>
      </c>
      <c r="V59" s="130" t="n">
        <v>0</v>
      </c>
      <c r="W59" s="131" t="n">
        <v>0</v>
      </c>
      <c r="X59" s="131" t="n">
        <v>0</v>
      </c>
      <c r="Y59" s="131" t="n">
        <v>1395.880080084951</v>
      </c>
      <c r="Z59" s="132" t="n">
        <v>1395.880080084951</v>
      </c>
      <c r="AE59" s="121" t="n">
        <v>11</v>
      </c>
      <c r="AF59" t="inlineStr">
        <is>
          <t>LAMA/ACH</t>
        </is>
      </c>
      <c r="AG59" s="122" t="n">
        <v>153770.7609894927</v>
      </c>
      <c r="AH59" s="56" t="n">
        <v>376.6070963834844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MISC. ANTIVIRALS</t>
        </is>
      </c>
      <c r="AG60" s="122" t="n">
        <v>135513.0717390803</v>
      </c>
      <c r="AH60" s="56" t="n">
        <v>469.5665313240913</v>
      </c>
    </row>
    <row r="61">
      <c r="B61" s="64" t="inlineStr">
        <is>
          <t>Formulary Exclusions</t>
        </is>
      </c>
      <c r="D61" s="130" t="n">
        <v>2579</v>
      </c>
      <c r="E61" s="131" t="n">
        <v>785</v>
      </c>
      <c r="F61" s="131" t="n">
        <v>22</v>
      </c>
      <c r="G61" s="131" t="n">
        <v>68</v>
      </c>
      <c r="H61" s="132" t="n">
        <v>3454</v>
      </c>
      <c r="J61" s="130" t="n">
        <v>3475.77049067758</v>
      </c>
      <c r="K61" s="131" t="n">
        <v>1879.236665364516</v>
      </c>
      <c r="L61" s="131" t="n">
        <v>40.88056000062585</v>
      </c>
      <c r="M61" s="131" t="n">
        <v>83.07733275588409</v>
      </c>
      <c r="N61" s="132" t="n">
        <v>5478.965048798607</v>
      </c>
      <c r="P61" s="130" t="n">
        <v>4130.131957310844</v>
      </c>
      <c r="Q61" s="131" t="n">
        <v>2671.817886250134</v>
      </c>
      <c r="R61" s="131" t="n">
        <v>54.47014864180036</v>
      </c>
      <c r="S61" s="131" t="n">
        <v>91.05240222120837</v>
      </c>
      <c r="T61" s="132" t="n">
        <v>6947.472394423987</v>
      </c>
      <c r="V61" s="130" t="n">
        <v>4273.151023763351</v>
      </c>
      <c r="W61" s="131" t="n">
        <v>2806.341432842156</v>
      </c>
      <c r="X61" s="131" t="n">
        <v>57.02415701411742</v>
      </c>
      <c r="Y61" s="131" t="n">
        <v>101.0761670850872</v>
      </c>
      <c r="Z61" s="132" t="n">
        <v>7237.592780704711</v>
      </c>
      <c r="AE61" s="121" t="n">
        <v>13</v>
      </c>
      <c r="AF61" t="inlineStr">
        <is>
          <t>OSTEOPOROSIS AGENTS</t>
        </is>
      </c>
      <c r="AG61" s="122" t="n">
        <v>108268.6169730687</v>
      </c>
      <c r="AH61" s="56" t="n">
        <v>347.5927466644546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POTASSIUM REMOVING AGENTS</t>
        </is>
      </c>
      <c r="AG62" s="122" t="n">
        <v>107514.8492741309</v>
      </c>
      <c r="AH62" s="56" t="n">
        <v>166.0435638400704</v>
      </c>
    </row>
    <row r="63">
      <c r="B63" s="64" t="inlineStr">
        <is>
          <t>Misc</t>
        </is>
      </c>
      <c r="D63" s="130" t="n">
        <v>1695</v>
      </c>
      <c r="E63" s="131" t="n">
        <v>1331</v>
      </c>
      <c r="F63" s="131" t="n">
        <v>23</v>
      </c>
      <c r="G63" s="131" t="n">
        <v>2</v>
      </c>
      <c r="H63" s="132" t="n">
        <v>3051</v>
      </c>
      <c r="J63" s="130" t="n">
        <v>2399.052334449065</v>
      </c>
      <c r="K63" s="131" t="n">
        <v>1992.31258498821</v>
      </c>
      <c r="L63" s="131" t="n">
        <v>33.57613890171319</v>
      </c>
      <c r="M63" s="131" t="n">
        <v>209.6733577939747</v>
      </c>
      <c r="N63" s="132" t="n">
        <v>4634.614416132963</v>
      </c>
      <c r="P63" s="130" t="n">
        <v>2826.131680913324</v>
      </c>
      <c r="Q63" s="131" t="n">
        <v>2417.817724958292</v>
      </c>
      <c r="R63" s="131" t="n">
        <v>40.463977920018</v>
      </c>
      <c r="S63" s="131" t="n">
        <v>231.3531612844695</v>
      </c>
      <c r="T63" s="132" t="n">
        <v>5515.766545076103</v>
      </c>
      <c r="V63" s="130" t="n">
        <v>3333.582500652559</v>
      </c>
      <c r="W63" s="131" t="n">
        <v>2919.67757570038</v>
      </c>
      <c r="X63" s="131" t="n">
        <v>48.29562868547174</v>
      </c>
      <c r="Y63" s="131" t="n">
        <v>250.4907355877558</v>
      </c>
      <c r="Z63" s="132" t="n">
        <v>6552.046440626166</v>
      </c>
      <c r="AE63" s="121" t="n">
        <v>15</v>
      </c>
      <c r="AF63" t="inlineStr">
        <is>
          <t>INSULIN ADMINISTRATION SUPPLIES</t>
        </is>
      </c>
      <c r="AG63" s="122" t="n">
        <v>105806.2306725778</v>
      </c>
      <c r="AH63" s="56" t="n">
        <v>272.6536613951823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2</v>
      </c>
      <c r="H64" s="135" t="n">
        <v>2</v>
      </c>
      <c r="J64" s="133" t="n">
        <v>0</v>
      </c>
      <c r="K64" s="134" t="n">
        <v>0</v>
      </c>
      <c r="L64" s="134" t="n">
        <v>0</v>
      </c>
      <c r="M64" s="134" t="n">
        <v>1.61693912030697</v>
      </c>
      <c r="N64" s="135" t="n">
        <v>1.61693912030697</v>
      </c>
      <c r="P64" s="133" t="n">
        <v>0</v>
      </c>
      <c r="Q64" s="134" t="n">
        <v>0</v>
      </c>
      <c r="R64" s="134" t="n">
        <v>0</v>
      </c>
      <c r="S64" s="134" t="n">
        <v>1.640449587259669</v>
      </c>
      <c r="T64" s="135" t="n">
        <v>1.640449587259669</v>
      </c>
      <c r="V64" s="133" t="n">
        <v>0</v>
      </c>
      <c r="W64" s="134" t="n">
        <v>0</v>
      </c>
      <c r="X64" s="134" t="n">
        <v>0</v>
      </c>
      <c r="Y64" s="134" t="n">
        <v>1.709600881596582</v>
      </c>
      <c r="Z64" s="135" t="n">
        <v>1.709600881596582</v>
      </c>
      <c r="AE64" s="121" t="n">
        <v>16</v>
      </c>
      <c r="AF64" t="inlineStr">
        <is>
          <t>OPHTHALMICS - RHO KINASE INHIBITOR &amp; COMBOS</t>
        </is>
      </c>
      <c r="AG64" s="122" t="n">
        <v>101509.5952659206</v>
      </c>
      <c r="AH64" s="56" t="n">
        <v>266.7875945520336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 2026, 2027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OPIOID AGONISTS &amp; COMBOS</t>
        </is>
      </c>
      <c r="AG65" s="122" t="n">
        <v>57882.58132104109</v>
      </c>
      <c r="AH65" s="56" t="n">
        <v>145.1834628487152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SEDATIVE HYPNOTICS</t>
        </is>
      </c>
      <c r="AG66" s="122" t="n">
        <v>55799.41275277953</v>
      </c>
      <c r="AH66" s="56" t="n">
        <v>145.8247890034719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1900.278059066834</v>
      </c>
      <c r="K67" s="140" t="n">
        <v>1114.495647238112</v>
      </c>
      <c r="L67" s="140" t="n">
        <v>22.34085682814803</v>
      </c>
      <c r="M67" s="140" t="n">
        <v>193.8046836844156</v>
      </c>
      <c r="N67" s="141" t="n">
        <v>3230.919246817511</v>
      </c>
      <c r="P67" s="139" t="n">
        <v>1376.52034078133</v>
      </c>
      <c r="Q67" s="140" t="n">
        <v>474.1870466229238</v>
      </c>
      <c r="R67" s="140" t="n">
        <v>10.15020924840391</v>
      </c>
      <c r="S67" s="140" t="n">
        <v>195.9246325159089</v>
      </c>
      <c r="T67" s="141" t="n">
        <v>2056.782229168566</v>
      </c>
      <c r="V67" s="139" t="n">
        <v>1409.31120853687</v>
      </c>
      <c r="W67" s="140" t="n">
        <v>497.2231949594201</v>
      </c>
      <c r="X67" s="140" t="n">
        <v>10.97973574079871</v>
      </c>
      <c r="Y67" s="140" t="n">
        <v>208.2943256733983</v>
      </c>
      <c r="Z67" s="141" t="n">
        <v>2125.808464910487</v>
      </c>
      <c r="AE67" s="121" t="n">
        <v>19</v>
      </c>
      <c r="AF67" t="inlineStr">
        <is>
          <t>OPHTHALMIC INTEGRIN ANTAGONIST</t>
        </is>
      </c>
      <c r="AG67" s="122" t="n">
        <v>43317.35248530962</v>
      </c>
      <c r="AH67" s="56" t="n">
        <v>43.81252004427874</v>
      </c>
    </row>
    <row r="68" ht="15.6" customHeight="1" thickBot="1" thickTop="1">
      <c r="B68" s="69" t="inlineStr">
        <is>
          <t>Total</t>
        </is>
      </c>
      <c r="D68" s="142" t="n">
        <v>17941</v>
      </c>
      <c r="E68" s="143" t="n">
        <v>4985</v>
      </c>
      <c r="F68" s="143" t="n">
        <v>90</v>
      </c>
      <c r="G68" s="143" t="n">
        <v>1300</v>
      </c>
      <c r="H68" s="144" t="n">
        <v>24318</v>
      </c>
      <c r="J68" s="142" t="n">
        <v>20484.36177049782</v>
      </c>
      <c r="K68" s="143" t="n">
        <v>7487.078255610652</v>
      </c>
      <c r="L68" s="143" t="n">
        <v>127.0742137659164</v>
      </c>
      <c r="M68" s="143" t="n">
        <v>1779.792258941388</v>
      </c>
      <c r="N68" s="144" t="n">
        <v>29879.92343793609</v>
      </c>
      <c r="P68" s="142" t="n">
        <v>21054.04803350258</v>
      </c>
      <c r="Q68" s="143" t="n">
        <v>8040.775526229325</v>
      </c>
      <c r="R68" s="143" t="n">
        <v>133.9262247174962</v>
      </c>
      <c r="S68" s="143" t="n">
        <v>1900.058258153955</v>
      </c>
      <c r="T68" s="144" t="n">
        <v>31130.44849219062</v>
      </c>
      <c r="V68" s="142" t="n">
        <v>21605.89140012008</v>
      </c>
      <c r="W68" s="143" t="n">
        <v>8685.739662325754</v>
      </c>
      <c r="X68" s="143" t="n">
        <v>143.8256323506509</v>
      </c>
      <c r="Y68" s="143" t="n">
        <v>1997.87208359685</v>
      </c>
      <c r="Z68" s="144" t="n">
        <v>32435.03837927494</v>
      </c>
      <c r="AE68" s="124" t="n">
        <v>20</v>
      </c>
      <c r="AF68" s="82" t="inlineStr">
        <is>
          <t>BASAL &amp; GLP-1 COMBO</t>
        </is>
      </c>
      <c r="AG68" s="125" t="n">
        <v>35321.44020195471</v>
      </c>
      <c r="AH68" s="84" t="n">
        <v>45.41890275507653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7</v>
      </c>
      <c r="E71" s="128" t="n">
        <v>5</v>
      </c>
      <c r="F71" s="128" t="n">
        <v>0</v>
      </c>
      <c r="G71" s="128" t="n">
        <v>0</v>
      </c>
      <c r="H71" s="129" t="n">
        <v>12</v>
      </c>
      <c r="J71" s="127" t="n">
        <v>7.750518176765181</v>
      </c>
      <c r="K71" s="128" t="n">
        <v>4.33584327075745</v>
      </c>
      <c r="L71" s="128" t="n">
        <v>0</v>
      </c>
      <c r="M71" s="128" t="n">
        <v>0</v>
      </c>
      <c r="N71" s="129" t="n">
        <v>12.08636144752263</v>
      </c>
      <c r="P71" s="127" t="n">
        <v>8.192848110463446</v>
      </c>
      <c r="Q71" s="128" t="n">
        <v>4.071420362981852</v>
      </c>
      <c r="R71" s="128" t="n">
        <v>0</v>
      </c>
      <c r="S71" s="128" t="n">
        <v>0</v>
      </c>
      <c r="T71" s="129" t="n">
        <v>12.2642684734453</v>
      </c>
      <c r="V71" s="127" t="n">
        <v>8.682800100355173</v>
      </c>
      <c r="W71" s="128" t="n">
        <v>3.832345246287813</v>
      </c>
      <c r="X71" s="128" t="n">
        <v>0</v>
      </c>
      <c r="Y71" s="128" t="n">
        <v>0</v>
      </c>
      <c r="Z71" s="129" t="n">
        <v>12.51514534664299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2421</v>
      </c>
      <c r="E75" s="131" t="n">
        <v>373</v>
      </c>
      <c r="F75" s="131" t="n">
        <v>5</v>
      </c>
      <c r="G75" s="131" t="n">
        <v>0</v>
      </c>
      <c r="H75" s="132" t="n">
        <v>2799</v>
      </c>
      <c r="J75" s="130" t="n">
        <v>7197.985321755256</v>
      </c>
      <c r="K75" s="131" t="n">
        <v>2449.55639459372</v>
      </c>
      <c r="L75" s="131" t="n">
        <v>65.41942268273522</v>
      </c>
      <c r="M75" s="131" t="n">
        <v>19.05646504017929</v>
      </c>
      <c r="N75" s="132" t="n">
        <v>9732.017604071891</v>
      </c>
      <c r="P75" s="130" t="n">
        <v>8157.149229625111</v>
      </c>
      <c r="Q75" s="131" t="n">
        <v>2891.426278414408</v>
      </c>
      <c r="R75" s="131" t="n">
        <v>77.95867935544808</v>
      </c>
      <c r="S75" s="131" t="n">
        <v>20.56193962167864</v>
      </c>
      <c r="T75" s="132" t="n">
        <v>11147.09612701665</v>
      </c>
      <c r="V75" s="130" t="n">
        <v>9996.096520677067</v>
      </c>
      <c r="W75" s="131" t="n">
        <v>3404.183159089577</v>
      </c>
      <c r="X75" s="131" t="n">
        <v>96.66477524674978</v>
      </c>
      <c r="Y75" s="131" t="n">
        <v>21.82725051307309</v>
      </c>
      <c r="Z75" s="132" t="n">
        <v>13518.77170552647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68</v>
      </c>
      <c r="H77" s="132" t="n">
        <v>68</v>
      </c>
      <c r="J77" s="130" t="n">
        <v>0</v>
      </c>
      <c r="K77" s="131" t="n">
        <v>0</v>
      </c>
      <c r="L77" s="131" t="n">
        <v>0</v>
      </c>
      <c r="M77" s="131" t="n">
        <v>179.755418341803</v>
      </c>
      <c r="N77" s="132" t="n">
        <v>179.755418341803</v>
      </c>
      <c r="P77" s="130" t="n">
        <v>0</v>
      </c>
      <c r="Q77" s="131" t="n">
        <v>0</v>
      </c>
      <c r="R77" s="131" t="n">
        <v>0</v>
      </c>
      <c r="S77" s="131" t="n">
        <v>232.6051624475786</v>
      </c>
      <c r="T77" s="132" t="n">
        <v>232.6051624475786</v>
      </c>
      <c r="V77" s="130" t="n">
        <v>0</v>
      </c>
      <c r="W77" s="131" t="n">
        <v>0</v>
      </c>
      <c r="X77" s="131" t="n">
        <v>0</v>
      </c>
      <c r="Y77" s="131" t="n">
        <v>302.4812668391931</v>
      </c>
      <c r="Z77" s="132" t="n">
        <v>302.4812668391931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2006</v>
      </c>
      <c r="E79" s="131" t="n">
        <v>2399</v>
      </c>
      <c r="F79" s="131" t="n">
        <v>10</v>
      </c>
      <c r="G79" s="131" t="n">
        <v>23</v>
      </c>
      <c r="H79" s="132" t="n">
        <v>4438</v>
      </c>
      <c r="J79" s="130" t="n">
        <v>2209.568549907321</v>
      </c>
      <c r="K79" s="131" t="n">
        <v>2593.333683184456</v>
      </c>
      <c r="L79" s="131" t="n">
        <v>10.83583126299182</v>
      </c>
      <c r="M79" s="131" t="n">
        <v>26.18930320257346</v>
      </c>
      <c r="N79" s="132" t="n">
        <v>4839.927367557342</v>
      </c>
      <c r="P79" s="130" t="n">
        <v>2292.902614467378</v>
      </c>
      <c r="Q79" s="131" t="n">
        <v>2663.39792184583</v>
      </c>
      <c r="R79" s="131" t="n">
        <v>11.13788013767394</v>
      </c>
      <c r="S79" s="131" t="n">
        <v>27.565414861867</v>
      </c>
      <c r="T79" s="132" t="n">
        <v>4995.00383131275</v>
      </c>
      <c r="V79" s="130" t="n">
        <v>2339.927961197535</v>
      </c>
      <c r="W79" s="131" t="n">
        <v>2717.102643076892</v>
      </c>
      <c r="X79" s="131" t="n">
        <v>11.3701704635769</v>
      </c>
      <c r="Y79" s="131" t="n">
        <v>29.21374271380387</v>
      </c>
      <c r="Z79" s="132" t="n">
        <v>5097.614517451808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0</v>
      </c>
      <c r="K81" s="131" t="n">
        <v>0</v>
      </c>
      <c r="L81" s="131" t="n">
        <v>0</v>
      </c>
      <c r="M81" s="131" t="n">
        <v>0.6342430371881846</v>
      </c>
      <c r="N81" s="132" t="n">
        <v>0.6342430371881846</v>
      </c>
      <c r="P81" s="130" t="n">
        <v>0</v>
      </c>
      <c r="Q81" s="131" t="n">
        <v>0</v>
      </c>
      <c r="R81" s="131" t="n">
        <v>0</v>
      </c>
      <c r="S81" s="131" t="n">
        <v>0.7092703061041448</v>
      </c>
      <c r="T81" s="132" t="n">
        <v>0.7092703061041448</v>
      </c>
      <c r="V81" s="130" t="n">
        <v>0</v>
      </c>
      <c r="W81" s="131" t="n">
        <v>0</v>
      </c>
      <c r="X81" s="131" t="n">
        <v>0</v>
      </c>
      <c r="Y81" s="131" t="n">
        <v>0.7622658580093002</v>
      </c>
      <c r="Z81" s="132" t="n">
        <v>0.7622658580093002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0.6342430371881935</v>
      </c>
      <c r="N82" s="135" t="n">
        <v>0.6342430371881935</v>
      </c>
      <c r="P82" s="133" t="n">
        <v>0</v>
      </c>
      <c r="Q82" s="134" t="n">
        <v>0</v>
      </c>
      <c r="R82" s="134" t="n">
        <v>0</v>
      </c>
      <c r="S82" s="134" t="n">
        <v>0.7092703061041666</v>
      </c>
      <c r="T82" s="135" t="n">
        <v>0.7092703061041666</v>
      </c>
      <c r="V82" s="133" t="n">
        <v>0</v>
      </c>
      <c r="W82" s="134" t="n">
        <v>0</v>
      </c>
      <c r="X82" s="134" t="n">
        <v>0</v>
      </c>
      <c r="Y82" s="134" t="n">
        <v>0.7622658580093674</v>
      </c>
      <c r="Z82" s="135" t="n">
        <v>0.7622658580093674</v>
      </c>
    </row>
    <row r="83">
      <c r="A83" s="98" t="inlineStr">
        <is>
          <t>Added MFP row but needs adjusting for non-CY</t>
        </is>
      </c>
      <c r="B83" s="64" t="inlineStr">
        <is>
          <t>MFP 2026, 2027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212099.4593786842</v>
      </c>
      <c r="K85" s="140" t="n">
        <v>223453.9364003303</v>
      </c>
      <c r="L85" s="140" t="n">
        <v>3494.351149346138</v>
      </c>
      <c r="M85" s="140" t="n">
        <v>328.4039082666113</v>
      </c>
      <c r="N85" s="141" t="n">
        <v>439376.1508366273</v>
      </c>
      <c r="P85" s="139" t="n">
        <v>215866.620434553</v>
      </c>
      <c r="Q85" s="140" t="n">
        <v>228713.3997223013</v>
      </c>
      <c r="R85" s="140" t="n">
        <v>3563.632499004144</v>
      </c>
      <c r="S85" s="140" t="n">
        <v>340.6424710336581</v>
      </c>
      <c r="T85" s="141" t="n">
        <v>448484.2951268921</v>
      </c>
      <c r="V85" s="139" t="n">
        <v>217786.8806903263</v>
      </c>
      <c r="W85" s="140" t="n">
        <v>231736.3916218678</v>
      </c>
      <c r="X85" s="140" t="n">
        <v>3593.607718707795</v>
      </c>
      <c r="Y85" s="140" t="n">
        <v>394.8692993607791</v>
      </c>
      <c r="Z85" s="141" t="n">
        <v>453511.7493302627</v>
      </c>
    </row>
    <row r="86" ht="15.6" customHeight="1" thickBot="1" thickTop="1">
      <c r="B86" s="69" t="inlineStr">
        <is>
          <t>Total</t>
        </is>
      </c>
      <c r="D86" s="142" t="n">
        <v>4434</v>
      </c>
      <c r="E86" s="143" t="n">
        <v>2777</v>
      </c>
      <c r="F86" s="143" t="n">
        <v>15</v>
      </c>
      <c r="G86" s="143" t="n">
        <v>91</v>
      </c>
      <c r="H86" s="144" t="n">
        <v>7317</v>
      </c>
      <c r="J86" s="142" t="n">
        <v>221514.7637685236</v>
      </c>
      <c r="K86" s="143" t="n">
        <v>228501.1623213792</v>
      </c>
      <c r="L86" s="143" t="n">
        <v>3570.606403291865</v>
      </c>
      <c r="M86" s="143" t="n">
        <v>554.0393378883552</v>
      </c>
      <c r="N86" s="144" t="n">
        <v>454141.2060741203</v>
      </c>
      <c r="P86" s="142" t="n">
        <v>226324.8651267559</v>
      </c>
      <c r="Q86" s="143" t="n">
        <v>234272.2953429245</v>
      </c>
      <c r="R86" s="143" t="n">
        <v>3652.729058497267</v>
      </c>
      <c r="S86" s="143" t="n">
        <v>622.0842582708865</v>
      </c>
      <c r="T86" s="144" t="n">
        <v>464872.6830567548</v>
      </c>
      <c r="V86" s="142" t="n">
        <v>230131.5879723013</v>
      </c>
      <c r="W86" s="143" t="n">
        <v>237861.5097692806</v>
      </c>
      <c r="X86" s="143" t="n">
        <v>3701.642664418122</v>
      </c>
      <c r="Y86" s="143" t="n">
        <v>749.1538252848585</v>
      </c>
      <c r="Z86" s="144" t="n">
        <v>472444.6564971429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1354</v>
      </c>
      <c r="E89" s="128" t="n">
        <v>1408</v>
      </c>
      <c r="F89" s="128" t="n">
        <v>16</v>
      </c>
      <c r="G89" s="128" t="n">
        <v>0</v>
      </c>
      <c r="H89" s="129" t="n">
        <v>2778</v>
      </c>
      <c r="J89" s="127" t="n">
        <v>1368.212392840543</v>
      </c>
      <c r="K89" s="128" t="n">
        <v>1446.919546415251</v>
      </c>
      <c r="L89" s="128" t="n">
        <v>16.81060051458184</v>
      </c>
      <c r="M89" s="128" t="n">
        <v>0</v>
      </c>
      <c r="N89" s="129" t="n">
        <v>2831.942539770377</v>
      </c>
      <c r="P89" s="127" t="n">
        <v>1383.143317400116</v>
      </c>
      <c r="Q89" s="128" t="n">
        <v>1471.956966580286</v>
      </c>
      <c r="R89" s="128" t="n">
        <v>17.34055365383277</v>
      </c>
      <c r="S89" s="128" t="n">
        <v>0</v>
      </c>
      <c r="T89" s="129" t="n">
        <v>2872.440837634235</v>
      </c>
      <c r="V89" s="127" t="n">
        <v>1400.449389437117</v>
      </c>
      <c r="W89" s="128" t="n">
        <v>1494.267545410099</v>
      </c>
      <c r="X89" s="128" t="n">
        <v>17.72189602814375</v>
      </c>
      <c r="Y89" s="128" t="n">
        <v>0</v>
      </c>
      <c r="Z89" s="129" t="n">
        <v>2912.43883087536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9389</v>
      </c>
      <c r="E91" s="131" t="n">
        <v>7</v>
      </c>
      <c r="F91" s="131" t="n">
        <v>0</v>
      </c>
      <c r="G91" s="131" t="n">
        <v>0</v>
      </c>
      <c r="H91" s="132" t="n">
        <v>9396</v>
      </c>
      <c r="J91" s="130" t="n">
        <v>9604.744793221946</v>
      </c>
      <c r="K91" s="131" t="n">
        <v>7.468734608523377</v>
      </c>
      <c r="L91" s="131" t="n">
        <v>0</v>
      </c>
      <c r="M91" s="131" t="n">
        <v>0</v>
      </c>
      <c r="N91" s="132" t="n">
        <v>9612.213527830469</v>
      </c>
      <c r="P91" s="130" t="n">
        <v>9711.100612668353</v>
      </c>
      <c r="Q91" s="131" t="n">
        <v>7.681420291833214</v>
      </c>
      <c r="R91" s="131" t="n">
        <v>0</v>
      </c>
      <c r="S91" s="131" t="n">
        <v>0</v>
      </c>
      <c r="T91" s="132" t="n">
        <v>9718.782032960187</v>
      </c>
      <c r="V91" s="130" t="n">
        <v>9788.465905473897</v>
      </c>
      <c r="W91" s="131" t="n">
        <v>7.841870691875749</v>
      </c>
      <c r="X91" s="131" t="n">
        <v>0</v>
      </c>
      <c r="Y91" s="131" t="n">
        <v>0</v>
      </c>
      <c r="Z91" s="132" t="n">
        <v>9796.307776165773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5352</v>
      </c>
      <c r="E93" s="131" t="n">
        <v>1832</v>
      </c>
      <c r="F93" s="131" t="n">
        <v>34</v>
      </c>
      <c r="G93" s="131" t="n">
        <v>87</v>
      </c>
      <c r="H93" s="132" t="n">
        <v>7305</v>
      </c>
      <c r="J93" s="130" t="n">
        <v>8942.039540173873</v>
      </c>
      <c r="K93" s="131" t="n">
        <v>3500.537314860516</v>
      </c>
      <c r="L93" s="131" t="n">
        <v>78.88548020358267</v>
      </c>
      <c r="M93" s="131" t="n">
        <v>61.02133320026132</v>
      </c>
      <c r="N93" s="132" t="n">
        <v>12582.48366843823</v>
      </c>
      <c r="P93" s="130" t="n">
        <v>9792.36220216419</v>
      </c>
      <c r="Q93" s="131" t="n">
        <v>3892.812180303246</v>
      </c>
      <c r="R93" s="131" t="n">
        <v>89.4600146088892</v>
      </c>
      <c r="S93" s="131" t="n">
        <v>62.2499783240786</v>
      </c>
      <c r="T93" s="132" t="n">
        <v>13836.8843754004</v>
      </c>
      <c r="V93" s="130" t="n">
        <v>11405.71069303371</v>
      </c>
      <c r="W93" s="131" t="n">
        <v>4368.403547057689</v>
      </c>
      <c r="X93" s="131" t="n">
        <v>106.4689901288691</v>
      </c>
      <c r="Y93" s="131" t="n">
        <v>63.95802567873021</v>
      </c>
      <c r="Z93" s="132" t="n">
        <v>15944.541255899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1211</v>
      </c>
      <c r="H95" s="132" t="n">
        <v>1211</v>
      </c>
      <c r="J95" s="130" t="n">
        <v>0</v>
      </c>
      <c r="K95" s="131" t="n">
        <v>0</v>
      </c>
      <c r="L95" s="131" t="n">
        <v>0</v>
      </c>
      <c r="M95" s="131" t="n">
        <v>1431.027434888835</v>
      </c>
      <c r="N95" s="132" t="n">
        <v>1431.027434888835</v>
      </c>
      <c r="P95" s="130" t="n">
        <v>0</v>
      </c>
      <c r="Q95" s="131" t="n">
        <v>0</v>
      </c>
      <c r="R95" s="131" t="n">
        <v>0</v>
      </c>
      <c r="S95" s="131" t="n">
        <v>1572.645185877547</v>
      </c>
      <c r="T95" s="132" t="n">
        <v>1572.645185877547</v>
      </c>
      <c r="V95" s="130" t="n">
        <v>0</v>
      </c>
      <c r="W95" s="131" t="n">
        <v>0</v>
      </c>
      <c r="X95" s="131" t="n">
        <v>0</v>
      </c>
      <c r="Y95" s="131" t="n">
        <v>1698.361346924144</v>
      </c>
      <c r="Z95" s="132" t="n">
        <v>1698.361346924144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4585</v>
      </c>
      <c r="E97" s="131" t="n">
        <v>3184</v>
      </c>
      <c r="F97" s="131" t="n">
        <v>32</v>
      </c>
      <c r="G97" s="131" t="n">
        <v>91</v>
      </c>
      <c r="H97" s="132" t="n">
        <v>7892</v>
      </c>
      <c r="J97" s="130" t="n">
        <v>5685.3390405849</v>
      </c>
      <c r="K97" s="131" t="n">
        <v>4472.570348548972</v>
      </c>
      <c r="L97" s="131" t="n">
        <v>51.71639126361767</v>
      </c>
      <c r="M97" s="131" t="n">
        <v>109.2666359584575</v>
      </c>
      <c r="N97" s="132" t="n">
        <v>10318.89241635595</v>
      </c>
      <c r="P97" s="130" t="n">
        <v>6423.034571778222</v>
      </c>
      <c r="Q97" s="131" t="n">
        <v>5335.215808095963</v>
      </c>
      <c r="R97" s="131" t="n">
        <v>65.60802877947431</v>
      </c>
      <c r="S97" s="131" t="n">
        <v>118.6178170830754</v>
      </c>
      <c r="T97" s="132" t="n">
        <v>11942.47622573673</v>
      </c>
      <c r="V97" s="130" t="n">
        <v>6613.078984960886</v>
      </c>
      <c r="W97" s="131" t="n">
        <v>5523.444075919048</v>
      </c>
      <c r="X97" s="131" t="n">
        <v>68.39432747769432</v>
      </c>
      <c r="Y97" s="131" t="n">
        <v>130.2899097988911</v>
      </c>
      <c r="Z97" s="132" t="n">
        <v>12335.20729815652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1695</v>
      </c>
      <c r="E99" s="131" t="n">
        <v>1331</v>
      </c>
      <c r="F99" s="131" t="n">
        <v>23</v>
      </c>
      <c r="G99" s="131" t="n">
        <v>2</v>
      </c>
      <c r="H99" s="132" t="n">
        <v>3051</v>
      </c>
      <c r="J99" s="130" t="n">
        <v>2399.052334449079</v>
      </c>
      <c r="K99" s="131" t="n">
        <v>1992.31258498822</v>
      </c>
      <c r="L99" s="131" t="n">
        <v>33.57613890171297</v>
      </c>
      <c r="M99" s="131" t="n">
        <v>210.3076008311627</v>
      </c>
      <c r="N99" s="132" t="n">
        <v>4635.248659170175</v>
      </c>
      <c r="P99" s="130" t="n">
        <v>2826.131680913328</v>
      </c>
      <c r="Q99" s="131" t="n">
        <v>2417.817724958295</v>
      </c>
      <c r="R99" s="131" t="n">
        <v>40.46397792001835</v>
      </c>
      <c r="S99" s="131" t="n">
        <v>232.0624315905739</v>
      </c>
      <c r="T99" s="132" t="n">
        <v>5516.475815382215</v>
      </c>
      <c r="V99" s="130" t="n">
        <v>3333.582500652556</v>
      </c>
      <c r="W99" s="131" t="n">
        <v>2919.677575700363</v>
      </c>
      <c r="X99" s="131" t="n">
        <v>48.29562868547146</v>
      </c>
      <c r="Y99" s="131" t="n">
        <v>251.2530014457652</v>
      </c>
      <c r="Z99" s="132" t="n">
        <v>6552.808706484156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2</v>
      </c>
      <c r="H100" s="135" t="n">
        <v>2</v>
      </c>
      <c r="J100" s="133" t="n">
        <v>0</v>
      </c>
      <c r="K100" s="134" t="n">
        <v>0</v>
      </c>
      <c r="L100" s="134" t="n">
        <v>0</v>
      </c>
      <c r="M100" s="134" t="n">
        <v>2.251182157495164</v>
      </c>
      <c r="N100" s="135" t="n">
        <v>2.251182157495164</v>
      </c>
      <c r="P100" s="133" t="n">
        <v>0</v>
      </c>
      <c r="Q100" s="134" t="n">
        <v>0</v>
      </c>
      <c r="R100" s="134" t="n">
        <v>0</v>
      </c>
      <c r="S100" s="134" t="n">
        <v>2.349719893363836</v>
      </c>
      <c r="T100" s="135" t="n">
        <v>2.349719893363836</v>
      </c>
      <c r="V100" s="133" t="n">
        <v>0</v>
      </c>
      <c r="W100" s="134" t="n">
        <v>0</v>
      </c>
      <c r="X100" s="134" t="n">
        <v>0</v>
      </c>
      <c r="Y100" s="134" t="n">
        <v>2.47186673960595</v>
      </c>
      <c r="Z100" s="135" t="n">
        <v>2.47186673960595</v>
      </c>
    </row>
    <row r="101">
      <c r="A101" s="98" t="inlineStr">
        <is>
          <t>Added MFP row but needs adjusting for non-CY</t>
        </is>
      </c>
      <c r="B101" s="64" t="inlineStr">
        <is>
          <t>MFP 2026, 2027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213999.7374377511</v>
      </c>
      <c r="K103" s="140" t="n">
        <v>224568.4320475684</v>
      </c>
      <c r="L103" s="140" t="n">
        <v>3516.692006174286</v>
      </c>
      <c r="M103" s="140" t="n">
        <v>522.208591951027</v>
      </c>
      <c r="N103" s="141" t="n">
        <v>442607.0700834448</v>
      </c>
      <c r="P103" s="139" t="n">
        <v>217243.1407753343</v>
      </c>
      <c r="Q103" s="140" t="n">
        <v>229187.5867689242</v>
      </c>
      <c r="R103" s="140" t="n">
        <v>3573.782708252548</v>
      </c>
      <c r="S103" s="140" t="n">
        <v>536.567103549567</v>
      </c>
      <c r="T103" s="141" t="n">
        <v>450541.0773560606</v>
      </c>
      <c r="V103" s="139" t="n">
        <v>219196.1918988632</v>
      </c>
      <c r="W103" s="140" t="n">
        <v>232233.6148168273</v>
      </c>
      <c r="X103" s="140" t="n">
        <v>3604.587454448594</v>
      </c>
      <c r="Y103" s="140" t="n">
        <v>603.1636250341774</v>
      </c>
      <c r="Z103" s="141" t="n">
        <v>455637.5577951731</v>
      </c>
    </row>
    <row r="104" ht="15.6" customHeight="1" thickBot="1" thickTop="1">
      <c r="B104" s="69" t="inlineStr">
        <is>
          <t>Total</t>
        </is>
      </c>
      <c r="D104" s="142" t="n">
        <v>22375</v>
      </c>
      <c r="E104" s="143" t="n">
        <v>7762</v>
      </c>
      <c r="F104" s="143" t="n">
        <v>105</v>
      </c>
      <c r="G104" s="143" t="n">
        <v>1391</v>
      </c>
      <c r="H104" s="144" t="n">
        <v>31635</v>
      </c>
      <c r="J104" s="142" t="n">
        <v>241999.1255390214</v>
      </c>
      <c r="K104" s="143" t="n">
        <v>235988.2405769899</v>
      </c>
      <c r="L104" s="143" t="n">
        <v>3697.680617057781</v>
      </c>
      <c r="M104" s="143" t="n">
        <v>2333.831596829744</v>
      </c>
      <c r="N104" s="144" t="n">
        <v>484021.1295120563</v>
      </c>
      <c r="P104" s="142" t="n">
        <v>247378.9131602585</v>
      </c>
      <c r="Q104" s="143" t="n">
        <v>242313.0708691538</v>
      </c>
      <c r="R104" s="143" t="n">
        <v>3786.655283214763</v>
      </c>
      <c r="S104" s="143" t="n">
        <v>2522.142516424842</v>
      </c>
      <c r="T104" s="144" t="n">
        <v>496003.1315489453</v>
      </c>
      <c r="V104" s="142" t="n">
        <v>251737.4793724213</v>
      </c>
      <c r="W104" s="143" t="n">
        <v>246547.2494316064</v>
      </c>
      <c r="X104" s="143" t="n">
        <v>3845.468296768772</v>
      </c>
      <c r="Y104" s="143" t="n">
        <v>2747.025908881708</v>
      </c>
      <c r="Z104" s="144" t="n">
        <v>504879.6948764177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3772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523801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RxAdvance HTA Groups Rebate1 - M003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01/01/2025</t>
        </is>
      </c>
      <c r="AD17" s="4" t="n"/>
      <c r="AE17" s="4" t="n"/>
      <c r="AF17" s="6" t="n">
        <v>2030</v>
      </c>
    </row>
    <row r="18">
      <c r="B18" s="4" t="n"/>
      <c r="C18" s="4" t="inlineStr">
        <is>
          <t>End Date:</t>
        </is>
      </c>
      <c r="D18" s="116" t="inlineStr">
        <is>
          <t>11/30/2025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11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2030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32107</v>
      </c>
      <c r="E25" s="40" t="n">
        <v>1153747.5</v>
      </c>
      <c r="F25" s="40" t="n">
        <v>965679</v>
      </c>
      <c r="G25" s="41" t="n">
        <v>35.93445354595571</v>
      </c>
      <c r="H25" s="42" t="n">
        <v>30.07689911857227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8733474.763056399</v>
      </c>
      <c r="AI25" s="46" t="n">
        <v>11705.41951788296</v>
      </c>
      <c r="AK25" s="120" t="n">
        <v>1</v>
      </c>
      <c r="AL25" s="44" t="inlineStr">
        <is>
          <t>BIKTARVY</t>
        </is>
      </c>
      <c r="AM25" s="44" t="inlineStr">
        <is>
          <t>HIV-MULTICLASS COMBO</t>
        </is>
      </c>
      <c r="AN25" s="48" t="n">
        <v>114.3916792425805</v>
      </c>
    </row>
    <row r="26">
      <c r="B26" s="49" t="inlineStr">
        <is>
          <t>Retail 90</t>
        </is>
      </c>
      <c r="C26" s="10" t="n"/>
      <c r="D26" s="50" t="n">
        <v>16331</v>
      </c>
      <c r="E26" s="51" t="n">
        <v>1569823.89</v>
      </c>
      <c r="F26" s="51" t="n">
        <v>1189067</v>
      </c>
      <c r="G26" s="52" t="n">
        <v>96.12539893454166</v>
      </c>
      <c r="H26" s="53" t="n">
        <v>72.8104218970057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DUPIXENT</t>
        </is>
      </c>
      <c r="AG26" t="inlineStr">
        <is>
          <t>CHRONIC INFLAMMATORY DISEASE</t>
        </is>
      </c>
      <c r="AH26" s="122" t="n">
        <v>1386484.791768498</v>
      </c>
      <c r="AI26" s="56" t="n">
        <v>1038.059652223579</v>
      </c>
      <c r="AK26" s="123" t="n">
        <v>2</v>
      </c>
      <c r="AL26" t="inlineStr">
        <is>
          <t>FREESTYLE LIBRE 3 PLUS/SENSOR/GLUCOSE MONITORING SYSTEM</t>
        </is>
      </c>
      <c r="AM26" t="inlineStr">
        <is>
          <t>DIABETES MONITORING AND TESTING SUPPLIES</t>
        </is>
      </c>
      <c r="AN26" s="58" t="n">
        <v>1912.179268920283</v>
      </c>
    </row>
    <row r="27" ht="15" customHeight="1" thickBot="1">
      <c r="B27" s="59" t="inlineStr">
        <is>
          <t>Mail</t>
        </is>
      </c>
      <c r="C27" s="10" t="n"/>
      <c r="D27" s="60" t="n">
        <v>271</v>
      </c>
      <c r="E27" s="61" t="n">
        <v>31455</v>
      </c>
      <c r="F27" s="61" t="n">
        <v>23764</v>
      </c>
      <c r="G27" s="62" t="n">
        <v>116.070110701107</v>
      </c>
      <c r="H27" s="63" t="n">
        <v>87.69003690036901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SKYRIZI PEN</t>
        </is>
      </c>
      <c r="AG27" t="inlineStr">
        <is>
          <t>IMMUNOMODULATORS</t>
        </is>
      </c>
      <c r="AH27" s="122" t="n">
        <v>1038430.264055534</v>
      </c>
      <c r="AI27" s="56" t="n">
        <v>107.1309756533883</v>
      </c>
      <c r="AK27" s="123" t="n">
        <v>3</v>
      </c>
      <c r="AL27" t="inlineStr">
        <is>
          <t>KISQALI</t>
        </is>
      </c>
      <c r="AM27" t="inlineStr">
        <is>
          <t>ONCOLOGY</t>
        </is>
      </c>
      <c r="AN27" s="58" t="n">
        <v>14.91340068415546</v>
      </c>
    </row>
    <row r="28" ht="15" customHeight="1" thickTop="1">
      <c r="B28" s="64" t="inlineStr">
        <is>
          <t>Non-Specialty</t>
        </is>
      </c>
      <c r="C28" s="10" t="n"/>
      <c r="D28" s="65" t="n">
        <v>48709</v>
      </c>
      <c r="E28" s="66" t="n">
        <v>2755026.39</v>
      </c>
      <c r="F28" s="66" t="n">
        <v>2178510</v>
      </c>
      <c r="G28" s="67" t="n">
        <v>56.56093103943829</v>
      </c>
      <c r="H28" s="68" t="n">
        <v>44.72499948674783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HUMIRA PEN</t>
        </is>
      </c>
      <c r="AG28" t="inlineStr">
        <is>
          <t>IMMUNOMODULATORS</t>
        </is>
      </c>
      <c r="AH28" s="122" t="n">
        <v>898145.1573016972</v>
      </c>
      <c r="AI28" s="56" t="n">
        <v>203.2628537277481</v>
      </c>
      <c r="AK28" s="123" t="n">
        <v>4</v>
      </c>
      <c r="AL28" t="inlineStr">
        <is>
          <t>ROZLYTREK</t>
        </is>
      </c>
      <c r="AM28" t="inlineStr">
        <is>
          <t>ONCOLOGY</t>
        </is>
      </c>
      <c r="AN28" s="58" t="n">
        <v>10.8461095884767</v>
      </c>
    </row>
    <row r="29" ht="15" customHeight="1" thickBot="1">
      <c r="B29" s="59" t="inlineStr">
        <is>
          <t>Specialty</t>
        </is>
      </c>
      <c r="C29" s="10" t="n"/>
      <c r="D29" s="60" t="n">
        <v>1746</v>
      </c>
      <c r="E29" s="61" t="n">
        <v>37134.48</v>
      </c>
      <c r="F29" s="61" t="n">
        <v>98497</v>
      </c>
      <c r="G29" s="62" t="n">
        <v>21.26831615120275</v>
      </c>
      <c r="H29" s="63" t="n">
        <v>56.41294387170676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SKYRIZI</t>
        </is>
      </c>
      <c r="AG29" t="inlineStr">
        <is>
          <t>IMMUNOMODULATORS</t>
        </is>
      </c>
      <c r="AH29" s="122" t="n">
        <v>819572.642980365</v>
      </c>
      <c r="AI29" s="56" t="n">
        <v>78.27976289350613</v>
      </c>
      <c r="AK29" s="123" t="n">
        <v>5</v>
      </c>
      <c r="AL29" t="inlineStr">
        <is>
          <t>OHTUVAYRE</t>
        </is>
      </c>
      <c r="AM29" t="inlineStr">
        <is>
          <t>PDE3 &amp; PDE4 INHIBITORS</t>
        </is>
      </c>
      <c r="AN29" s="58" t="n">
        <v>72.73312151723582</v>
      </c>
    </row>
    <row r="30" ht="15.6" customHeight="1" thickBot="1" thickTop="1">
      <c r="B30" s="69" t="inlineStr">
        <is>
          <t>Total</t>
        </is>
      </c>
      <c r="C30" s="10" t="n"/>
      <c r="D30" s="70" t="n">
        <v>50455</v>
      </c>
      <c r="E30" s="71" t="n">
        <v>2792160.87</v>
      </c>
      <c r="F30" s="71" t="n">
        <v>2277007</v>
      </c>
      <c r="G30" s="72" t="n">
        <v>55.33962679615498</v>
      </c>
      <c r="H30" s="73" t="n">
        <v>45.12946189673967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BREZTRI AEROSPHERE</t>
        </is>
      </c>
      <c r="AG30" t="inlineStr">
        <is>
          <t>LABA LAMA COMBO</t>
        </is>
      </c>
      <c r="AH30" s="122" t="n">
        <v>774562.8297237125</v>
      </c>
      <c r="AI30" s="56" t="n">
        <v>1386.141734328937</v>
      </c>
      <c r="AK30" s="123" t="n">
        <v>6</v>
      </c>
      <c r="AL30" t="inlineStr">
        <is>
          <t>NEXLIZET</t>
        </is>
      </c>
      <c r="AM30" t="inlineStr">
        <is>
          <t>ACL INHIBITORS &amp; COMBOS</t>
        </is>
      </c>
      <c r="AN30" s="58" t="n">
        <v>231.9442520381598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TRULICITY</t>
        </is>
      </c>
      <c r="AG31" t="inlineStr">
        <is>
          <t>GLUCAGON-LIKE PEPTIDE-1 AGONISTS (GLP1)</t>
        </is>
      </c>
      <c r="AH31" s="122" t="n">
        <v>763450.0659300509</v>
      </c>
      <c r="AI31" s="56" t="n">
        <v>1046.24880310383</v>
      </c>
      <c r="AK31" s="123" t="n">
        <v>7</v>
      </c>
      <c r="AL31" t="inlineStr">
        <is>
          <t>PRIVIGEN</t>
        </is>
      </c>
      <c r="AM31" t="inlineStr">
        <is>
          <t>IMMUNE SERUMS</t>
        </is>
      </c>
      <c r="AN31" s="58" t="n">
        <v>15.51737491244341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RINVOQ</t>
        </is>
      </c>
      <c r="AG32" t="inlineStr">
        <is>
          <t>IMMUNOMODULATORS</t>
        </is>
      </c>
      <c r="AH32" s="122" t="n">
        <v>497866.2856494074</v>
      </c>
      <c r="AI32" s="56" t="n">
        <v>135.615340574128</v>
      </c>
      <c r="AK32" s="123" t="n">
        <v>8</v>
      </c>
      <c r="AL32" t="inlineStr">
        <is>
          <t>JUBBONTI</t>
        </is>
      </c>
      <c r="AM32" t="inlineStr">
        <is>
          <t>OSTEOPOROSIS AGENTS</t>
        </is>
      </c>
      <c r="AN32" s="58" t="n">
        <v>85.6895620950967</v>
      </c>
    </row>
    <row r="33">
      <c r="B33" s="38" t="inlineStr">
        <is>
          <t>Retail 30</t>
        </is>
      </c>
      <c r="C33" s="10" t="n"/>
      <c r="D33" s="39" t="n">
        <v>211717</v>
      </c>
      <c r="E33" s="40" t="n">
        <v>11764762.997</v>
      </c>
      <c r="F33" s="40" t="n">
        <v>5096858</v>
      </c>
      <c r="G33" s="41" t="n">
        <v>55.56834357656682</v>
      </c>
      <c r="H33" s="42" t="n">
        <v>24.07391943018274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ERLEADA</t>
        </is>
      </c>
      <c r="AG33" t="inlineStr">
        <is>
          <t>ONCOLOGY</t>
        </is>
      </c>
      <c r="AH33" s="122" t="n">
        <v>435170.247463154</v>
      </c>
      <c r="AI33" s="56" t="n">
        <v>84.05734931069438</v>
      </c>
      <c r="AK33" s="123" t="n">
        <v>9</v>
      </c>
      <c r="AL33" t="inlineStr">
        <is>
          <t>KERENDIA</t>
        </is>
      </c>
      <c r="AM33" t="inlineStr">
        <is>
          <t>NON-STEROIDAL MINERALOCORTICOID RECEPTOR ANTAGONISTS</t>
        </is>
      </c>
      <c r="AN33" s="58" t="n">
        <v>107.7536288996176</v>
      </c>
    </row>
    <row r="34">
      <c r="B34" s="49" t="inlineStr">
        <is>
          <t>Retail 90</t>
        </is>
      </c>
      <c r="C34" s="10" t="n"/>
      <c r="D34" s="50" t="n">
        <v>222457</v>
      </c>
      <c r="E34" s="51" t="n">
        <v>23360198.918</v>
      </c>
      <c r="F34" s="51" t="n">
        <v>19365597</v>
      </c>
      <c r="G34" s="52" t="n">
        <v>105.0099521165888</v>
      </c>
      <c r="H34" s="53" t="n">
        <v>87.05321477858642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GEMTESA</t>
        </is>
      </c>
      <c r="AG34" t="inlineStr">
        <is>
          <t>URINARY ANTISPASMODICS &amp; OAB DRUGS</t>
        </is>
      </c>
      <c r="AH34" s="122" t="n">
        <v>428968.5453314419</v>
      </c>
      <c r="AI34" s="56" t="n">
        <v>683.0979208238161</v>
      </c>
      <c r="AK34" s="123" t="n">
        <v>10</v>
      </c>
      <c r="AL34" t="inlineStr">
        <is>
          <t>NEXLETOL</t>
        </is>
      </c>
      <c r="AM34" t="inlineStr">
        <is>
          <t>ACL INHIBITORS &amp; COMBOS</t>
        </is>
      </c>
      <c r="AN34" s="58" t="n">
        <v>114.2619480851545</v>
      </c>
    </row>
    <row r="35" ht="15" customHeight="1" thickBot="1">
      <c r="B35" s="59" t="inlineStr">
        <is>
          <t>Mail</t>
        </is>
      </c>
      <c r="C35" s="10" t="n"/>
      <c r="D35" s="60" t="n">
        <v>3473</v>
      </c>
      <c r="E35" s="61" t="n">
        <v>403203.3</v>
      </c>
      <c r="F35" s="61" t="n">
        <v>307998</v>
      </c>
      <c r="G35" s="62" t="n">
        <v>116.0965447739706</v>
      </c>
      <c r="H35" s="63" t="n">
        <v>88.68355888281025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COSENTYX UNOREADY</t>
        </is>
      </c>
      <c r="AG35" t="inlineStr">
        <is>
          <t>IMMUNOMODULATORS</t>
        </is>
      </c>
      <c r="AH35" s="122" t="n">
        <v>234593.1675203799</v>
      </c>
      <c r="AI35" s="56" t="n">
        <v>45.37325610820903</v>
      </c>
      <c r="AK35" s="123" t="n">
        <v>11</v>
      </c>
      <c r="AL35" t="inlineStr">
        <is>
          <t>NUPLAZID</t>
        </is>
      </c>
      <c r="AM35" t="inlineStr">
        <is>
          <t>ATYPICAL ANTIPSYCHOTICS</t>
        </is>
      </c>
      <c r="AN35" s="58" t="n">
        <v>19.94853733269981</v>
      </c>
    </row>
    <row r="36" ht="15" customHeight="1" thickTop="1">
      <c r="B36" s="64" t="inlineStr">
        <is>
          <t>Non-Specialty</t>
        </is>
      </c>
      <c r="C36" s="10" t="n"/>
      <c r="D36" s="65" t="n">
        <v>437647</v>
      </c>
      <c r="E36" s="66" t="n">
        <v>35528165.215</v>
      </c>
      <c r="F36" s="66" t="n">
        <v>24770453</v>
      </c>
      <c r="G36" s="67" t="n">
        <v>81.1799583111503</v>
      </c>
      <c r="H36" s="68" t="n">
        <v>56.59916096762916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CREON</t>
        </is>
      </c>
      <c r="AG36" t="inlineStr">
        <is>
          <t>DIGESTIVE ENZYMES</t>
        </is>
      </c>
      <c r="AH36" s="122" t="n">
        <v>229790.0405976852</v>
      </c>
      <c r="AI36" s="56" t="n">
        <v>200.1341745637325</v>
      </c>
      <c r="AK36" s="123" t="n">
        <v>12</v>
      </c>
      <c r="AL36" t="inlineStr">
        <is>
          <t>DESCOVY</t>
        </is>
      </c>
      <c r="AM36" t="inlineStr">
        <is>
          <t>HIV-MULTICLASS COMBO</t>
        </is>
      </c>
      <c r="AN36" s="58" t="n">
        <v>40.59059586027049</v>
      </c>
    </row>
    <row r="37" ht="15" customHeight="1" thickBot="1">
      <c r="B37" s="59" t="inlineStr">
        <is>
          <t>Specialty</t>
        </is>
      </c>
      <c r="C37" s="10" t="n"/>
      <c r="D37" s="60" t="n">
        <v>292</v>
      </c>
      <c r="E37" s="61" t="n">
        <v>35656.4</v>
      </c>
      <c r="F37" s="61" t="n">
        <v>9993</v>
      </c>
      <c r="G37" s="62" t="n">
        <v>122.1109589041096</v>
      </c>
      <c r="H37" s="63" t="n">
        <v>34.22260273972603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COSENTYX SENSOREADY PEN</t>
        </is>
      </c>
      <c r="AG37" t="inlineStr">
        <is>
          <t>IMMUNOMODULATORS</t>
        </is>
      </c>
      <c r="AH37" s="122" t="n">
        <v>179208.8089058731</v>
      </c>
      <c r="AI37" s="56" t="n">
        <v>38.90622654596869</v>
      </c>
      <c r="AK37" s="123" t="n">
        <v>13</v>
      </c>
      <c r="AL37" t="inlineStr">
        <is>
          <t>LYSODREN</t>
        </is>
      </c>
      <c r="AM37" t="inlineStr">
        <is>
          <t>ONCOLOGY</t>
        </is>
      </c>
      <c r="AN37" s="58" t="n">
        <v>11.52934415077592</v>
      </c>
    </row>
    <row r="38" ht="15.6" customHeight="1" thickBot="1" thickTop="1">
      <c r="B38" s="69" t="inlineStr">
        <is>
          <t>Total</t>
        </is>
      </c>
      <c r="C38" s="10" t="n"/>
      <c r="D38" s="70" t="n">
        <v>437939</v>
      </c>
      <c r="E38" s="71" t="n">
        <v>35563821.615</v>
      </c>
      <c r="F38" s="71" t="n">
        <v>24780446</v>
      </c>
      <c r="G38" s="72" t="n">
        <v>81.20724944569906</v>
      </c>
      <c r="H38" s="73" t="n">
        <v>56.58424118427452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STIOLTO RESPIMAT</t>
        </is>
      </c>
      <c r="AG38" t="inlineStr">
        <is>
          <t>LABA LAMA COMBO</t>
        </is>
      </c>
      <c r="AH38" s="122" t="n">
        <v>156744.7051946714</v>
      </c>
      <c r="AI38" s="56" t="n">
        <v>395.8814041868176</v>
      </c>
      <c r="AK38" s="123" t="n">
        <v>14</v>
      </c>
      <c r="AL38" t="inlineStr">
        <is>
          <t>KESIMPTA</t>
        </is>
      </c>
      <c r="AM38" t="inlineStr">
        <is>
          <t>MS</t>
        </is>
      </c>
      <c r="AN38" s="58" t="n">
        <v>7.413879885189387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EMGALITY</t>
        </is>
      </c>
      <c r="AG39" t="inlineStr">
        <is>
          <t>MIGRAINE PRODUCTS</t>
        </is>
      </c>
      <c r="AH39" s="122" t="n">
        <v>145343.0847437753</v>
      </c>
      <c r="AI39" s="56" t="n">
        <v>255.2710766433429</v>
      </c>
      <c r="AK39" s="123" t="n">
        <v>15</v>
      </c>
      <c r="AL39" t="inlineStr">
        <is>
          <t>IMPAVIDO</t>
        </is>
      </c>
      <c r="AM39" t="inlineStr">
        <is>
          <t>ANTI-INFECTIVE AGENTS - MISC.</t>
        </is>
      </c>
      <c r="AN39" s="58" t="n">
        <v>1.572713797618476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SPIRIVA RESPIMAT</t>
        </is>
      </c>
      <c r="AG40" t="inlineStr">
        <is>
          <t>LAMA/ACH</t>
        </is>
      </c>
      <c r="AH40" s="122" t="n">
        <v>139620.5649084905</v>
      </c>
      <c r="AI40" s="56" t="n">
        <v>353.9048253196112</v>
      </c>
      <c r="AK40" s="123" t="n">
        <v>16</v>
      </c>
      <c r="AL40" t="inlineStr">
        <is>
          <t>WEZLANA</t>
        </is>
      </c>
      <c r="AM40" t="inlineStr">
        <is>
          <t>IMMUNOMODULATORS</t>
        </is>
      </c>
      <c r="AN40" s="58" t="n">
        <v>2.228473815329393</v>
      </c>
    </row>
    <row r="41">
      <c r="B41" s="38" t="inlineStr">
        <is>
          <t>Retail 30</t>
        </is>
      </c>
      <c r="C41" s="10" t="n"/>
      <c r="D41" s="39" t="n">
        <v>243824</v>
      </c>
      <c r="E41" s="40" t="n">
        <v>12918510.497</v>
      </c>
      <c r="F41" s="40" t="n">
        <v>6062537</v>
      </c>
      <c r="G41" s="41" t="n">
        <v>52.98293234874335</v>
      </c>
      <c r="H41" s="42" t="n">
        <v>24.86439809042588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ZENPEP</t>
        </is>
      </c>
      <c r="AG41" t="inlineStr">
        <is>
          <t>DIGESTIVE ENZYMES</t>
        </is>
      </c>
      <c r="AH41" s="122" t="n">
        <v>135741.6786401494</v>
      </c>
      <c r="AI41" s="56" t="n">
        <v>45.37926051154399</v>
      </c>
      <c r="AK41" s="123" t="n">
        <v>17</v>
      </c>
      <c r="AL41" t="inlineStr">
        <is>
          <t>BIMZELX</t>
        </is>
      </c>
      <c r="AM41" t="inlineStr">
        <is>
          <t>CHRONIC INFLAMMATORY DISEASE</t>
        </is>
      </c>
      <c r="AN41" s="58" t="n">
        <v>3.342710722994089</v>
      </c>
    </row>
    <row r="42">
      <c r="B42" s="49" t="inlineStr">
        <is>
          <t>Retail 90</t>
        </is>
      </c>
      <c r="C42" s="10" t="n"/>
      <c r="D42" s="50" t="n">
        <v>238788</v>
      </c>
      <c r="E42" s="51" t="n">
        <v>24930022.808</v>
      </c>
      <c r="F42" s="51" t="n">
        <v>20554664</v>
      </c>
      <c r="G42" s="52" t="n">
        <v>104.4023267835905</v>
      </c>
      <c r="H42" s="53" t="n">
        <v>86.07913295475484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PROLIA</t>
        </is>
      </c>
      <c r="AG42" t="inlineStr">
        <is>
          <t>OSTEOPOROSIS AGENTS</t>
        </is>
      </c>
      <c r="AH42" s="122" t="n">
        <v>117362.1013289111</v>
      </c>
      <c r="AI42" s="56" t="n">
        <v>257.0686862852901</v>
      </c>
      <c r="AK42" s="123" t="n">
        <v>18</v>
      </c>
      <c r="AL42" t="inlineStr">
        <is>
          <t>GENVOYA</t>
        </is>
      </c>
      <c r="AM42" t="inlineStr">
        <is>
          <t>HIV-MULTICLASS COMBO</t>
        </is>
      </c>
      <c r="AN42" s="58" t="n">
        <v>3.690054169115499</v>
      </c>
    </row>
    <row r="43" ht="15" customHeight="1" thickBot="1">
      <c r="B43" s="59" t="inlineStr">
        <is>
          <t>Mail</t>
        </is>
      </c>
      <c r="C43" s="10" t="n"/>
      <c r="D43" s="60" t="n">
        <v>3744</v>
      </c>
      <c r="E43" s="61" t="n">
        <v>434658.3</v>
      </c>
      <c r="F43" s="61" t="n">
        <v>331762</v>
      </c>
      <c r="G43" s="62" t="n">
        <v>116.0946314102564</v>
      </c>
      <c r="H43" s="63" t="n">
        <v>88.61164529914529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PAXLOVID</t>
        </is>
      </c>
      <c r="AG43" t="inlineStr">
        <is>
          <t>MISC. ANTIVIRALS</t>
        </is>
      </c>
      <c r="AH43" s="122" t="n">
        <v>116662.5129954038</v>
      </c>
      <c r="AI43" s="56" t="n">
        <v>391.1862481602683</v>
      </c>
      <c r="AK43" s="123" t="n">
        <v>19</v>
      </c>
      <c r="AL43" t="inlineStr">
        <is>
          <t>ACTEMRA ACTPEN</t>
        </is>
      </c>
      <c r="AM43" t="inlineStr">
        <is>
          <t>IMMUNOMODULATORS</t>
        </is>
      </c>
      <c r="AN43" s="58" t="n">
        <v>12.03375860277871</v>
      </c>
    </row>
    <row r="44" ht="15.6" customHeight="1" thickBot="1" thickTop="1">
      <c r="B44" s="64" t="inlineStr">
        <is>
          <t>Non-Specialty</t>
        </is>
      </c>
      <c r="C44" s="10" t="n"/>
      <c r="D44" s="65" t="n">
        <v>486356</v>
      </c>
      <c r="E44" s="66" t="n">
        <v>38283191.605</v>
      </c>
      <c r="F44" s="66" t="n">
        <v>26948963</v>
      </c>
      <c r="G44" s="67" t="n">
        <v>78.71434012328417</v>
      </c>
      <c r="H44" s="68" t="n">
        <v>55.40995279178215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OMNIPOD 5 DEXCOM G7G6 PODS (GEN 5)</t>
        </is>
      </c>
      <c r="AG44" s="82" t="inlineStr">
        <is>
          <t>INSULIN ADMINISTRATION SUPPLIES</t>
        </is>
      </c>
      <c r="AH44" s="125" t="n">
        <v>99421.45690953682</v>
      </c>
      <c r="AI44" s="84" t="n">
        <v>278.106734623086</v>
      </c>
      <c r="AK44" s="126" t="n">
        <v>20</v>
      </c>
      <c r="AL44" s="86" t="inlineStr">
        <is>
          <t>TREMFYA</t>
        </is>
      </c>
      <c r="AM44" s="86" t="inlineStr">
        <is>
          <t>IMMUNOMODULATORS</t>
        </is>
      </c>
      <c r="AN44" s="87" t="n">
        <v>3.342710722994089</v>
      </c>
    </row>
    <row r="45" ht="15" customHeight="1" thickBot="1">
      <c r="B45" s="59" t="inlineStr">
        <is>
          <t>Specialty</t>
        </is>
      </c>
      <c r="C45" s="10" t="n"/>
      <c r="D45" s="60" t="n">
        <v>2038</v>
      </c>
      <c r="E45" s="61" t="n">
        <v>72790.88</v>
      </c>
      <c r="F45" s="61" t="n">
        <v>108490</v>
      </c>
      <c r="G45" s="62" t="n">
        <v>35.71682041216879</v>
      </c>
      <c r="H45" s="63" t="n">
        <v>53.23356231599607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488394</v>
      </c>
      <c r="E46" s="71" t="n">
        <v>38355982.485</v>
      </c>
      <c r="F46" s="71" t="n">
        <v>27057453</v>
      </c>
      <c r="G46" s="72" t="n">
        <v>78.53491747441615</v>
      </c>
      <c r="H46" s="73" t="n">
        <v>55.40087101807148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9496924.828986451</v>
      </c>
      <c r="AH49" s="46" t="n">
        <v>12751.66832098679</v>
      </c>
    </row>
    <row r="50" ht="15" customHeight="1" thickBot="1">
      <c r="AE50" s="121" t="n">
        <v>2</v>
      </c>
      <c r="AF50" t="inlineStr">
        <is>
          <t>IMMUNOMODULATORS</t>
        </is>
      </c>
      <c r="AG50" s="122" t="n">
        <v>3931724.547976592</v>
      </c>
      <c r="AH50" s="56" t="n">
        <v>762.9533459135781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2030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CHRONIC INFLAMMATORY DISEASE</t>
        </is>
      </c>
      <c r="AG51" s="122" t="n">
        <v>1386484.791768498</v>
      </c>
      <c r="AH51" s="56" t="n">
        <v>1044.097471693166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LABA LAMA COMBO</t>
        </is>
      </c>
      <c r="AG52" s="122" t="n">
        <v>948484.1838719636</v>
      </c>
      <c r="AH52" s="56" t="n">
        <v>1927.909408130234</v>
      </c>
    </row>
    <row r="53">
      <c r="B53" s="38" t="inlineStr">
        <is>
          <t>OTCs</t>
        </is>
      </c>
      <c r="D53" s="127" t="n">
        <v>1347</v>
      </c>
      <c r="E53" s="128" t="n">
        <v>1403</v>
      </c>
      <c r="F53" s="128" t="n">
        <v>16</v>
      </c>
      <c r="G53" s="128" t="n">
        <v>0</v>
      </c>
      <c r="H53" s="129" t="n">
        <v>2766</v>
      </c>
      <c r="J53" s="127" t="n">
        <v>1360.461874663778</v>
      </c>
      <c r="K53" s="128" t="n">
        <v>1442.583703144494</v>
      </c>
      <c r="L53" s="128" t="n">
        <v>16.81060051458184</v>
      </c>
      <c r="M53" s="128" t="n">
        <v>0</v>
      </c>
      <c r="N53" s="129" t="n">
        <v>2819.856178322854</v>
      </c>
      <c r="P53" s="127" t="n">
        <v>1374.950469289653</v>
      </c>
      <c r="Q53" s="128" t="n">
        <v>1467.885546217304</v>
      </c>
      <c r="R53" s="128" t="n">
        <v>17.34055365383277</v>
      </c>
      <c r="S53" s="128" t="n">
        <v>0</v>
      </c>
      <c r="T53" s="129" t="n">
        <v>2860.176569160789</v>
      </c>
      <c r="V53" s="127" t="n">
        <v>1391.766589336762</v>
      </c>
      <c r="W53" s="128" t="n">
        <v>1490.435200163811</v>
      </c>
      <c r="X53" s="128" t="n">
        <v>17.72189602814375</v>
      </c>
      <c r="Y53" s="128" t="n">
        <v>0</v>
      </c>
      <c r="Z53" s="129" t="n">
        <v>2899.923685528717</v>
      </c>
      <c r="AE53" s="121" t="n">
        <v>5</v>
      </c>
      <c r="AF53" t="inlineStr">
        <is>
          <t>ONCOLOGY</t>
        </is>
      </c>
      <c r="AG53" s="122" t="n">
        <v>435170.247463154</v>
      </c>
      <c r="AH53" s="56" t="n">
        <v>125.8940904648589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URINARY ANTISPASMODICS &amp; OAB DRUGS</t>
        </is>
      </c>
      <c r="AG54" s="122" t="n">
        <v>428968.5453314419</v>
      </c>
      <c r="AH54" s="56" t="n">
        <v>683.1283257757816</v>
      </c>
    </row>
    <row r="55">
      <c r="B55" s="64" t="inlineStr">
        <is>
          <t>Vaccines</t>
        </is>
      </c>
      <c r="D55" s="130" t="n">
        <v>9389</v>
      </c>
      <c r="E55" s="131" t="n">
        <v>7</v>
      </c>
      <c r="F55" s="131" t="n">
        <v>0</v>
      </c>
      <c r="G55" s="131" t="n">
        <v>0</v>
      </c>
      <c r="H55" s="132" t="n">
        <v>9396</v>
      </c>
      <c r="J55" s="130" t="n">
        <v>9604.744793221946</v>
      </c>
      <c r="K55" s="131" t="n">
        <v>7.468734608523377</v>
      </c>
      <c r="L55" s="131" t="n">
        <v>0</v>
      </c>
      <c r="M55" s="131" t="n">
        <v>0</v>
      </c>
      <c r="N55" s="132" t="n">
        <v>9612.213527830469</v>
      </c>
      <c r="P55" s="130" t="n">
        <v>9711.100612668353</v>
      </c>
      <c r="Q55" s="131" t="n">
        <v>7.681420291833214</v>
      </c>
      <c r="R55" s="131" t="n">
        <v>0</v>
      </c>
      <c r="S55" s="131" t="n">
        <v>0</v>
      </c>
      <c r="T55" s="132" t="n">
        <v>9718.782032960187</v>
      </c>
      <c r="V55" s="130" t="n">
        <v>9788.465905473897</v>
      </c>
      <c r="W55" s="131" t="n">
        <v>7.841870691875749</v>
      </c>
      <c r="X55" s="131" t="n">
        <v>0</v>
      </c>
      <c r="Y55" s="131" t="n">
        <v>0</v>
      </c>
      <c r="Z55" s="132" t="n">
        <v>9796.307776165773</v>
      </c>
      <c r="AE55" s="121" t="n">
        <v>7</v>
      </c>
      <c r="AF55" t="inlineStr">
        <is>
          <t>DIGESTIVE ENZYMES</t>
        </is>
      </c>
      <c r="AG55" s="122" t="n">
        <v>365531.7192378346</v>
      </c>
      <c r="AH55" s="56" t="n">
        <v>245.5134350752765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MIGRAINE PRODUCTS</t>
        </is>
      </c>
      <c r="AG56" s="122" t="n">
        <v>365042.8237151629</v>
      </c>
      <c r="AH56" s="56" t="n">
        <v>572.5154782521217</v>
      </c>
    </row>
    <row r="57">
      <c r="B57" s="64" t="inlineStr">
        <is>
          <t>MSBs</t>
        </is>
      </c>
      <c r="D57" s="130" t="n">
        <v>2931</v>
      </c>
      <c r="E57" s="131" t="n">
        <v>1459</v>
      </c>
      <c r="F57" s="131" t="n">
        <v>29</v>
      </c>
      <c r="G57" s="131" t="n">
        <v>87</v>
      </c>
      <c r="H57" s="132" t="n">
        <v>4506</v>
      </c>
      <c r="J57" s="130" t="n">
        <v>1744.054218418617</v>
      </c>
      <c r="K57" s="131" t="n">
        <v>1050.980920266796</v>
      </c>
      <c r="L57" s="131" t="n">
        <v>13.46605752084745</v>
      </c>
      <c r="M57" s="131" t="n">
        <v>41.96486816008204</v>
      </c>
      <c r="N57" s="132" t="n">
        <v>2850.466064366342</v>
      </c>
      <c r="P57" s="130" t="n">
        <v>1635.212972539078</v>
      </c>
      <c r="Q57" s="131" t="n">
        <v>1001.385901888838</v>
      </c>
      <c r="R57" s="131" t="n">
        <v>11.50133525344111</v>
      </c>
      <c r="S57" s="131" t="n">
        <v>41.68803870239996</v>
      </c>
      <c r="T57" s="132" t="n">
        <v>2689.788248383757</v>
      </c>
      <c r="V57" s="130" t="n">
        <v>1409.614172356645</v>
      </c>
      <c r="W57" s="131" t="n">
        <v>964.2203879681116</v>
      </c>
      <c r="X57" s="131" t="n">
        <v>9.80421488211929</v>
      </c>
      <c r="Y57" s="131" t="n">
        <v>42.13077516565712</v>
      </c>
      <c r="Z57" s="132" t="n">
        <v>2425.769550372533</v>
      </c>
      <c r="AE57" s="121" t="n">
        <v>9</v>
      </c>
      <c r="AF57" t="inlineStr">
        <is>
          <t>LAMA/ACH</t>
        </is>
      </c>
      <c r="AG57" s="122" t="n">
        <v>165575.9498458846</v>
      </c>
      <c r="AH57" s="56" t="n">
        <v>380.9868502583004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BASAL INSULIN</t>
        </is>
      </c>
      <c r="AG58" s="122" t="n">
        <v>162271.5517438948</v>
      </c>
      <c r="AH58" s="56" t="n">
        <v>1424.694944294908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1143</v>
      </c>
      <c r="H59" s="132" t="n">
        <v>1143</v>
      </c>
      <c r="J59" s="130" t="n">
        <v>0</v>
      </c>
      <c r="K59" s="131" t="n">
        <v>0</v>
      </c>
      <c r="L59" s="131" t="n">
        <v>0</v>
      </c>
      <c r="M59" s="131" t="n">
        <v>1251.272016547032</v>
      </c>
      <c r="N59" s="132" t="n">
        <v>1251.272016547032</v>
      </c>
      <c r="P59" s="130" t="n">
        <v>0</v>
      </c>
      <c r="Q59" s="131" t="n">
        <v>0</v>
      </c>
      <c r="R59" s="131" t="n">
        <v>0</v>
      </c>
      <c r="S59" s="131" t="n">
        <v>1340.040023429968</v>
      </c>
      <c r="T59" s="132" t="n">
        <v>1340.040023429968</v>
      </c>
      <c r="V59" s="130" t="n">
        <v>0</v>
      </c>
      <c r="W59" s="131" t="n">
        <v>0</v>
      </c>
      <c r="X59" s="131" t="n">
        <v>0</v>
      </c>
      <c r="Y59" s="131" t="n">
        <v>1395.880080084951</v>
      </c>
      <c r="Z59" s="132" t="n">
        <v>1395.880080084951</v>
      </c>
      <c r="AE59" s="121" t="n">
        <v>11</v>
      </c>
      <c r="AF59" t="inlineStr">
        <is>
          <t>INSULIN ADMINISTRATION SUPPLIES</t>
        </is>
      </c>
      <c r="AG59" s="122" t="n">
        <v>152062.1135524239</v>
      </c>
      <c r="AH59" s="56" t="n">
        <v>381.7151259532553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MISC. ANTIVIRALS</t>
        </is>
      </c>
      <c r="AG60" s="122" t="n">
        <v>139218.2263411419</v>
      </c>
      <c r="AH60" s="56" t="n">
        <v>465.8851297185105</v>
      </c>
    </row>
    <row r="61">
      <c r="B61" s="64" t="inlineStr">
        <is>
          <t>Formulary Exclusions</t>
        </is>
      </c>
      <c r="D61" s="130" t="n">
        <v>2579</v>
      </c>
      <c r="E61" s="131" t="n">
        <v>785</v>
      </c>
      <c r="F61" s="131" t="n">
        <v>22</v>
      </c>
      <c r="G61" s="131" t="n">
        <v>68</v>
      </c>
      <c r="H61" s="132" t="n">
        <v>3454</v>
      </c>
      <c r="J61" s="130" t="n">
        <v>3475.77049067758</v>
      </c>
      <c r="K61" s="131" t="n">
        <v>1879.236665364516</v>
      </c>
      <c r="L61" s="131" t="n">
        <v>40.88056000062585</v>
      </c>
      <c r="M61" s="131" t="n">
        <v>83.07733275588409</v>
      </c>
      <c r="N61" s="132" t="n">
        <v>5478.965048798607</v>
      </c>
      <c r="P61" s="130" t="n">
        <v>4130.131957310844</v>
      </c>
      <c r="Q61" s="131" t="n">
        <v>2671.817886250134</v>
      </c>
      <c r="R61" s="131" t="n">
        <v>54.47014864180036</v>
      </c>
      <c r="S61" s="131" t="n">
        <v>91.05240222120837</v>
      </c>
      <c r="T61" s="132" t="n">
        <v>6947.472394423987</v>
      </c>
      <c r="V61" s="130" t="n">
        <v>4273.151023763351</v>
      </c>
      <c r="W61" s="131" t="n">
        <v>2806.341432842156</v>
      </c>
      <c r="X61" s="131" t="n">
        <v>57.02415701411742</v>
      </c>
      <c r="Y61" s="131" t="n">
        <v>101.0761670850872</v>
      </c>
      <c r="Z61" s="132" t="n">
        <v>7237.592780704711</v>
      </c>
      <c r="AE61" s="121" t="n">
        <v>13</v>
      </c>
      <c r="AF61" t="inlineStr">
        <is>
          <t>POTASSIUM REMOVING AGENTS</t>
        </is>
      </c>
      <c r="AG61" s="122" t="n">
        <v>127784.9027955796</v>
      </c>
      <c r="AH61" s="56" t="n">
        <v>186.2859347078134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OSTEOPOROSIS AGENTS</t>
        </is>
      </c>
      <c r="AG62" s="122" t="n">
        <v>117362.1013289111</v>
      </c>
      <c r="AH62" s="56" t="n">
        <v>354.6331001102211</v>
      </c>
    </row>
    <row r="63">
      <c r="B63" s="64" t="inlineStr">
        <is>
          <t>Misc</t>
        </is>
      </c>
      <c r="D63" s="130" t="n">
        <v>1695</v>
      </c>
      <c r="E63" s="131" t="n">
        <v>1331</v>
      </c>
      <c r="F63" s="131" t="n">
        <v>23</v>
      </c>
      <c r="G63" s="131" t="n">
        <v>2</v>
      </c>
      <c r="H63" s="132" t="n">
        <v>3051</v>
      </c>
      <c r="J63" s="130" t="n">
        <v>2399.052334449065</v>
      </c>
      <c r="K63" s="131" t="n">
        <v>1992.31258498821</v>
      </c>
      <c r="L63" s="131" t="n">
        <v>33.57613890171319</v>
      </c>
      <c r="M63" s="131" t="n">
        <v>209.6733577939747</v>
      </c>
      <c r="N63" s="132" t="n">
        <v>4634.614416132963</v>
      </c>
      <c r="P63" s="130" t="n">
        <v>2826.131680913324</v>
      </c>
      <c r="Q63" s="131" t="n">
        <v>2417.817724958292</v>
      </c>
      <c r="R63" s="131" t="n">
        <v>40.463977920018</v>
      </c>
      <c r="S63" s="131" t="n">
        <v>231.3531612844695</v>
      </c>
      <c r="T63" s="132" t="n">
        <v>5515.766545076103</v>
      </c>
      <c r="V63" s="130" t="n">
        <v>3333.582500652559</v>
      </c>
      <c r="W63" s="131" t="n">
        <v>2919.67757570038</v>
      </c>
      <c r="X63" s="131" t="n">
        <v>48.29562868547174</v>
      </c>
      <c r="Y63" s="131" t="n">
        <v>250.4907355877558</v>
      </c>
      <c r="Z63" s="132" t="n">
        <v>6552.046440626166</v>
      </c>
      <c r="AE63" s="121" t="n">
        <v>15</v>
      </c>
      <c r="AF63" t="inlineStr">
        <is>
          <t>OPHTHALMICS - RHO KINASE INHIBITOR &amp; COMBOS</t>
        </is>
      </c>
      <c r="AG63" s="122" t="n">
        <v>106469.1836637675</v>
      </c>
      <c r="AH63" s="56" t="n">
        <v>264.1517331178595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2</v>
      </c>
      <c r="H64" s="135" t="n">
        <v>2</v>
      </c>
      <c r="J64" s="133" t="n">
        <v>0</v>
      </c>
      <c r="K64" s="134" t="n">
        <v>0</v>
      </c>
      <c r="L64" s="134" t="n">
        <v>0</v>
      </c>
      <c r="M64" s="134" t="n">
        <v>1.61693912030697</v>
      </c>
      <c r="N64" s="135" t="n">
        <v>1.61693912030697</v>
      </c>
      <c r="P64" s="133" t="n">
        <v>0</v>
      </c>
      <c r="Q64" s="134" t="n">
        <v>0</v>
      </c>
      <c r="R64" s="134" t="n">
        <v>0</v>
      </c>
      <c r="S64" s="134" t="n">
        <v>1.640449587259669</v>
      </c>
      <c r="T64" s="135" t="n">
        <v>1.640449587259669</v>
      </c>
      <c r="V64" s="133" t="n">
        <v>0</v>
      </c>
      <c r="W64" s="134" t="n">
        <v>0</v>
      </c>
      <c r="X64" s="134" t="n">
        <v>0</v>
      </c>
      <c r="Y64" s="134" t="n">
        <v>1.709600881596582</v>
      </c>
      <c r="Z64" s="135" t="n">
        <v>1.709600881596582</v>
      </c>
      <c r="AE64" s="121" t="n">
        <v>16</v>
      </c>
      <c r="AF64" t="inlineStr">
        <is>
          <t>OPIOID AGONISTS &amp; COMBOS</t>
        </is>
      </c>
      <c r="AG64" s="122" t="n">
        <v>54909.25537701821</v>
      </c>
      <c r="AH64" s="56" t="n">
        <v>128.4757499440851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 2026, 2027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BASAL &amp; GLP-1 COMBO</t>
        </is>
      </c>
      <c r="AG65" s="122" t="n">
        <v>35686.01554623178</v>
      </c>
      <c r="AH65" s="56" t="n">
        <v>43.29829418544201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VASOACTIVE SGC STIMULATOR</t>
        </is>
      </c>
      <c r="AG66" s="122" t="n">
        <v>34194.96379136435</v>
      </c>
      <c r="AH66" s="56" t="n">
        <v>47.48465002356028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1900.278059066834</v>
      </c>
      <c r="K67" s="140" t="n">
        <v>1114.495647238112</v>
      </c>
      <c r="L67" s="140" t="n">
        <v>22.34085682814803</v>
      </c>
      <c r="M67" s="140" t="n">
        <v>193.8046836844156</v>
      </c>
      <c r="N67" s="141" t="n">
        <v>3230.919246817511</v>
      </c>
      <c r="P67" s="139" t="n">
        <v>1376.52034078133</v>
      </c>
      <c r="Q67" s="140" t="n">
        <v>474.1870466229238</v>
      </c>
      <c r="R67" s="140" t="n">
        <v>10.15020924840391</v>
      </c>
      <c r="S67" s="140" t="n">
        <v>195.9246325159089</v>
      </c>
      <c r="T67" s="141" t="n">
        <v>2056.782229168566</v>
      </c>
      <c r="V67" s="139" t="n">
        <v>1409.31120853687</v>
      </c>
      <c r="W67" s="140" t="n">
        <v>497.2231949594201</v>
      </c>
      <c r="X67" s="140" t="n">
        <v>10.97973574079871</v>
      </c>
      <c r="Y67" s="140" t="n">
        <v>208.2943256733983</v>
      </c>
      <c r="Z67" s="141" t="n">
        <v>2125.808464910487</v>
      </c>
      <c r="AE67" s="121" t="n">
        <v>19</v>
      </c>
      <c r="AF67" t="inlineStr">
        <is>
          <t>RAPID ACTING</t>
        </is>
      </c>
      <c r="AG67" s="122" t="n">
        <v>34074.63722635455</v>
      </c>
      <c r="AH67" s="56" t="n">
        <v>259.5143090597786</v>
      </c>
    </row>
    <row r="68" ht="15.6" customHeight="1" thickBot="1" thickTop="1">
      <c r="B68" s="69" t="inlineStr">
        <is>
          <t>Total</t>
        </is>
      </c>
      <c r="D68" s="142" t="n">
        <v>17941</v>
      </c>
      <c r="E68" s="143" t="n">
        <v>4985</v>
      </c>
      <c r="F68" s="143" t="n">
        <v>90</v>
      </c>
      <c r="G68" s="143" t="n">
        <v>1300</v>
      </c>
      <c r="H68" s="144" t="n">
        <v>24318</v>
      </c>
      <c r="J68" s="142" t="n">
        <v>20484.36177049782</v>
      </c>
      <c r="K68" s="143" t="n">
        <v>7487.078255610652</v>
      </c>
      <c r="L68" s="143" t="n">
        <v>127.0742137659164</v>
      </c>
      <c r="M68" s="143" t="n">
        <v>1779.792258941388</v>
      </c>
      <c r="N68" s="144" t="n">
        <v>29879.92343793609</v>
      </c>
      <c r="P68" s="142" t="n">
        <v>21054.04803350258</v>
      </c>
      <c r="Q68" s="143" t="n">
        <v>8040.775526229325</v>
      </c>
      <c r="R68" s="143" t="n">
        <v>133.9262247174962</v>
      </c>
      <c r="S68" s="143" t="n">
        <v>1900.058258153955</v>
      </c>
      <c r="T68" s="144" t="n">
        <v>31130.44849219062</v>
      </c>
      <c r="V68" s="142" t="n">
        <v>21605.89140012008</v>
      </c>
      <c r="W68" s="143" t="n">
        <v>8685.739662325754</v>
      </c>
      <c r="X68" s="143" t="n">
        <v>143.8256323506509</v>
      </c>
      <c r="Y68" s="143" t="n">
        <v>1997.87208359685</v>
      </c>
      <c r="Z68" s="144" t="n">
        <v>32435.03837927494</v>
      </c>
      <c r="AE68" s="124" t="n">
        <v>20</v>
      </c>
      <c r="AF68" s="82" t="inlineStr">
        <is>
          <t>OPHTHALMICS - MISC.</t>
        </is>
      </c>
      <c r="AG68" s="125" t="n">
        <v>32434.38190427926</v>
      </c>
      <c r="AH68" s="84" t="n">
        <v>49.52139328881418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7</v>
      </c>
      <c r="E71" s="128" t="n">
        <v>5</v>
      </c>
      <c r="F71" s="128" t="n">
        <v>0</v>
      </c>
      <c r="G71" s="128" t="n">
        <v>0</v>
      </c>
      <c r="H71" s="129" t="n">
        <v>12</v>
      </c>
      <c r="J71" s="127" t="n">
        <v>7.750518176765181</v>
      </c>
      <c r="K71" s="128" t="n">
        <v>4.33584327075745</v>
      </c>
      <c r="L71" s="128" t="n">
        <v>0</v>
      </c>
      <c r="M71" s="128" t="n">
        <v>0</v>
      </c>
      <c r="N71" s="129" t="n">
        <v>12.08636144752263</v>
      </c>
      <c r="P71" s="127" t="n">
        <v>8.192848110463446</v>
      </c>
      <c r="Q71" s="128" t="n">
        <v>4.071420362981852</v>
      </c>
      <c r="R71" s="128" t="n">
        <v>0</v>
      </c>
      <c r="S71" s="128" t="n">
        <v>0</v>
      </c>
      <c r="T71" s="129" t="n">
        <v>12.2642684734453</v>
      </c>
      <c r="V71" s="127" t="n">
        <v>8.682800100355173</v>
      </c>
      <c r="W71" s="128" t="n">
        <v>3.832345246287813</v>
      </c>
      <c r="X71" s="128" t="n">
        <v>0</v>
      </c>
      <c r="Y71" s="128" t="n">
        <v>0</v>
      </c>
      <c r="Z71" s="129" t="n">
        <v>12.51514534664299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2421</v>
      </c>
      <c r="E75" s="131" t="n">
        <v>373</v>
      </c>
      <c r="F75" s="131" t="n">
        <v>5</v>
      </c>
      <c r="G75" s="131" t="n">
        <v>0</v>
      </c>
      <c r="H75" s="132" t="n">
        <v>2799</v>
      </c>
      <c r="J75" s="130" t="n">
        <v>7197.985321755256</v>
      </c>
      <c r="K75" s="131" t="n">
        <v>2449.55639459372</v>
      </c>
      <c r="L75" s="131" t="n">
        <v>65.41942268273522</v>
      </c>
      <c r="M75" s="131" t="n">
        <v>19.05646504017929</v>
      </c>
      <c r="N75" s="132" t="n">
        <v>9732.017604071891</v>
      </c>
      <c r="P75" s="130" t="n">
        <v>8157.149229625111</v>
      </c>
      <c r="Q75" s="131" t="n">
        <v>2891.426278414408</v>
      </c>
      <c r="R75" s="131" t="n">
        <v>77.95867935544808</v>
      </c>
      <c r="S75" s="131" t="n">
        <v>20.56193962167864</v>
      </c>
      <c r="T75" s="132" t="n">
        <v>11147.09612701665</v>
      </c>
      <c r="V75" s="130" t="n">
        <v>9996.096520677067</v>
      </c>
      <c r="W75" s="131" t="n">
        <v>3404.183159089577</v>
      </c>
      <c r="X75" s="131" t="n">
        <v>96.66477524674978</v>
      </c>
      <c r="Y75" s="131" t="n">
        <v>21.82725051307309</v>
      </c>
      <c r="Z75" s="132" t="n">
        <v>13518.77170552647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68</v>
      </c>
      <c r="H77" s="132" t="n">
        <v>68</v>
      </c>
      <c r="J77" s="130" t="n">
        <v>0</v>
      </c>
      <c r="K77" s="131" t="n">
        <v>0</v>
      </c>
      <c r="L77" s="131" t="n">
        <v>0</v>
      </c>
      <c r="M77" s="131" t="n">
        <v>179.755418341803</v>
      </c>
      <c r="N77" s="132" t="n">
        <v>179.755418341803</v>
      </c>
      <c r="P77" s="130" t="n">
        <v>0</v>
      </c>
      <c r="Q77" s="131" t="n">
        <v>0</v>
      </c>
      <c r="R77" s="131" t="n">
        <v>0</v>
      </c>
      <c r="S77" s="131" t="n">
        <v>232.6051624475786</v>
      </c>
      <c r="T77" s="132" t="n">
        <v>232.6051624475786</v>
      </c>
      <c r="V77" s="130" t="n">
        <v>0</v>
      </c>
      <c r="W77" s="131" t="n">
        <v>0</v>
      </c>
      <c r="X77" s="131" t="n">
        <v>0</v>
      </c>
      <c r="Y77" s="131" t="n">
        <v>302.4812668391931</v>
      </c>
      <c r="Z77" s="132" t="n">
        <v>302.4812668391931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2006</v>
      </c>
      <c r="E79" s="131" t="n">
        <v>2399</v>
      </c>
      <c r="F79" s="131" t="n">
        <v>10</v>
      </c>
      <c r="G79" s="131" t="n">
        <v>23</v>
      </c>
      <c r="H79" s="132" t="n">
        <v>4438</v>
      </c>
      <c r="J79" s="130" t="n">
        <v>2209.568549907321</v>
      </c>
      <c r="K79" s="131" t="n">
        <v>2593.333683184456</v>
      </c>
      <c r="L79" s="131" t="n">
        <v>10.83583126299182</v>
      </c>
      <c r="M79" s="131" t="n">
        <v>26.18930320257346</v>
      </c>
      <c r="N79" s="132" t="n">
        <v>4839.927367557342</v>
      </c>
      <c r="P79" s="130" t="n">
        <v>2292.902614467378</v>
      </c>
      <c r="Q79" s="131" t="n">
        <v>2663.39792184583</v>
      </c>
      <c r="R79" s="131" t="n">
        <v>11.13788013767394</v>
      </c>
      <c r="S79" s="131" t="n">
        <v>27.565414861867</v>
      </c>
      <c r="T79" s="132" t="n">
        <v>4995.00383131275</v>
      </c>
      <c r="V79" s="130" t="n">
        <v>2339.927961197535</v>
      </c>
      <c r="W79" s="131" t="n">
        <v>2717.102643076892</v>
      </c>
      <c r="X79" s="131" t="n">
        <v>11.3701704635769</v>
      </c>
      <c r="Y79" s="131" t="n">
        <v>29.21374271380387</v>
      </c>
      <c r="Z79" s="132" t="n">
        <v>5097.614517451808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0</v>
      </c>
      <c r="K81" s="131" t="n">
        <v>0</v>
      </c>
      <c r="L81" s="131" t="n">
        <v>0</v>
      </c>
      <c r="M81" s="131" t="n">
        <v>0.6342430371881846</v>
      </c>
      <c r="N81" s="132" t="n">
        <v>0.6342430371881846</v>
      </c>
      <c r="P81" s="130" t="n">
        <v>0</v>
      </c>
      <c r="Q81" s="131" t="n">
        <v>0</v>
      </c>
      <c r="R81" s="131" t="n">
        <v>0</v>
      </c>
      <c r="S81" s="131" t="n">
        <v>0.7092703061041448</v>
      </c>
      <c r="T81" s="132" t="n">
        <v>0.7092703061041448</v>
      </c>
      <c r="V81" s="130" t="n">
        <v>0</v>
      </c>
      <c r="W81" s="131" t="n">
        <v>0</v>
      </c>
      <c r="X81" s="131" t="n">
        <v>0</v>
      </c>
      <c r="Y81" s="131" t="n">
        <v>0.7622658580093002</v>
      </c>
      <c r="Z81" s="132" t="n">
        <v>0.7622658580093002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0.6342430371881935</v>
      </c>
      <c r="N82" s="135" t="n">
        <v>0.6342430371881935</v>
      </c>
      <c r="P82" s="133" t="n">
        <v>0</v>
      </c>
      <c r="Q82" s="134" t="n">
        <v>0</v>
      </c>
      <c r="R82" s="134" t="n">
        <v>0</v>
      </c>
      <c r="S82" s="134" t="n">
        <v>0.7092703061041666</v>
      </c>
      <c r="T82" s="135" t="n">
        <v>0.7092703061041666</v>
      </c>
      <c r="V82" s="133" t="n">
        <v>0</v>
      </c>
      <c r="W82" s="134" t="n">
        <v>0</v>
      </c>
      <c r="X82" s="134" t="n">
        <v>0</v>
      </c>
      <c r="Y82" s="134" t="n">
        <v>0.7622658580093674</v>
      </c>
      <c r="Z82" s="135" t="n">
        <v>0.7622658580093674</v>
      </c>
    </row>
    <row r="83">
      <c r="A83" s="98" t="inlineStr">
        <is>
          <t>Added MFP row but needs adjusting for non-CY</t>
        </is>
      </c>
      <c r="B83" s="64" t="inlineStr">
        <is>
          <t>MFP 2026, 2027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212099.4593786842</v>
      </c>
      <c r="K85" s="140" t="n">
        <v>223453.9364003303</v>
      </c>
      <c r="L85" s="140" t="n">
        <v>3494.351149346138</v>
      </c>
      <c r="M85" s="140" t="n">
        <v>328.4039082666113</v>
      </c>
      <c r="N85" s="141" t="n">
        <v>439376.1508366273</v>
      </c>
      <c r="P85" s="139" t="n">
        <v>215866.620434553</v>
      </c>
      <c r="Q85" s="140" t="n">
        <v>228713.3997223013</v>
      </c>
      <c r="R85" s="140" t="n">
        <v>3563.632499004144</v>
      </c>
      <c r="S85" s="140" t="n">
        <v>340.6424710336581</v>
      </c>
      <c r="T85" s="141" t="n">
        <v>448484.2951268921</v>
      </c>
      <c r="V85" s="139" t="n">
        <v>217786.8806903263</v>
      </c>
      <c r="W85" s="140" t="n">
        <v>231736.3916218678</v>
      </c>
      <c r="X85" s="140" t="n">
        <v>3593.607718707795</v>
      </c>
      <c r="Y85" s="140" t="n">
        <v>394.8692993607791</v>
      </c>
      <c r="Z85" s="141" t="n">
        <v>453511.7493302627</v>
      </c>
    </row>
    <row r="86" ht="15.6" customHeight="1" thickBot="1" thickTop="1">
      <c r="B86" s="69" t="inlineStr">
        <is>
          <t>Total</t>
        </is>
      </c>
      <c r="D86" s="142" t="n">
        <v>4434</v>
      </c>
      <c r="E86" s="143" t="n">
        <v>2777</v>
      </c>
      <c r="F86" s="143" t="n">
        <v>15</v>
      </c>
      <c r="G86" s="143" t="n">
        <v>91</v>
      </c>
      <c r="H86" s="144" t="n">
        <v>7317</v>
      </c>
      <c r="J86" s="142" t="n">
        <v>221514.7637685236</v>
      </c>
      <c r="K86" s="143" t="n">
        <v>228501.1623213792</v>
      </c>
      <c r="L86" s="143" t="n">
        <v>3570.606403291865</v>
      </c>
      <c r="M86" s="143" t="n">
        <v>554.0393378883552</v>
      </c>
      <c r="N86" s="144" t="n">
        <v>454141.2060741203</v>
      </c>
      <c r="P86" s="142" t="n">
        <v>226324.8651267559</v>
      </c>
      <c r="Q86" s="143" t="n">
        <v>234272.2953429245</v>
      </c>
      <c r="R86" s="143" t="n">
        <v>3652.729058497267</v>
      </c>
      <c r="S86" s="143" t="n">
        <v>622.0842582708865</v>
      </c>
      <c r="T86" s="144" t="n">
        <v>464872.6830567548</v>
      </c>
      <c r="V86" s="142" t="n">
        <v>230131.5879723013</v>
      </c>
      <c r="W86" s="143" t="n">
        <v>237861.5097692806</v>
      </c>
      <c r="X86" s="143" t="n">
        <v>3701.642664418122</v>
      </c>
      <c r="Y86" s="143" t="n">
        <v>749.1538252848585</v>
      </c>
      <c r="Z86" s="144" t="n">
        <v>472444.6564971429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1354</v>
      </c>
      <c r="E89" s="128" t="n">
        <v>1408</v>
      </c>
      <c r="F89" s="128" t="n">
        <v>16</v>
      </c>
      <c r="G89" s="128" t="n">
        <v>0</v>
      </c>
      <c r="H89" s="129" t="n">
        <v>2778</v>
      </c>
      <c r="J89" s="127" t="n">
        <v>1368.212392840543</v>
      </c>
      <c r="K89" s="128" t="n">
        <v>1446.919546415251</v>
      </c>
      <c r="L89" s="128" t="n">
        <v>16.81060051458184</v>
      </c>
      <c r="M89" s="128" t="n">
        <v>0</v>
      </c>
      <c r="N89" s="129" t="n">
        <v>2831.942539770377</v>
      </c>
      <c r="P89" s="127" t="n">
        <v>1383.143317400116</v>
      </c>
      <c r="Q89" s="128" t="n">
        <v>1471.956966580286</v>
      </c>
      <c r="R89" s="128" t="n">
        <v>17.34055365383277</v>
      </c>
      <c r="S89" s="128" t="n">
        <v>0</v>
      </c>
      <c r="T89" s="129" t="n">
        <v>2872.440837634235</v>
      </c>
      <c r="V89" s="127" t="n">
        <v>1400.449389437117</v>
      </c>
      <c r="W89" s="128" t="n">
        <v>1494.267545410099</v>
      </c>
      <c r="X89" s="128" t="n">
        <v>17.72189602814375</v>
      </c>
      <c r="Y89" s="128" t="n">
        <v>0</v>
      </c>
      <c r="Z89" s="129" t="n">
        <v>2912.43883087536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9389</v>
      </c>
      <c r="E91" s="131" t="n">
        <v>7</v>
      </c>
      <c r="F91" s="131" t="n">
        <v>0</v>
      </c>
      <c r="G91" s="131" t="n">
        <v>0</v>
      </c>
      <c r="H91" s="132" t="n">
        <v>9396</v>
      </c>
      <c r="J91" s="130" t="n">
        <v>9604.744793221946</v>
      </c>
      <c r="K91" s="131" t="n">
        <v>7.468734608523377</v>
      </c>
      <c r="L91" s="131" t="n">
        <v>0</v>
      </c>
      <c r="M91" s="131" t="n">
        <v>0</v>
      </c>
      <c r="N91" s="132" t="n">
        <v>9612.213527830469</v>
      </c>
      <c r="P91" s="130" t="n">
        <v>9711.100612668353</v>
      </c>
      <c r="Q91" s="131" t="n">
        <v>7.681420291833214</v>
      </c>
      <c r="R91" s="131" t="n">
        <v>0</v>
      </c>
      <c r="S91" s="131" t="n">
        <v>0</v>
      </c>
      <c r="T91" s="132" t="n">
        <v>9718.782032960187</v>
      </c>
      <c r="V91" s="130" t="n">
        <v>9788.465905473897</v>
      </c>
      <c r="W91" s="131" t="n">
        <v>7.841870691875749</v>
      </c>
      <c r="X91" s="131" t="n">
        <v>0</v>
      </c>
      <c r="Y91" s="131" t="n">
        <v>0</v>
      </c>
      <c r="Z91" s="132" t="n">
        <v>9796.307776165773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5352</v>
      </c>
      <c r="E93" s="131" t="n">
        <v>1832</v>
      </c>
      <c r="F93" s="131" t="n">
        <v>34</v>
      </c>
      <c r="G93" s="131" t="n">
        <v>87</v>
      </c>
      <c r="H93" s="132" t="n">
        <v>7305</v>
      </c>
      <c r="J93" s="130" t="n">
        <v>8942.039540173873</v>
      </c>
      <c r="K93" s="131" t="n">
        <v>3500.537314860516</v>
      </c>
      <c r="L93" s="131" t="n">
        <v>78.88548020358267</v>
      </c>
      <c r="M93" s="131" t="n">
        <v>61.02133320026132</v>
      </c>
      <c r="N93" s="132" t="n">
        <v>12582.48366843823</v>
      </c>
      <c r="P93" s="130" t="n">
        <v>9792.36220216419</v>
      </c>
      <c r="Q93" s="131" t="n">
        <v>3892.812180303246</v>
      </c>
      <c r="R93" s="131" t="n">
        <v>89.4600146088892</v>
      </c>
      <c r="S93" s="131" t="n">
        <v>62.2499783240786</v>
      </c>
      <c r="T93" s="132" t="n">
        <v>13836.8843754004</v>
      </c>
      <c r="V93" s="130" t="n">
        <v>11405.71069303371</v>
      </c>
      <c r="W93" s="131" t="n">
        <v>4368.403547057689</v>
      </c>
      <c r="X93" s="131" t="n">
        <v>106.4689901288691</v>
      </c>
      <c r="Y93" s="131" t="n">
        <v>63.95802567873021</v>
      </c>
      <c r="Z93" s="132" t="n">
        <v>15944.541255899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1211</v>
      </c>
      <c r="H95" s="132" t="n">
        <v>1211</v>
      </c>
      <c r="J95" s="130" t="n">
        <v>0</v>
      </c>
      <c r="K95" s="131" t="n">
        <v>0</v>
      </c>
      <c r="L95" s="131" t="n">
        <v>0</v>
      </c>
      <c r="M95" s="131" t="n">
        <v>1431.027434888835</v>
      </c>
      <c r="N95" s="132" t="n">
        <v>1431.027434888835</v>
      </c>
      <c r="P95" s="130" t="n">
        <v>0</v>
      </c>
      <c r="Q95" s="131" t="n">
        <v>0</v>
      </c>
      <c r="R95" s="131" t="n">
        <v>0</v>
      </c>
      <c r="S95" s="131" t="n">
        <v>1572.645185877547</v>
      </c>
      <c r="T95" s="132" t="n">
        <v>1572.645185877547</v>
      </c>
      <c r="V95" s="130" t="n">
        <v>0</v>
      </c>
      <c r="W95" s="131" t="n">
        <v>0</v>
      </c>
      <c r="X95" s="131" t="n">
        <v>0</v>
      </c>
      <c r="Y95" s="131" t="n">
        <v>1698.361346924144</v>
      </c>
      <c r="Z95" s="132" t="n">
        <v>1698.361346924144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4585</v>
      </c>
      <c r="E97" s="131" t="n">
        <v>3184</v>
      </c>
      <c r="F97" s="131" t="n">
        <v>32</v>
      </c>
      <c r="G97" s="131" t="n">
        <v>91</v>
      </c>
      <c r="H97" s="132" t="n">
        <v>7892</v>
      </c>
      <c r="J97" s="130" t="n">
        <v>5685.3390405849</v>
      </c>
      <c r="K97" s="131" t="n">
        <v>4472.570348548972</v>
      </c>
      <c r="L97" s="131" t="n">
        <v>51.71639126361767</v>
      </c>
      <c r="M97" s="131" t="n">
        <v>109.2666359584575</v>
      </c>
      <c r="N97" s="132" t="n">
        <v>10318.89241635595</v>
      </c>
      <c r="P97" s="130" t="n">
        <v>6423.034571778222</v>
      </c>
      <c r="Q97" s="131" t="n">
        <v>5335.215808095963</v>
      </c>
      <c r="R97" s="131" t="n">
        <v>65.60802877947431</v>
      </c>
      <c r="S97" s="131" t="n">
        <v>118.6178170830754</v>
      </c>
      <c r="T97" s="132" t="n">
        <v>11942.47622573673</v>
      </c>
      <c r="V97" s="130" t="n">
        <v>6613.078984960886</v>
      </c>
      <c r="W97" s="131" t="n">
        <v>5523.444075919048</v>
      </c>
      <c r="X97" s="131" t="n">
        <v>68.39432747769432</v>
      </c>
      <c r="Y97" s="131" t="n">
        <v>130.2899097988911</v>
      </c>
      <c r="Z97" s="132" t="n">
        <v>12335.20729815652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1695</v>
      </c>
      <c r="E99" s="131" t="n">
        <v>1331</v>
      </c>
      <c r="F99" s="131" t="n">
        <v>23</v>
      </c>
      <c r="G99" s="131" t="n">
        <v>2</v>
      </c>
      <c r="H99" s="132" t="n">
        <v>3051</v>
      </c>
      <c r="J99" s="130" t="n">
        <v>2399.052334449079</v>
      </c>
      <c r="K99" s="131" t="n">
        <v>1992.31258498822</v>
      </c>
      <c r="L99" s="131" t="n">
        <v>33.57613890171297</v>
      </c>
      <c r="M99" s="131" t="n">
        <v>210.3076008311627</v>
      </c>
      <c r="N99" s="132" t="n">
        <v>4635.248659170175</v>
      </c>
      <c r="P99" s="130" t="n">
        <v>2826.131680913328</v>
      </c>
      <c r="Q99" s="131" t="n">
        <v>2417.817724958295</v>
      </c>
      <c r="R99" s="131" t="n">
        <v>40.46397792001835</v>
      </c>
      <c r="S99" s="131" t="n">
        <v>232.0624315905739</v>
      </c>
      <c r="T99" s="132" t="n">
        <v>5516.475815382215</v>
      </c>
      <c r="V99" s="130" t="n">
        <v>3333.582500652556</v>
      </c>
      <c r="W99" s="131" t="n">
        <v>2919.677575700363</v>
      </c>
      <c r="X99" s="131" t="n">
        <v>48.29562868547146</v>
      </c>
      <c r="Y99" s="131" t="n">
        <v>251.2530014457652</v>
      </c>
      <c r="Z99" s="132" t="n">
        <v>6552.808706484156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2</v>
      </c>
      <c r="H100" s="135" t="n">
        <v>2</v>
      </c>
      <c r="J100" s="133" t="n">
        <v>0</v>
      </c>
      <c r="K100" s="134" t="n">
        <v>0</v>
      </c>
      <c r="L100" s="134" t="n">
        <v>0</v>
      </c>
      <c r="M100" s="134" t="n">
        <v>2.251182157495164</v>
      </c>
      <c r="N100" s="135" t="n">
        <v>2.251182157495164</v>
      </c>
      <c r="P100" s="133" t="n">
        <v>0</v>
      </c>
      <c r="Q100" s="134" t="n">
        <v>0</v>
      </c>
      <c r="R100" s="134" t="n">
        <v>0</v>
      </c>
      <c r="S100" s="134" t="n">
        <v>2.349719893363836</v>
      </c>
      <c r="T100" s="135" t="n">
        <v>2.349719893363836</v>
      </c>
      <c r="V100" s="133" t="n">
        <v>0</v>
      </c>
      <c r="W100" s="134" t="n">
        <v>0</v>
      </c>
      <c r="X100" s="134" t="n">
        <v>0</v>
      </c>
      <c r="Y100" s="134" t="n">
        <v>2.47186673960595</v>
      </c>
      <c r="Z100" s="135" t="n">
        <v>2.47186673960595</v>
      </c>
    </row>
    <row r="101">
      <c r="A101" s="98" t="inlineStr">
        <is>
          <t>Added MFP row but needs adjusting for non-CY</t>
        </is>
      </c>
      <c r="B101" s="64" t="inlineStr">
        <is>
          <t>MFP 2026, 2027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213999.7374377511</v>
      </c>
      <c r="K103" s="140" t="n">
        <v>224568.4320475684</v>
      </c>
      <c r="L103" s="140" t="n">
        <v>3516.692006174286</v>
      </c>
      <c r="M103" s="140" t="n">
        <v>522.208591951027</v>
      </c>
      <c r="N103" s="141" t="n">
        <v>442607.0700834448</v>
      </c>
      <c r="P103" s="139" t="n">
        <v>217243.1407753343</v>
      </c>
      <c r="Q103" s="140" t="n">
        <v>229187.5867689242</v>
      </c>
      <c r="R103" s="140" t="n">
        <v>3573.782708252548</v>
      </c>
      <c r="S103" s="140" t="n">
        <v>536.567103549567</v>
      </c>
      <c r="T103" s="141" t="n">
        <v>450541.0773560606</v>
      </c>
      <c r="V103" s="139" t="n">
        <v>219196.1918988632</v>
      </c>
      <c r="W103" s="140" t="n">
        <v>232233.6148168273</v>
      </c>
      <c r="X103" s="140" t="n">
        <v>3604.587454448594</v>
      </c>
      <c r="Y103" s="140" t="n">
        <v>603.1636250341774</v>
      </c>
      <c r="Z103" s="141" t="n">
        <v>455637.5577951731</v>
      </c>
    </row>
    <row r="104" ht="15.6" customHeight="1" thickBot="1" thickTop="1">
      <c r="B104" s="69" t="inlineStr">
        <is>
          <t>Total</t>
        </is>
      </c>
      <c r="D104" s="142" t="n">
        <v>22375</v>
      </c>
      <c r="E104" s="143" t="n">
        <v>7762</v>
      </c>
      <c r="F104" s="143" t="n">
        <v>105</v>
      </c>
      <c r="G104" s="143" t="n">
        <v>1391</v>
      </c>
      <c r="H104" s="144" t="n">
        <v>31635</v>
      </c>
      <c r="J104" s="142" t="n">
        <v>241999.1255390214</v>
      </c>
      <c r="K104" s="143" t="n">
        <v>235988.2405769899</v>
      </c>
      <c r="L104" s="143" t="n">
        <v>3697.680617057781</v>
      </c>
      <c r="M104" s="143" t="n">
        <v>2333.831596829744</v>
      </c>
      <c r="N104" s="144" t="n">
        <v>484021.1295120563</v>
      </c>
      <c r="P104" s="142" t="n">
        <v>247378.9131602585</v>
      </c>
      <c r="Q104" s="143" t="n">
        <v>242313.0708691538</v>
      </c>
      <c r="R104" s="143" t="n">
        <v>3786.655283214763</v>
      </c>
      <c r="S104" s="143" t="n">
        <v>2522.142516424842</v>
      </c>
      <c r="T104" s="144" t="n">
        <v>496003.1315489453</v>
      </c>
      <c r="V104" s="142" t="n">
        <v>251737.4793724213</v>
      </c>
      <c r="W104" s="143" t="n">
        <v>246547.2494316064</v>
      </c>
      <c r="X104" s="143" t="n">
        <v>3845.468296768772</v>
      </c>
      <c r="Y104" s="143" t="n">
        <v>2747.025908881708</v>
      </c>
      <c r="Z104" s="144" t="n">
        <v>504879.6948764177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3772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523801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RxAdvance HTA Groups Rebate1 - M003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01/01/2025</t>
        </is>
      </c>
      <c r="AD17" s="4" t="n"/>
      <c r="AE17" s="4" t="n"/>
      <c r="AF17" s="6" t="n">
        <v>2031</v>
      </c>
    </row>
    <row r="18">
      <c r="B18" s="4" t="n"/>
      <c r="C18" s="4" t="inlineStr">
        <is>
          <t>End Date:</t>
        </is>
      </c>
      <c r="D18" s="116" t="inlineStr">
        <is>
          <t>11/30/2025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11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2031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32107</v>
      </c>
      <c r="E25" s="40" t="n">
        <v>1153747.5</v>
      </c>
      <c r="F25" s="40" t="n">
        <v>965679</v>
      </c>
      <c r="G25" s="41" t="n">
        <v>35.93445354595571</v>
      </c>
      <c r="H25" s="42" t="n">
        <v>30.07689911857227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10848588.39050994</v>
      </c>
      <c r="AI25" s="46" t="n">
        <v>14046.48861959049</v>
      </c>
      <c r="AK25" s="120" t="n">
        <v>1</v>
      </c>
      <c r="AL25" s="44" t="inlineStr">
        <is>
          <t>BIKTARVY</t>
        </is>
      </c>
      <c r="AM25" s="44" t="inlineStr">
        <is>
          <t>HIV-MULTICLASS COMBO</t>
        </is>
      </c>
      <c r="AN25" s="48" t="n">
        <v>118.8701134849275</v>
      </c>
    </row>
    <row r="26">
      <c r="B26" s="49" t="inlineStr">
        <is>
          <t>Retail 90</t>
        </is>
      </c>
      <c r="C26" s="10" t="n"/>
      <c r="D26" s="50" t="n">
        <v>16331</v>
      </c>
      <c r="E26" s="51" t="n">
        <v>1569823.89</v>
      </c>
      <c r="F26" s="51" t="n">
        <v>1189067</v>
      </c>
      <c r="G26" s="52" t="n">
        <v>96.12539893454166</v>
      </c>
      <c r="H26" s="53" t="n">
        <v>72.8104218970057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DUPIXENT</t>
        </is>
      </c>
      <c r="AG26" t="inlineStr">
        <is>
          <t>CHRONIC INFLAMMATORY DISEASE</t>
        </is>
      </c>
      <c r="AH26" s="122" t="n">
        <v>1749400.945168103</v>
      </c>
      <c r="AI26" s="56" t="n">
        <v>1243.579383973071</v>
      </c>
      <c r="AK26" s="123" t="n">
        <v>2</v>
      </c>
      <c r="AL26" t="inlineStr">
        <is>
          <t>FREESTYLE LIBRE 3 PLUS/SENSOR/GLUCOSE MONITORING SYSTEM</t>
        </is>
      </c>
      <c r="AM26" t="inlineStr">
        <is>
          <t>DIABETES MONITORING AND TESTING SUPPLIES</t>
        </is>
      </c>
      <c r="AN26" s="58" t="n">
        <v>1959.563071204127</v>
      </c>
    </row>
    <row r="27" ht="15" customHeight="1" thickBot="1">
      <c r="B27" s="59" t="inlineStr">
        <is>
          <t>Mail</t>
        </is>
      </c>
      <c r="C27" s="10" t="n"/>
      <c r="D27" s="60" t="n">
        <v>271</v>
      </c>
      <c r="E27" s="61" t="n">
        <v>31455</v>
      </c>
      <c r="F27" s="61" t="n">
        <v>23764</v>
      </c>
      <c r="G27" s="62" t="n">
        <v>116.070110701107</v>
      </c>
      <c r="H27" s="63" t="n">
        <v>87.69003690036901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SKYRIZI PEN</t>
        </is>
      </c>
      <c r="AG27" t="inlineStr">
        <is>
          <t>IMMUNOMODULATORS</t>
        </is>
      </c>
      <c r="AH27" s="122" t="n">
        <v>1278546.02373184</v>
      </c>
      <c r="AI27" s="56" t="n">
        <v>124.4909448484157</v>
      </c>
      <c r="AK27" s="123" t="n">
        <v>3</v>
      </c>
      <c r="AL27" t="inlineStr">
        <is>
          <t>ROZLYTREK</t>
        </is>
      </c>
      <c r="AM27" t="inlineStr">
        <is>
          <t>ONCOLOGY</t>
        </is>
      </c>
      <c r="AN27" s="58" t="n">
        <v>11.42355646296719</v>
      </c>
    </row>
    <row r="28" ht="15" customHeight="1" thickTop="1">
      <c r="B28" s="64" t="inlineStr">
        <is>
          <t>Non-Specialty</t>
        </is>
      </c>
      <c r="C28" s="10" t="n"/>
      <c r="D28" s="65" t="n">
        <v>48709</v>
      </c>
      <c r="E28" s="66" t="n">
        <v>2755026.39</v>
      </c>
      <c r="F28" s="66" t="n">
        <v>2178510</v>
      </c>
      <c r="G28" s="67" t="n">
        <v>56.56093103943829</v>
      </c>
      <c r="H28" s="68" t="n">
        <v>44.72499948674783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SKYRIZI</t>
        </is>
      </c>
      <c r="AG28" t="inlineStr">
        <is>
          <t>IMMUNOMODULATORS</t>
        </is>
      </c>
      <c r="AH28" s="122" t="n">
        <v>1063773.217457393</v>
      </c>
      <c r="AI28" s="56" t="n">
        <v>92.68558765879804</v>
      </c>
      <c r="AK28" s="123" t="n">
        <v>4</v>
      </c>
      <c r="AL28" t="inlineStr">
        <is>
          <t>OHTUVAYRE</t>
        </is>
      </c>
      <c r="AM28" t="inlineStr">
        <is>
          <t>PDE3 &amp; PDE4 INHIBITORS</t>
        </is>
      </c>
      <c r="AN28" s="58" t="n">
        <v>72.16289384454069</v>
      </c>
    </row>
    <row r="29" ht="15" customHeight="1" thickBot="1">
      <c r="B29" s="59" t="inlineStr">
        <is>
          <t>Specialty</t>
        </is>
      </c>
      <c r="C29" s="10" t="n"/>
      <c r="D29" s="60" t="n">
        <v>1746</v>
      </c>
      <c r="E29" s="61" t="n">
        <v>37134.48</v>
      </c>
      <c r="F29" s="61" t="n">
        <v>98497</v>
      </c>
      <c r="G29" s="62" t="n">
        <v>21.26831615120275</v>
      </c>
      <c r="H29" s="63" t="n">
        <v>56.41294387170676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HUMIRA PEN</t>
        </is>
      </c>
      <c r="AG29" t="inlineStr">
        <is>
          <t>IMMUNOMODULATORS</t>
        </is>
      </c>
      <c r="AH29" s="122" t="n">
        <v>939863.2018768769</v>
      </c>
      <c r="AI29" s="56" t="n">
        <v>207.8023572318635</v>
      </c>
      <c r="AK29" s="123" t="n">
        <v>5</v>
      </c>
      <c r="AL29" t="inlineStr">
        <is>
          <t>NEXLIZET</t>
        </is>
      </c>
      <c r="AM29" t="inlineStr">
        <is>
          <t>ACL INHIBITORS &amp; COMBOS</t>
        </is>
      </c>
      <c r="AN29" s="58" t="n">
        <v>260.2205758041319</v>
      </c>
    </row>
    <row r="30" ht="15.6" customHeight="1" thickBot="1" thickTop="1">
      <c r="B30" s="69" t="inlineStr">
        <is>
          <t>Total</t>
        </is>
      </c>
      <c r="C30" s="10" t="n"/>
      <c r="D30" s="70" t="n">
        <v>50455</v>
      </c>
      <c r="E30" s="71" t="n">
        <v>2792160.87</v>
      </c>
      <c r="F30" s="71" t="n">
        <v>2277007</v>
      </c>
      <c r="G30" s="72" t="n">
        <v>55.33962679615498</v>
      </c>
      <c r="H30" s="73" t="n">
        <v>45.12946189673967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TRULICITY</t>
        </is>
      </c>
      <c r="AG30" t="inlineStr">
        <is>
          <t>GLUCAGON-LIKE PEPTIDE-1 AGONISTS (GLP1)</t>
        </is>
      </c>
      <c r="AH30" s="122" t="n">
        <v>877330.1049599651</v>
      </c>
      <c r="AI30" s="56" t="n">
        <v>1161.336171445251</v>
      </c>
      <c r="AK30" s="123" t="n">
        <v>6</v>
      </c>
      <c r="AL30" t="inlineStr">
        <is>
          <t>PRIVIGEN</t>
        </is>
      </c>
      <c r="AM30" t="inlineStr">
        <is>
          <t>IMMUNE SERUMS</t>
        </is>
      </c>
      <c r="AN30" s="58" t="n">
        <v>17.27921766000224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BREZTRI AEROSPHERE</t>
        </is>
      </c>
      <c r="AG31" t="inlineStr">
        <is>
          <t>LABA LAMA COMBO</t>
        </is>
      </c>
      <c r="AH31" s="122" t="n">
        <v>850406.2874302724</v>
      </c>
      <c r="AI31" s="56" t="n">
        <v>1450.015145446814</v>
      </c>
      <c r="AK31" s="123" t="n">
        <v>7</v>
      </c>
      <c r="AL31" t="inlineStr">
        <is>
          <t>KISQALI</t>
        </is>
      </c>
      <c r="AM31" t="inlineStr">
        <is>
          <t>ONCOLOGY</t>
        </is>
      </c>
      <c r="AN31" s="58" t="n">
        <v>8.66668340277576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RINVOQ</t>
        </is>
      </c>
      <c r="AG32" t="inlineStr">
        <is>
          <t>IMMUNOMODULATORS</t>
        </is>
      </c>
      <c r="AH32" s="122" t="n">
        <v>630970.5459087702</v>
      </c>
      <c r="AI32" s="56" t="n">
        <v>160.1194938565857</v>
      </c>
      <c r="AK32" s="123" t="n">
        <v>8</v>
      </c>
      <c r="AL32" t="inlineStr">
        <is>
          <t>JUBBONTI</t>
        </is>
      </c>
      <c r="AM32" t="inlineStr">
        <is>
          <t>OSTEOPOROSIS AGENTS</t>
        </is>
      </c>
      <c r="AN32" s="58" t="n">
        <v>87.42734641438528</v>
      </c>
    </row>
    <row r="33">
      <c r="B33" s="38" t="inlineStr">
        <is>
          <t>Retail 30</t>
        </is>
      </c>
      <c r="C33" s="10" t="n"/>
      <c r="D33" s="39" t="n">
        <v>211717</v>
      </c>
      <c r="E33" s="40" t="n">
        <v>11764762.997</v>
      </c>
      <c r="F33" s="40" t="n">
        <v>5096858</v>
      </c>
      <c r="G33" s="41" t="n">
        <v>55.56834357656682</v>
      </c>
      <c r="H33" s="42" t="n">
        <v>24.07391943018274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ERLEADA</t>
        </is>
      </c>
      <c r="AG33" t="inlineStr">
        <is>
          <t>ONCOLOGY</t>
        </is>
      </c>
      <c r="AH33" s="122" t="n">
        <v>486031.0345344367</v>
      </c>
      <c r="AI33" s="56" t="n">
        <v>88.53256258799576</v>
      </c>
      <c r="AK33" s="123" t="n">
        <v>9</v>
      </c>
      <c r="AL33" t="inlineStr">
        <is>
          <t>KERENDIA</t>
        </is>
      </c>
      <c r="AM33" t="inlineStr">
        <is>
          <t>NON-STEROIDAL MINERALOCORTICOID RECEPTOR ANTAGONISTS</t>
        </is>
      </c>
      <c r="AN33" s="58" t="n">
        <v>120.8898737987699</v>
      </c>
    </row>
    <row r="34">
      <c r="B34" s="49" t="inlineStr">
        <is>
          <t>Retail 90</t>
        </is>
      </c>
      <c r="C34" s="10" t="n"/>
      <c r="D34" s="50" t="n">
        <v>222457</v>
      </c>
      <c r="E34" s="51" t="n">
        <v>23360198.918</v>
      </c>
      <c r="F34" s="51" t="n">
        <v>19365597</v>
      </c>
      <c r="G34" s="52" t="n">
        <v>105.0099521165888</v>
      </c>
      <c r="H34" s="53" t="n">
        <v>87.05321477858642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GEMTESA</t>
        </is>
      </c>
      <c r="AG34" t="inlineStr">
        <is>
          <t>URINARY ANTISPASMODICS &amp; OAB DRUGS</t>
        </is>
      </c>
      <c r="AH34" s="122" t="n">
        <v>447169.7211032961</v>
      </c>
      <c r="AI34" s="56" t="n">
        <v>680.8983455187633</v>
      </c>
      <c r="AK34" s="123" t="n">
        <v>10</v>
      </c>
      <c r="AL34" t="inlineStr">
        <is>
          <t>LYSODREN</t>
        </is>
      </c>
      <c r="AM34" t="inlineStr">
        <is>
          <t>ONCOLOGY</t>
        </is>
      </c>
      <c r="AN34" s="58" t="n">
        <v>11.38142266532147</v>
      </c>
    </row>
    <row r="35" ht="15" customHeight="1" thickBot="1">
      <c r="B35" s="59" t="inlineStr">
        <is>
          <t>Mail</t>
        </is>
      </c>
      <c r="C35" s="10" t="n"/>
      <c r="D35" s="60" t="n">
        <v>3473</v>
      </c>
      <c r="E35" s="61" t="n">
        <v>403203.3</v>
      </c>
      <c r="F35" s="61" t="n">
        <v>307998</v>
      </c>
      <c r="G35" s="62" t="n">
        <v>116.0965447739706</v>
      </c>
      <c r="H35" s="63" t="n">
        <v>88.68355888281025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CREON</t>
        </is>
      </c>
      <c r="AG35" t="inlineStr">
        <is>
          <t>DIGESTIVE ENZYMES</t>
        </is>
      </c>
      <c r="AH35" s="122" t="n">
        <v>250159.5540040527</v>
      </c>
      <c r="AI35" s="56" t="n">
        <v>205.7079113253324</v>
      </c>
      <c r="AK35" s="123" t="n">
        <v>11</v>
      </c>
      <c r="AL35" t="inlineStr">
        <is>
          <t>DESCOVY</t>
        </is>
      </c>
      <c r="AM35" t="inlineStr">
        <is>
          <t>HIV-MULTICLASS COMBO</t>
        </is>
      </c>
      <c r="AN35" s="58" t="n">
        <v>37.47421868243396</v>
      </c>
    </row>
    <row r="36" ht="15" customHeight="1" thickTop="1">
      <c r="B36" s="64" t="inlineStr">
        <is>
          <t>Non-Specialty</t>
        </is>
      </c>
      <c r="C36" s="10" t="n"/>
      <c r="D36" s="65" t="n">
        <v>437647</v>
      </c>
      <c r="E36" s="66" t="n">
        <v>35528165.215</v>
      </c>
      <c r="F36" s="66" t="n">
        <v>24770453</v>
      </c>
      <c r="G36" s="67" t="n">
        <v>81.1799583111503</v>
      </c>
      <c r="H36" s="68" t="n">
        <v>56.59916096762916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COSENTYX UNOREADY</t>
        </is>
      </c>
      <c r="AG36" t="inlineStr">
        <is>
          <t>IMMUNOMODULATORS</t>
        </is>
      </c>
      <c r="AH36" s="122" t="n">
        <v>249571.0033096265</v>
      </c>
      <c r="AI36" s="56" t="n">
        <v>46.27663763732347</v>
      </c>
      <c r="AK36" s="123" t="n">
        <v>12</v>
      </c>
      <c r="AL36" t="inlineStr">
        <is>
          <t>KESIMPTA</t>
        </is>
      </c>
      <c r="AM36" t="inlineStr">
        <is>
          <t>MS</t>
        </is>
      </c>
      <c r="AN36" s="58" t="n">
        <v>6.979426523917289</v>
      </c>
    </row>
    <row r="37" ht="15" customHeight="1" thickBot="1">
      <c r="B37" s="59" t="inlineStr">
        <is>
          <t>Specialty</t>
        </is>
      </c>
      <c r="C37" s="10" t="n"/>
      <c r="D37" s="60" t="n">
        <v>292</v>
      </c>
      <c r="E37" s="61" t="n">
        <v>35656.4</v>
      </c>
      <c r="F37" s="61" t="n">
        <v>9993</v>
      </c>
      <c r="G37" s="62" t="n">
        <v>122.1109589041096</v>
      </c>
      <c r="H37" s="63" t="n">
        <v>34.22260273972603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COSENTYX SENSOREADY PEN</t>
        </is>
      </c>
      <c r="AG37" t="inlineStr">
        <is>
          <t>IMMUNOMODULATORS</t>
        </is>
      </c>
      <c r="AH37" s="122" t="n">
        <v>192842.1910744352</v>
      </c>
      <c r="AI37" s="56" t="n">
        <v>39.70692345325912</v>
      </c>
      <c r="AK37" s="123" t="n">
        <v>13</v>
      </c>
      <c r="AL37" t="inlineStr">
        <is>
          <t>WEZLANA</t>
        </is>
      </c>
      <c r="AM37" t="inlineStr">
        <is>
          <t>IMMUNOMODULATORS</t>
        </is>
      </c>
      <c r="AN37" s="58" t="n">
        <v>2.272842728992601</v>
      </c>
    </row>
    <row r="38" ht="15.6" customHeight="1" thickBot="1" thickTop="1">
      <c r="B38" s="69" t="inlineStr">
        <is>
          <t>Total</t>
        </is>
      </c>
      <c r="C38" s="10" t="n"/>
      <c r="D38" s="70" t="n">
        <v>437939</v>
      </c>
      <c r="E38" s="71" t="n">
        <v>35563821.615</v>
      </c>
      <c r="F38" s="71" t="n">
        <v>24780446</v>
      </c>
      <c r="G38" s="72" t="n">
        <v>81.20724944569906</v>
      </c>
      <c r="H38" s="73" t="n">
        <v>56.58424118427452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EMGALITY</t>
        </is>
      </c>
      <c r="AG38" t="inlineStr">
        <is>
          <t>MIGRAINE PRODUCTS</t>
        </is>
      </c>
      <c r="AH38" s="122" t="n">
        <v>167388.145623254</v>
      </c>
      <c r="AI38" s="56" t="n">
        <v>274.1764525795489</v>
      </c>
      <c r="AK38" s="123" t="n">
        <v>14</v>
      </c>
      <c r="AL38" t="inlineStr">
        <is>
          <t>IMPAVIDO</t>
        </is>
      </c>
      <c r="AM38" t="inlineStr">
        <is>
          <t>ANTI-INFECTIVE AGENTS - MISC.</t>
        </is>
      </c>
      <c r="AN38" s="58" t="n">
        <v>1.482911839774461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ZENPEP</t>
        </is>
      </c>
      <c r="AG39" t="inlineStr">
        <is>
          <t>DIGESTIVE ENZYMES</t>
        </is>
      </c>
      <c r="AH39" s="122" t="n">
        <v>146562.6234130948</v>
      </c>
      <c r="AI39" s="56" t="n">
        <v>46.64307291679049</v>
      </c>
      <c r="AK39" s="123" t="n">
        <v>15</v>
      </c>
      <c r="AL39" t="inlineStr">
        <is>
          <t>BIMZELX</t>
        </is>
      </c>
      <c r="AM39" t="inlineStr">
        <is>
          <t>CHRONIC INFLAMMATORY DISEASE</t>
        </is>
      </c>
      <c r="AN39" s="58" t="n">
        <v>3.409264093488901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OMNIPOD 5 DEXCOM G7G6 PODS (GEN 5)</t>
        </is>
      </c>
      <c r="AG40" t="inlineStr">
        <is>
          <t>INSULIN ADMINISTRATION SUPPLIES</t>
        </is>
      </c>
      <c r="AH40" s="122" t="n">
        <v>142628.8963394387</v>
      </c>
      <c r="AI40" s="56" t="n">
        <v>389.3494284723204</v>
      </c>
      <c r="AK40" s="123" t="n">
        <v>16</v>
      </c>
      <c r="AL40" t="inlineStr">
        <is>
          <t>GENVOYA</t>
        </is>
      </c>
      <c r="AM40" t="inlineStr">
        <is>
          <t>HIV-MULTICLASS COMBO</t>
        </is>
      </c>
      <c r="AN40" s="58" t="n">
        <v>3.834519789836371</v>
      </c>
    </row>
    <row r="41">
      <c r="B41" s="38" t="inlineStr">
        <is>
          <t>Retail 30</t>
        </is>
      </c>
      <c r="C41" s="10" t="n"/>
      <c r="D41" s="39" t="n">
        <v>243824</v>
      </c>
      <c r="E41" s="40" t="n">
        <v>12918510.497</v>
      </c>
      <c r="F41" s="40" t="n">
        <v>6062537</v>
      </c>
      <c r="G41" s="41" t="n">
        <v>52.98293234874335</v>
      </c>
      <c r="H41" s="42" t="n">
        <v>24.86439809042588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PROLIA</t>
        </is>
      </c>
      <c r="AG41" t="inlineStr">
        <is>
          <t>OSTEOPOROSIS AGENTS</t>
        </is>
      </c>
      <c r="AH41" s="122" t="n">
        <v>128360.7324719577</v>
      </c>
      <c r="AI41" s="56" t="n">
        <v>262.2820392431559</v>
      </c>
      <c r="AK41" s="123" t="n">
        <v>17</v>
      </c>
      <c r="AL41" t="inlineStr">
        <is>
          <t>ACTEMRA ACTPEN</t>
        </is>
      </c>
      <c r="AM41" t="inlineStr">
        <is>
          <t>IMMUNOMODULATORS</t>
        </is>
      </c>
      <c r="AN41" s="58" t="n">
        <v>12.27335073656004</v>
      </c>
    </row>
    <row r="42">
      <c r="B42" s="49" t="inlineStr">
        <is>
          <t>Retail 90</t>
        </is>
      </c>
      <c r="C42" s="10" t="n"/>
      <c r="D42" s="50" t="n">
        <v>238788</v>
      </c>
      <c r="E42" s="51" t="n">
        <v>24930022.808</v>
      </c>
      <c r="F42" s="51" t="n">
        <v>20554664</v>
      </c>
      <c r="G42" s="52" t="n">
        <v>104.4023267835905</v>
      </c>
      <c r="H42" s="53" t="n">
        <v>86.07913295475484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PAXLOVID</t>
        </is>
      </c>
      <c r="AG42" t="inlineStr">
        <is>
          <t>MISC. ANTIVIRALS</t>
        </is>
      </c>
      <c r="AH42" s="122" t="n">
        <v>121132.368215234</v>
      </c>
      <c r="AI42" s="56" t="n">
        <v>388.1193479746918</v>
      </c>
      <c r="AK42" s="123" t="n">
        <v>18</v>
      </c>
      <c r="AL42" t="inlineStr">
        <is>
          <t>TREMFYA</t>
        </is>
      </c>
      <c r="AM42" t="inlineStr">
        <is>
          <t>IMMUNOMODULATORS</t>
        </is>
      </c>
      <c r="AN42" s="58" t="n">
        <v>3.4092640934889</v>
      </c>
    </row>
    <row r="43" ht="15" customHeight="1" thickBot="1">
      <c r="B43" s="59" t="inlineStr">
        <is>
          <t>Mail</t>
        </is>
      </c>
      <c r="C43" s="10" t="n"/>
      <c r="D43" s="60" t="n">
        <v>3744</v>
      </c>
      <c r="E43" s="61" t="n">
        <v>434658.3</v>
      </c>
      <c r="F43" s="61" t="n">
        <v>331762</v>
      </c>
      <c r="G43" s="62" t="n">
        <v>116.0946314102564</v>
      </c>
      <c r="H43" s="63" t="n">
        <v>88.61164529914529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LOKELMA</t>
        </is>
      </c>
      <c r="AG43" t="inlineStr">
        <is>
          <t>POTASSIUM REMOVING AGENTS</t>
        </is>
      </c>
      <c r="AH43" s="122" t="n">
        <v>111019.7281394574</v>
      </c>
      <c r="AI43" s="56" t="n">
        <v>151.6245874764233</v>
      </c>
      <c r="AK43" s="123" t="n">
        <v>19</v>
      </c>
      <c r="AL43" t="inlineStr">
        <is>
          <t>SYMTUZA</t>
        </is>
      </c>
      <c r="AM43" t="inlineStr">
        <is>
          <t>HIV-MULTICLASS COMBO</t>
        </is>
      </c>
      <c r="AN43" s="58" t="n">
        <v>8.947212842951533</v>
      </c>
    </row>
    <row r="44" ht="15.6" customHeight="1" thickBot="1" thickTop="1">
      <c r="B44" s="64" t="inlineStr">
        <is>
          <t>Non-Specialty</t>
        </is>
      </c>
      <c r="C44" s="10" t="n"/>
      <c r="D44" s="65" t="n">
        <v>486356</v>
      </c>
      <c r="E44" s="66" t="n">
        <v>38283191.605</v>
      </c>
      <c r="F44" s="66" t="n">
        <v>26948963</v>
      </c>
      <c r="G44" s="67" t="n">
        <v>78.71434012328417</v>
      </c>
      <c r="H44" s="68" t="n">
        <v>55.40995279178215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AIMOVIG</t>
        </is>
      </c>
      <c r="AG44" s="82" t="inlineStr">
        <is>
          <t>MIGRAINE PRODUCTS</t>
        </is>
      </c>
      <c r="AH44" s="125" t="n">
        <v>104347.41443705</v>
      </c>
      <c r="AI44" s="84" t="n">
        <v>209.1982181531818</v>
      </c>
      <c r="AK44" s="126" t="n">
        <v>20</v>
      </c>
      <c r="AL44" s="86" t="inlineStr">
        <is>
          <t>CIMZIA</t>
        </is>
      </c>
      <c r="AM44" s="86" t="inlineStr">
        <is>
          <t>IMMUNOMODULATORS</t>
        </is>
      </c>
      <c r="AN44" s="87" t="n">
        <v>5.454822549582245</v>
      </c>
    </row>
    <row r="45" ht="15" customHeight="1" thickBot="1">
      <c r="B45" s="59" t="inlineStr">
        <is>
          <t>Specialty</t>
        </is>
      </c>
      <c r="C45" s="10" t="n"/>
      <c r="D45" s="60" t="n">
        <v>2038</v>
      </c>
      <c r="E45" s="61" t="n">
        <v>72790.88</v>
      </c>
      <c r="F45" s="61" t="n">
        <v>108490</v>
      </c>
      <c r="G45" s="62" t="n">
        <v>35.71682041216879</v>
      </c>
      <c r="H45" s="63" t="n">
        <v>53.23356231599607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488394</v>
      </c>
      <c r="E46" s="71" t="n">
        <v>38355982.485</v>
      </c>
      <c r="F46" s="71" t="n">
        <v>27057453</v>
      </c>
      <c r="G46" s="72" t="n">
        <v>78.53491747441615</v>
      </c>
      <c r="H46" s="73" t="n">
        <v>55.40087101807148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11725918.49546991</v>
      </c>
      <c r="AH49" s="46" t="n">
        <v>15207.82479103575</v>
      </c>
    </row>
    <row r="50" ht="15" customHeight="1" thickBot="1">
      <c r="AE50" s="121" t="n">
        <v>2</v>
      </c>
      <c r="AF50" t="inlineStr">
        <is>
          <t>IMMUNOMODULATORS</t>
        </is>
      </c>
      <c r="AG50" s="122" t="n">
        <v>4640556.966857675</v>
      </c>
      <c r="AH50" s="56" t="n">
        <v>828.4194522121426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2031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CHRONIC INFLAMMATORY DISEASE</t>
        </is>
      </c>
      <c r="AG51" s="122" t="n">
        <v>1749400.945168103</v>
      </c>
      <c r="AH51" s="56" t="n">
        <v>1249.889875332569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LABA LAMA COMBO</t>
        </is>
      </c>
      <c r="AG52" s="122" t="n">
        <v>857604.2104772486</v>
      </c>
      <c r="AH52" s="56" t="n">
        <v>1591.449898611768</v>
      </c>
    </row>
    <row r="53">
      <c r="B53" s="38" t="inlineStr">
        <is>
          <t>OTCs</t>
        </is>
      </c>
      <c r="D53" s="127" t="n">
        <v>1347</v>
      </c>
      <c r="E53" s="128" t="n">
        <v>1403</v>
      </c>
      <c r="F53" s="128" t="n">
        <v>16</v>
      </c>
      <c r="G53" s="128" t="n">
        <v>0</v>
      </c>
      <c r="H53" s="129" t="n">
        <v>2766</v>
      </c>
      <c r="J53" s="127" t="n">
        <v>1360.461874663778</v>
      </c>
      <c r="K53" s="128" t="n">
        <v>1442.583703144494</v>
      </c>
      <c r="L53" s="128" t="n">
        <v>16.81060051458184</v>
      </c>
      <c r="M53" s="128" t="n">
        <v>0</v>
      </c>
      <c r="N53" s="129" t="n">
        <v>2819.856178322854</v>
      </c>
      <c r="P53" s="127" t="n">
        <v>1374.950469289653</v>
      </c>
      <c r="Q53" s="128" t="n">
        <v>1467.885546217304</v>
      </c>
      <c r="R53" s="128" t="n">
        <v>17.34055365383277</v>
      </c>
      <c r="S53" s="128" t="n">
        <v>0</v>
      </c>
      <c r="T53" s="129" t="n">
        <v>2860.176569160789</v>
      </c>
      <c r="V53" s="127" t="n">
        <v>1391.766589336762</v>
      </c>
      <c r="W53" s="128" t="n">
        <v>1490.435200163811</v>
      </c>
      <c r="X53" s="128" t="n">
        <v>17.72189602814375</v>
      </c>
      <c r="Y53" s="128" t="n">
        <v>0</v>
      </c>
      <c r="Z53" s="129" t="n">
        <v>2899.923685528717</v>
      </c>
      <c r="AE53" s="121" t="n">
        <v>5</v>
      </c>
      <c r="AF53" t="inlineStr">
        <is>
          <t>ONCOLOGY</t>
        </is>
      </c>
      <c r="AG53" s="122" t="n">
        <v>486031.0345344367</v>
      </c>
      <c r="AH53" s="56" t="n">
        <v>124.2025011145804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URINARY ANTISPASMODICS &amp; OAB DRUGS</t>
        </is>
      </c>
      <c r="AG54" s="122" t="n">
        <v>447169.7211032961</v>
      </c>
      <c r="AH54" s="56" t="n">
        <v>680.9286525667835</v>
      </c>
    </row>
    <row r="55">
      <c r="B55" s="64" t="inlineStr">
        <is>
          <t>Vaccines</t>
        </is>
      </c>
      <c r="D55" s="130" t="n">
        <v>9389</v>
      </c>
      <c r="E55" s="131" t="n">
        <v>7</v>
      </c>
      <c r="F55" s="131" t="n">
        <v>0</v>
      </c>
      <c r="G55" s="131" t="n">
        <v>0</v>
      </c>
      <c r="H55" s="132" t="n">
        <v>9396</v>
      </c>
      <c r="J55" s="130" t="n">
        <v>9604.744793221946</v>
      </c>
      <c r="K55" s="131" t="n">
        <v>7.468734608523377</v>
      </c>
      <c r="L55" s="131" t="n">
        <v>0</v>
      </c>
      <c r="M55" s="131" t="n">
        <v>0</v>
      </c>
      <c r="N55" s="132" t="n">
        <v>9612.213527830469</v>
      </c>
      <c r="P55" s="130" t="n">
        <v>9711.100612668353</v>
      </c>
      <c r="Q55" s="131" t="n">
        <v>7.681420291833214</v>
      </c>
      <c r="R55" s="131" t="n">
        <v>0</v>
      </c>
      <c r="S55" s="131" t="n">
        <v>0</v>
      </c>
      <c r="T55" s="132" t="n">
        <v>9718.782032960187</v>
      </c>
      <c r="V55" s="130" t="n">
        <v>9788.465905473897</v>
      </c>
      <c r="W55" s="131" t="n">
        <v>7.841870691875749</v>
      </c>
      <c r="X55" s="131" t="n">
        <v>0</v>
      </c>
      <c r="Y55" s="131" t="n">
        <v>0</v>
      </c>
      <c r="Z55" s="132" t="n">
        <v>9796.307776165773</v>
      </c>
      <c r="AE55" s="121" t="n">
        <v>7</v>
      </c>
      <c r="AF55" t="inlineStr">
        <is>
          <t>MIGRAINE PRODUCTS</t>
        </is>
      </c>
      <c r="AG55" s="122" t="n">
        <v>417602.2042992125</v>
      </c>
      <c r="AH55" s="56" t="n">
        <v>614.9159745714738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DIGESTIVE ENZYMES</t>
        </is>
      </c>
      <c r="AG56" s="122" t="n">
        <v>396722.1774171474</v>
      </c>
      <c r="AH56" s="56" t="n">
        <v>252.3509842421229</v>
      </c>
    </row>
    <row r="57">
      <c r="B57" s="64" t="inlineStr">
        <is>
          <t>MSBs</t>
        </is>
      </c>
      <c r="D57" s="130" t="n">
        <v>2931</v>
      </c>
      <c r="E57" s="131" t="n">
        <v>1459</v>
      </c>
      <c r="F57" s="131" t="n">
        <v>29</v>
      </c>
      <c r="G57" s="131" t="n">
        <v>87</v>
      </c>
      <c r="H57" s="132" t="n">
        <v>4506</v>
      </c>
      <c r="J57" s="130" t="n">
        <v>1744.054218418617</v>
      </c>
      <c r="K57" s="131" t="n">
        <v>1050.980920266796</v>
      </c>
      <c r="L57" s="131" t="n">
        <v>13.46605752084745</v>
      </c>
      <c r="M57" s="131" t="n">
        <v>41.96486816008204</v>
      </c>
      <c r="N57" s="132" t="n">
        <v>2850.466064366342</v>
      </c>
      <c r="P57" s="130" t="n">
        <v>1635.212972539078</v>
      </c>
      <c r="Q57" s="131" t="n">
        <v>1001.385901888838</v>
      </c>
      <c r="R57" s="131" t="n">
        <v>11.50133525344111</v>
      </c>
      <c r="S57" s="131" t="n">
        <v>41.68803870239996</v>
      </c>
      <c r="T57" s="132" t="n">
        <v>2689.788248383757</v>
      </c>
      <c r="V57" s="130" t="n">
        <v>1409.614172356645</v>
      </c>
      <c r="W57" s="131" t="n">
        <v>964.2203879681116</v>
      </c>
      <c r="X57" s="131" t="n">
        <v>9.80421488211929</v>
      </c>
      <c r="Y57" s="131" t="n">
        <v>42.13077516565712</v>
      </c>
      <c r="Z57" s="132" t="n">
        <v>2425.769550372533</v>
      </c>
      <c r="AE57" s="121" t="n">
        <v>9</v>
      </c>
      <c r="AF57" t="inlineStr">
        <is>
          <t>INSULIN ADMINISTRATION SUPPLIES</t>
        </is>
      </c>
      <c r="AG57" s="122" t="n">
        <v>220965.9439988103</v>
      </c>
      <c r="AH57" s="56" t="n">
        <v>534.4011763345574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BASAL INSULIN</t>
        </is>
      </c>
      <c r="AG58" s="122" t="n">
        <v>161828.2428229158</v>
      </c>
      <c r="AH58" s="56" t="n">
        <v>1358.175937345779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1143</v>
      </c>
      <c r="H59" s="132" t="n">
        <v>1143</v>
      </c>
      <c r="J59" s="130" t="n">
        <v>0</v>
      </c>
      <c r="K59" s="131" t="n">
        <v>0</v>
      </c>
      <c r="L59" s="131" t="n">
        <v>0</v>
      </c>
      <c r="M59" s="131" t="n">
        <v>1251.272016547032</v>
      </c>
      <c r="N59" s="132" t="n">
        <v>1251.272016547032</v>
      </c>
      <c r="P59" s="130" t="n">
        <v>0</v>
      </c>
      <c r="Q59" s="131" t="n">
        <v>0</v>
      </c>
      <c r="R59" s="131" t="n">
        <v>0</v>
      </c>
      <c r="S59" s="131" t="n">
        <v>1340.040023429968</v>
      </c>
      <c r="T59" s="132" t="n">
        <v>1340.040023429968</v>
      </c>
      <c r="V59" s="130" t="n">
        <v>0</v>
      </c>
      <c r="W59" s="131" t="n">
        <v>0</v>
      </c>
      <c r="X59" s="131" t="n">
        <v>0</v>
      </c>
      <c r="Y59" s="131" t="n">
        <v>1395.880080084951</v>
      </c>
      <c r="Z59" s="132" t="n">
        <v>1395.880080084951</v>
      </c>
      <c r="AE59" s="121" t="n">
        <v>11</v>
      </c>
      <c r="AF59" t="inlineStr">
        <is>
          <t>MISC. ANTIVIRALS</t>
        </is>
      </c>
      <c r="AG59" s="122" t="n">
        <v>144552.2903838988</v>
      </c>
      <c r="AH59" s="56" t="n">
        <v>462.2325903015174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OSTEOPOROSIS AGENTS</t>
        </is>
      </c>
      <c r="AG60" s="122" t="n">
        <v>128360.7324719577</v>
      </c>
      <c r="AH60" s="56" t="n">
        <v>361.8165997639837</v>
      </c>
    </row>
    <row r="61">
      <c r="B61" s="64" t="inlineStr">
        <is>
          <t>Formulary Exclusions</t>
        </is>
      </c>
      <c r="D61" s="130" t="n">
        <v>2579</v>
      </c>
      <c r="E61" s="131" t="n">
        <v>785</v>
      </c>
      <c r="F61" s="131" t="n">
        <v>22</v>
      </c>
      <c r="G61" s="131" t="n">
        <v>68</v>
      </c>
      <c r="H61" s="132" t="n">
        <v>3454</v>
      </c>
      <c r="J61" s="130" t="n">
        <v>3475.77049067758</v>
      </c>
      <c r="K61" s="131" t="n">
        <v>1879.236665364516</v>
      </c>
      <c r="L61" s="131" t="n">
        <v>40.88056000062585</v>
      </c>
      <c r="M61" s="131" t="n">
        <v>83.07733275588409</v>
      </c>
      <c r="N61" s="132" t="n">
        <v>5478.965048798607</v>
      </c>
      <c r="P61" s="130" t="n">
        <v>4130.131957310844</v>
      </c>
      <c r="Q61" s="131" t="n">
        <v>2671.817886250134</v>
      </c>
      <c r="R61" s="131" t="n">
        <v>54.47014864180036</v>
      </c>
      <c r="S61" s="131" t="n">
        <v>91.05240222120837</v>
      </c>
      <c r="T61" s="132" t="n">
        <v>6947.472394423987</v>
      </c>
      <c r="V61" s="130" t="n">
        <v>4273.151023763351</v>
      </c>
      <c r="W61" s="131" t="n">
        <v>2806.341432842156</v>
      </c>
      <c r="X61" s="131" t="n">
        <v>57.02415701411742</v>
      </c>
      <c r="Y61" s="131" t="n">
        <v>101.0761670850872</v>
      </c>
      <c r="Z61" s="132" t="n">
        <v>7237.592780704711</v>
      </c>
      <c r="AE61" s="121" t="n">
        <v>13</v>
      </c>
      <c r="AF61" t="inlineStr">
        <is>
          <t>OPHTHALMICS - RHO KINASE INHIBITOR &amp; COMBOS</t>
        </is>
      </c>
      <c r="AG61" s="122" t="n">
        <v>112767.2586924656</v>
      </c>
      <c r="AH61" s="56" t="n">
        <v>261.541913994655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POTASSIUM REMOVING AGENTS</t>
        </is>
      </c>
      <c r="AG62" s="122" t="n">
        <v>111019.7281394574</v>
      </c>
      <c r="AH62" s="56" t="n">
        <v>163.6270054127749</v>
      </c>
    </row>
    <row r="63">
      <c r="B63" s="64" t="inlineStr">
        <is>
          <t>Misc</t>
        </is>
      </c>
      <c r="D63" s="130" t="n">
        <v>1695</v>
      </c>
      <c r="E63" s="131" t="n">
        <v>1331</v>
      </c>
      <c r="F63" s="131" t="n">
        <v>23</v>
      </c>
      <c r="G63" s="131" t="n">
        <v>2</v>
      </c>
      <c r="H63" s="132" t="n">
        <v>3051</v>
      </c>
      <c r="J63" s="130" t="n">
        <v>2399.052334449065</v>
      </c>
      <c r="K63" s="131" t="n">
        <v>1992.31258498821</v>
      </c>
      <c r="L63" s="131" t="n">
        <v>33.57613890171319</v>
      </c>
      <c r="M63" s="131" t="n">
        <v>209.6733577939747</v>
      </c>
      <c r="N63" s="132" t="n">
        <v>4634.614416132963</v>
      </c>
      <c r="P63" s="130" t="n">
        <v>2826.131680913324</v>
      </c>
      <c r="Q63" s="131" t="n">
        <v>2417.817724958292</v>
      </c>
      <c r="R63" s="131" t="n">
        <v>40.463977920018</v>
      </c>
      <c r="S63" s="131" t="n">
        <v>231.3531612844695</v>
      </c>
      <c r="T63" s="132" t="n">
        <v>5515.766545076103</v>
      </c>
      <c r="V63" s="130" t="n">
        <v>3333.582500652559</v>
      </c>
      <c r="W63" s="131" t="n">
        <v>2919.67757570038</v>
      </c>
      <c r="X63" s="131" t="n">
        <v>48.29562868547174</v>
      </c>
      <c r="Y63" s="131" t="n">
        <v>250.4907355877558</v>
      </c>
      <c r="Z63" s="132" t="n">
        <v>6552.046440626166</v>
      </c>
      <c r="AE63" s="121" t="n">
        <v>15</v>
      </c>
      <c r="AF63" t="inlineStr">
        <is>
          <t>LAMA/ACH</t>
        </is>
      </c>
      <c r="AG63" s="122" t="n">
        <v>73337.382206111</v>
      </c>
      <c r="AH63" s="56" t="n">
        <v>178.3339380167246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2</v>
      </c>
      <c r="H64" s="135" t="n">
        <v>2</v>
      </c>
      <c r="J64" s="133" t="n">
        <v>0</v>
      </c>
      <c r="K64" s="134" t="n">
        <v>0</v>
      </c>
      <c r="L64" s="134" t="n">
        <v>0</v>
      </c>
      <c r="M64" s="134" t="n">
        <v>1.61693912030697</v>
      </c>
      <c r="N64" s="135" t="n">
        <v>1.61693912030697</v>
      </c>
      <c r="P64" s="133" t="n">
        <v>0</v>
      </c>
      <c r="Q64" s="134" t="n">
        <v>0</v>
      </c>
      <c r="R64" s="134" t="n">
        <v>0</v>
      </c>
      <c r="S64" s="134" t="n">
        <v>1.640449587259669</v>
      </c>
      <c r="T64" s="135" t="n">
        <v>1.640449587259669</v>
      </c>
      <c r="V64" s="133" t="n">
        <v>0</v>
      </c>
      <c r="W64" s="134" t="n">
        <v>0</v>
      </c>
      <c r="X64" s="134" t="n">
        <v>0</v>
      </c>
      <c r="Y64" s="134" t="n">
        <v>1.709600881596582</v>
      </c>
      <c r="Z64" s="135" t="n">
        <v>1.709600881596582</v>
      </c>
      <c r="AE64" s="121" t="n">
        <v>16</v>
      </c>
      <c r="AF64" t="inlineStr">
        <is>
          <t>OPIOID AGONISTS &amp; COMBOS</t>
        </is>
      </c>
      <c r="AG64" s="122" t="n">
        <v>52645.00752229179</v>
      </c>
      <c r="AH64" s="56" t="n">
        <v>113.6907606405198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 2026, 2027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VASOACTIVE SGC STIMULATOR</t>
        </is>
      </c>
      <c r="AG65" s="122" t="n">
        <v>41037.11839871943</v>
      </c>
      <c r="AH65" s="56" t="n">
        <v>53.27350370793251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BASAL &amp; GLP-1 COMBO</t>
        </is>
      </c>
      <c r="AG66" s="122" t="n">
        <v>36439.43978061579</v>
      </c>
      <c r="AH66" s="56" t="n">
        <v>41.27669682992372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1900.278059066834</v>
      </c>
      <c r="K67" s="140" t="n">
        <v>1114.495647238112</v>
      </c>
      <c r="L67" s="140" t="n">
        <v>22.34085682814803</v>
      </c>
      <c r="M67" s="140" t="n">
        <v>193.8046836844156</v>
      </c>
      <c r="N67" s="141" t="n">
        <v>3230.919246817511</v>
      </c>
      <c r="P67" s="139" t="n">
        <v>1376.52034078133</v>
      </c>
      <c r="Q67" s="140" t="n">
        <v>474.1870466229238</v>
      </c>
      <c r="R67" s="140" t="n">
        <v>10.15020924840391</v>
      </c>
      <c r="S67" s="140" t="n">
        <v>195.9246325159089</v>
      </c>
      <c r="T67" s="141" t="n">
        <v>2056.782229168566</v>
      </c>
      <c r="V67" s="139" t="n">
        <v>1409.31120853687</v>
      </c>
      <c r="W67" s="140" t="n">
        <v>497.2231949594201</v>
      </c>
      <c r="X67" s="140" t="n">
        <v>10.97973574079871</v>
      </c>
      <c r="Y67" s="140" t="n">
        <v>208.2943256733983</v>
      </c>
      <c r="Z67" s="141" t="n">
        <v>2125.808464910487</v>
      </c>
      <c r="AE67" s="121" t="n">
        <v>19</v>
      </c>
      <c r="AF67" t="inlineStr">
        <is>
          <t>RAPID ACTING</t>
        </is>
      </c>
      <c r="AG67" s="122" t="n">
        <v>33298.05883948252</v>
      </c>
      <c r="AH67" s="56" t="n">
        <v>247.3975859697775</v>
      </c>
    </row>
    <row r="68" ht="15.6" customHeight="1" thickBot="1" thickTop="1">
      <c r="B68" s="69" t="inlineStr">
        <is>
          <t>Total</t>
        </is>
      </c>
      <c r="D68" s="142" t="n">
        <v>17941</v>
      </c>
      <c r="E68" s="143" t="n">
        <v>4985</v>
      </c>
      <c r="F68" s="143" t="n">
        <v>90</v>
      </c>
      <c r="G68" s="143" t="n">
        <v>1300</v>
      </c>
      <c r="H68" s="144" t="n">
        <v>24318</v>
      </c>
      <c r="J68" s="142" t="n">
        <v>20484.36177049782</v>
      </c>
      <c r="K68" s="143" t="n">
        <v>7487.078255610652</v>
      </c>
      <c r="L68" s="143" t="n">
        <v>127.0742137659164</v>
      </c>
      <c r="M68" s="143" t="n">
        <v>1779.792258941388</v>
      </c>
      <c r="N68" s="144" t="n">
        <v>29879.92343793609</v>
      </c>
      <c r="P68" s="142" t="n">
        <v>21054.04803350258</v>
      </c>
      <c r="Q68" s="143" t="n">
        <v>8040.775526229325</v>
      </c>
      <c r="R68" s="143" t="n">
        <v>133.9262247174962</v>
      </c>
      <c r="S68" s="143" t="n">
        <v>1900.058258153955</v>
      </c>
      <c r="T68" s="144" t="n">
        <v>31130.44849219062</v>
      </c>
      <c r="V68" s="142" t="n">
        <v>21605.89140012008</v>
      </c>
      <c r="W68" s="143" t="n">
        <v>8685.739662325754</v>
      </c>
      <c r="X68" s="143" t="n">
        <v>143.8256323506509</v>
      </c>
      <c r="Y68" s="143" t="n">
        <v>1997.87208359685</v>
      </c>
      <c r="Z68" s="144" t="n">
        <v>32435.03837927494</v>
      </c>
      <c r="AE68" s="124" t="n">
        <v>20</v>
      </c>
      <c r="AF68" s="82" t="inlineStr">
        <is>
          <t>VAGINAL ESTROGENS</t>
        </is>
      </c>
      <c r="AG68" s="125" t="n">
        <v>29509.45096037862</v>
      </c>
      <c r="AH68" s="84" t="n">
        <v>159.5085771344216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7</v>
      </c>
      <c r="E71" s="128" t="n">
        <v>5</v>
      </c>
      <c r="F71" s="128" t="n">
        <v>0</v>
      </c>
      <c r="G71" s="128" t="n">
        <v>0</v>
      </c>
      <c r="H71" s="129" t="n">
        <v>12</v>
      </c>
      <c r="J71" s="127" t="n">
        <v>7.750518176765181</v>
      </c>
      <c r="K71" s="128" t="n">
        <v>4.33584327075745</v>
      </c>
      <c r="L71" s="128" t="n">
        <v>0</v>
      </c>
      <c r="M71" s="128" t="n">
        <v>0</v>
      </c>
      <c r="N71" s="129" t="n">
        <v>12.08636144752263</v>
      </c>
      <c r="P71" s="127" t="n">
        <v>8.192848110463446</v>
      </c>
      <c r="Q71" s="128" t="n">
        <v>4.071420362981852</v>
      </c>
      <c r="R71" s="128" t="n">
        <v>0</v>
      </c>
      <c r="S71" s="128" t="n">
        <v>0</v>
      </c>
      <c r="T71" s="129" t="n">
        <v>12.2642684734453</v>
      </c>
      <c r="V71" s="127" t="n">
        <v>8.682800100355173</v>
      </c>
      <c r="W71" s="128" t="n">
        <v>3.832345246287813</v>
      </c>
      <c r="X71" s="128" t="n">
        <v>0</v>
      </c>
      <c r="Y71" s="128" t="n">
        <v>0</v>
      </c>
      <c r="Z71" s="129" t="n">
        <v>12.51514534664299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2421</v>
      </c>
      <c r="E75" s="131" t="n">
        <v>373</v>
      </c>
      <c r="F75" s="131" t="n">
        <v>5</v>
      </c>
      <c r="G75" s="131" t="n">
        <v>0</v>
      </c>
      <c r="H75" s="132" t="n">
        <v>2799</v>
      </c>
      <c r="J75" s="130" t="n">
        <v>7197.985321755256</v>
      </c>
      <c r="K75" s="131" t="n">
        <v>2449.55639459372</v>
      </c>
      <c r="L75" s="131" t="n">
        <v>65.41942268273522</v>
      </c>
      <c r="M75" s="131" t="n">
        <v>19.05646504017929</v>
      </c>
      <c r="N75" s="132" t="n">
        <v>9732.017604071891</v>
      </c>
      <c r="P75" s="130" t="n">
        <v>8157.149229625111</v>
      </c>
      <c r="Q75" s="131" t="n">
        <v>2891.426278414408</v>
      </c>
      <c r="R75" s="131" t="n">
        <v>77.95867935544808</v>
      </c>
      <c r="S75" s="131" t="n">
        <v>20.56193962167864</v>
      </c>
      <c r="T75" s="132" t="n">
        <v>11147.09612701665</v>
      </c>
      <c r="V75" s="130" t="n">
        <v>9996.096520677067</v>
      </c>
      <c r="W75" s="131" t="n">
        <v>3404.183159089577</v>
      </c>
      <c r="X75" s="131" t="n">
        <v>96.66477524674978</v>
      </c>
      <c r="Y75" s="131" t="n">
        <v>21.82725051307309</v>
      </c>
      <c r="Z75" s="132" t="n">
        <v>13518.77170552647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68</v>
      </c>
      <c r="H77" s="132" t="n">
        <v>68</v>
      </c>
      <c r="J77" s="130" t="n">
        <v>0</v>
      </c>
      <c r="K77" s="131" t="n">
        <v>0</v>
      </c>
      <c r="L77" s="131" t="n">
        <v>0</v>
      </c>
      <c r="M77" s="131" t="n">
        <v>179.755418341803</v>
      </c>
      <c r="N77" s="132" t="n">
        <v>179.755418341803</v>
      </c>
      <c r="P77" s="130" t="n">
        <v>0</v>
      </c>
      <c r="Q77" s="131" t="n">
        <v>0</v>
      </c>
      <c r="R77" s="131" t="n">
        <v>0</v>
      </c>
      <c r="S77" s="131" t="n">
        <v>232.6051624475786</v>
      </c>
      <c r="T77" s="132" t="n">
        <v>232.6051624475786</v>
      </c>
      <c r="V77" s="130" t="n">
        <v>0</v>
      </c>
      <c r="W77" s="131" t="n">
        <v>0</v>
      </c>
      <c r="X77" s="131" t="n">
        <v>0</v>
      </c>
      <c r="Y77" s="131" t="n">
        <v>302.4812668391931</v>
      </c>
      <c r="Z77" s="132" t="n">
        <v>302.4812668391931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2006</v>
      </c>
      <c r="E79" s="131" t="n">
        <v>2399</v>
      </c>
      <c r="F79" s="131" t="n">
        <v>10</v>
      </c>
      <c r="G79" s="131" t="n">
        <v>23</v>
      </c>
      <c r="H79" s="132" t="n">
        <v>4438</v>
      </c>
      <c r="J79" s="130" t="n">
        <v>2209.568549907321</v>
      </c>
      <c r="K79" s="131" t="n">
        <v>2593.333683184456</v>
      </c>
      <c r="L79" s="131" t="n">
        <v>10.83583126299182</v>
      </c>
      <c r="M79" s="131" t="n">
        <v>26.18930320257346</v>
      </c>
      <c r="N79" s="132" t="n">
        <v>4839.927367557342</v>
      </c>
      <c r="P79" s="130" t="n">
        <v>2292.902614467378</v>
      </c>
      <c r="Q79" s="131" t="n">
        <v>2663.39792184583</v>
      </c>
      <c r="R79" s="131" t="n">
        <v>11.13788013767394</v>
      </c>
      <c r="S79" s="131" t="n">
        <v>27.565414861867</v>
      </c>
      <c r="T79" s="132" t="n">
        <v>4995.00383131275</v>
      </c>
      <c r="V79" s="130" t="n">
        <v>2339.927961197535</v>
      </c>
      <c r="W79" s="131" t="n">
        <v>2717.102643076892</v>
      </c>
      <c r="X79" s="131" t="n">
        <v>11.3701704635769</v>
      </c>
      <c r="Y79" s="131" t="n">
        <v>29.21374271380387</v>
      </c>
      <c r="Z79" s="132" t="n">
        <v>5097.614517451808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0</v>
      </c>
      <c r="K81" s="131" t="n">
        <v>0</v>
      </c>
      <c r="L81" s="131" t="n">
        <v>0</v>
      </c>
      <c r="M81" s="131" t="n">
        <v>0.6342430371881846</v>
      </c>
      <c r="N81" s="132" t="n">
        <v>0.6342430371881846</v>
      </c>
      <c r="P81" s="130" t="n">
        <v>0</v>
      </c>
      <c r="Q81" s="131" t="n">
        <v>0</v>
      </c>
      <c r="R81" s="131" t="n">
        <v>0</v>
      </c>
      <c r="S81" s="131" t="n">
        <v>0.7092703061041448</v>
      </c>
      <c r="T81" s="132" t="n">
        <v>0.7092703061041448</v>
      </c>
      <c r="V81" s="130" t="n">
        <v>0</v>
      </c>
      <c r="W81" s="131" t="n">
        <v>0</v>
      </c>
      <c r="X81" s="131" t="n">
        <v>0</v>
      </c>
      <c r="Y81" s="131" t="n">
        <v>0.7622658580093002</v>
      </c>
      <c r="Z81" s="132" t="n">
        <v>0.7622658580093002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0.6342430371881935</v>
      </c>
      <c r="N82" s="135" t="n">
        <v>0.6342430371881935</v>
      </c>
      <c r="P82" s="133" t="n">
        <v>0</v>
      </c>
      <c r="Q82" s="134" t="n">
        <v>0</v>
      </c>
      <c r="R82" s="134" t="n">
        <v>0</v>
      </c>
      <c r="S82" s="134" t="n">
        <v>0.7092703061041666</v>
      </c>
      <c r="T82" s="135" t="n">
        <v>0.7092703061041666</v>
      </c>
      <c r="V82" s="133" t="n">
        <v>0</v>
      </c>
      <c r="W82" s="134" t="n">
        <v>0</v>
      </c>
      <c r="X82" s="134" t="n">
        <v>0</v>
      </c>
      <c r="Y82" s="134" t="n">
        <v>0.7622658580093674</v>
      </c>
      <c r="Z82" s="135" t="n">
        <v>0.7622658580093674</v>
      </c>
    </row>
    <row r="83">
      <c r="A83" s="98" t="inlineStr">
        <is>
          <t>Added MFP row but needs adjusting for non-CY</t>
        </is>
      </c>
      <c r="B83" s="64" t="inlineStr">
        <is>
          <t>MFP 2026, 2027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212099.4593786842</v>
      </c>
      <c r="K85" s="140" t="n">
        <v>223453.9364003303</v>
      </c>
      <c r="L85" s="140" t="n">
        <v>3494.351149346138</v>
      </c>
      <c r="M85" s="140" t="n">
        <v>328.4039082666113</v>
      </c>
      <c r="N85" s="141" t="n">
        <v>439376.1508366273</v>
      </c>
      <c r="P85" s="139" t="n">
        <v>215866.620434553</v>
      </c>
      <c r="Q85" s="140" t="n">
        <v>228713.3997223013</v>
      </c>
      <c r="R85" s="140" t="n">
        <v>3563.632499004144</v>
      </c>
      <c r="S85" s="140" t="n">
        <v>340.6424710336581</v>
      </c>
      <c r="T85" s="141" t="n">
        <v>448484.2951268921</v>
      </c>
      <c r="V85" s="139" t="n">
        <v>217786.8806903263</v>
      </c>
      <c r="W85" s="140" t="n">
        <v>231736.3916218678</v>
      </c>
      <c r="X85" s="140" t="n">
        <v>3593.607718707795</v>
      </c>
      <c r="Y85" s="140" t="n">
        <v>394.8692993607791</v>
      </c>
      <c r="Z85" s="141" t="n">
        <v>453511.7493302627</v>
      </c>
    </row>
    <row r="86" ht="15.6" customHeight="1" thickBot="1" thickTop="1">
      <c r="B86" s="69" t="inlineStr">
        <is>
          <t>Total</t>
        </is>
      </c>
      <c r="D86" s="142" t="n">
        <v>4434</v>
      </c>
      <c r="E86" s="143" t="n">
        <v>2777</v>
      </c>
      <c r="F86" s="143" t="n">
        <v>15</v>
      </c>
      <c r="G86" s="143" t="n">
        <v>91</v>
      </c>
      <c r="H86" s="144" t="n">
        <v>7317</v>
      </c>
      <c r="J86" s="142" t="n">
        <v>221514.7637685236</v>
      </c>
      <c r="K86" s="143" t="n">
        <v>228501.1623213792</v>
      </c>
      <c r="L86" s="143" t="n">
        <v>3570.606403291865</v>
      </c>
      <c r="M86" s="143" t="n">
        <v>554.0393378883552</v>
      </c>
      <c r="N86" s="144" t="n">
        <v>454141.2060741203</v>
      </c>
      <c r="P86" s="142" t="n">
        <v>226324.8651267559</v>
      </c>
      <c r="Q86" s="143" t="n">
        <v>234272.2953429245</v>
      </c>
      <c r="R86" s="143" t="n">
        <v>3652.729058497267</v>
      </c>
      <c r="S86" s="143" t="n">
        <v>622.0842582708865</v>
      </c>
      <c r="T86" s="144" t="n">
        <v>464872.6830567548</v>
      </c>
      <c r="V86" s="142" t="n">
        <v>230131.5879723013</v>
      </c>
      <c r="W86" s="143" t="n">
        <v>237861.5097692806</v>
      </c>
      <c r="X86" s="143" t="n">
        <v>3701.642664418122</v>
      </c>
      <c r="Y86" s="143" t="n">
        <v>749.1538252848585</v>
      </c>
      <c r="Z86" s="144" t="n">
        <v>472444.6564971429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1354</v>
      </c>
      <c r="E89" s="128" t="n">
        <v>1408</v>
      </c>
      <c r="F89" s="128" t="n">
        <v>16</v>
      </c>
      <c r="G89" s="128" t="n">
        <v>0</v>
      </c>
      <c r="H89" s="129" t="n">
        <v>2778</v>
      </c>
      <c r="J89" s="127" t="n">
        <v>1368.212392840543</v>
      </c>
      <c r="K89" s="128" t="n">
        <v>1446.919546415251</v>
      </c>
      <c r="L89" s="128" t="n">
        <v>16.81060051458184</v>
      </c>
      <c r="M89" s="128" t="n">
        <v>0</v>
      </c>
      <c r="N89" s="129" t="n">
        <v>2831.942539770377</v>
      </c>
      <c r="P89" s="127" t="n">
        <v>1383.143317400116</v>
      </c>
      <c r="Q89" s="128" t="n">
        <v>1471.956966580286</v>
      </c>
      <c r="R89" s="128" t="n">
        <v>17.34055365383277</v>
      </c>
      <c r="S89" s="128" t="n">
        <v>0</v>
      </c>
      <c r="T89" s="129" t="n">
        <v>2872.440837634235</v>
      </c>
      <c r="V89" s="127" t="n">
        <v>1400.449389437117</v>
      </c>
      <c r="W89" s="128" t="n">
        <v>1494.267545410099</v>
      </c>
      <c r="X89" s="128" t="n">
        <v>17.72189602814375</v>
      </c>
      <c r="Y89" s="128" t="n">
        <v>0</v>
      </c>
      <c r="Z89" s="129" t="n">
        <v>2912.43883087536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9389</v>
      </c>
      <c r="E91" s="131" t="n">
        <v>7</v>
      </c>
      <c r="F91" s="131" t="n">
        <v>0</v>
      </c>
      <c r="G91" s="131" t="n">
        <v>0</v>
      </c>
      <c r="H91" s="132" t="n">
        <v>9396</v>
      </c>
      <c r="J91" s="130" t="n">
        <v>9604.744793221946</v>
      </c>
      <c r="K91" s="131" t="n">
        <v>7.468734608523377</v>
      </c>
      <c r="L91" s="131" t="n">
        <v>0</v>
      </c>
      <c r="M91" s="131" t="n">
        <v>0</v>
      </c>
      <c r="N91" s="132" t="n">
        <v>9612.213527830469</v>
      </c>
      <c r="P91" s="130" t="n">
        <v>9711.100612668353</v>
      </c>
      <c r="Q91" s="131" t="n">
        <v>7.681420291833214</v>
      </c>
      <c r="R91" s="131" t="n">
        <v>0</v>
      </c>
      <c r="S91" s="131" t="n">
        <v>0</v>
      </c>
      <c r="T91" s="132" t="n">
        <v>9718.782032960187</v>
      </c>
      <c r="V91" s="130" t="n">
        <v>9788.465905473897</v>
      </c>
      <c r="W91" s="131" t="n">
        <v>7.841870691875749</v>
      </c>
      <c r="X91" s="131" t="n">
        <v>0</v>
      </c>
      <c r="Y91" s="131" t="n">
        <v>0</v>
      </c>
      <c r="Z91" s="132" t="n">
        <v>9796.307776165773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5352</v>
      </c>
      <c r="E93" s="131" t="n">
        <v>1832</v>
      </c>
      <c r="F93" s="131" t="n">
        <v>34</v>
      </c>
      <c r="G93" s="131" t="n">
        <v>87</v>
      </c>
      <c r="H93" s="132" t="n">
        <v>7305</v>
      </c>
      <c r="J93" s="130" t="n">
        <v>8942.039540173873</v>
      </c>
      <c r="K93" s="131" t="n">
        <v>3500.537314860516</v>
      </c>
      <c r="L93" s="131" t="n">
        <v>78.88548020358267</v>
      </c>
      <c r="M93" s="131" t="n">
        <v>61.02133320026132</v>
      </c>
      <c r="N93" s="132" t="n">
        <v>12582.48366843823</v>
      </c>
      <c r="P93" s="130" t="n">
        <v>9792.36220216419</v>
      </c>
      <c r="Q93" s="131" t="n">
        <v>3892.812180303246</v>
      </c>
      <c r="R93" s="131" t="n">
        <v>89.4600146088892</v>
      </c>
      <c r="S93" s="131" t="n">
        <v>62.2499783240786</v>
      </c>
      <c r="T93" s="132" t="n">
        <v>13836.8843754004</v>
      </c>
      <c r="V93" s="130" t="n">
        <v>11405.71069303371</v>
      </c>
      <c r="W93" s="131" t="n">
        <v>4368.403547057689</v>
      </c>
      <c r="X93" s="131" t="n">
        <v>106.4689901288691</v>
      </c>
      <c r="Y93" s="131" t="n">
        <v>63.95802567873021</v>
      </c>
      <c r="Z93" s="132" t="n">
        <v>15944.541255899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1211</v>
      </c>
      <c r="H95" s="132" t="n">
        <v>1211</v>
      </c>
      <c r="J95" s="130" t="n">
        <v>0</v>
      </c>
      <c r="K95" s="131" t="n">
        <v>0</v>
      </c>
      <c r="L95" s="131" t="n">
        <v>0</v>
      </c>
      <c r="M95" s="131" t="n">
        <v>1431.027434888835</v>
      </c>
      <c r="N95" s="132" t="n">
        <v>1431.027434888835</v>
      </c>
      <c r="P95" s="130" t="n">
        <v>0</v>
      </c>
      <c r="Q95" s="131" t="n">
        <v>0</v>
      </c>
      <c r="R95" s="131" t="n">
        <v>0</v>
      </c>
      <c r="S95" s="131" t="n">
        <v>1572.645185877547</v>
      </c>
      <c r="T95" s="132" t="n">
        <v>1572.645185877547</v>
      </c>
      <c r="V95" s="130" t="n">
        <v>0</v>
      </c>
      <c r="W95" s="131" t="n">
        <v>0</v>
      </c>
      <c r="X95" s="131" t="n">
        <v>0</v>
      </c>
      <c r="Y95" s="131" t="n">
        <v>1698.361346924144</v>
      </c>
      <c r="Z95" s="132" t="n">
        <v>1698.361346924144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4585</v>
      </c>
      <c r="E97" s="131" t="n">
        <v>3184</v>
      </c>
      <c r="F97" s="131" t="n">
        <v>32</v>
      </c>
      <c r="G97" s="131" t="n">
        <v>91</v>
      </c>
      <c r="H97" s="132" t="n">
        <v>7892</v>
      </c>
      <c r="J97" s="130" t="n">
        <v>5685.3390405849</v>
      </c>
      <c r="K97" s="131" t="n">
        <v>4472.570348548972</v>
      </c>
      <c r="L97" s="131" t="n">
        <v>51.71639126361767</v>
      </c>
      <c r="M97" s="131" t="n">
        <v>109.2666359584575</v>
      </c>
      <c r="N97" s="132" t="n">
        <v>10318.89241635595</v>
      </c>
      <c r="P97" s="130" t="n">
        <v>6423.034571778222</v>
      </c>
      <c r="Q97" s="131" t="n">
        <v>5335.215808095963</v>
      </c>
      <c r="R97" s="131" t="n">
        <v>65.60802877947431</v>
      </c>
      <c r="S97" s="131" t="n">
        <v>118.6178170830754</v>
      </c>
      <c r="T97" s="132" t="n">
        <v>11942.47622573673</v>
      </c>
      <c r="V97" s="130" t="n">
        <v>6613.078984960886</v>
      </c>
      <c r="W97" s="131" t="n">
        <v>5523.444075919048</v>
      </c>
      <c r="X97" s="131" t="n">
        <v>68.39432747769432</v>
      </c>
      <c r="Y97" s="131" t="n">
        <v>130.2899097988911</v>
      </c>
      <c r="Z97" s="132" t="n">
        <v>12335.20729815652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1695</v>
      </c>
      <c r="E99" s="131" t="n">
        <v>1331</v>
      </c>
      <c r="F99" s="131" t="n">
        <v>23</v>
      </c>
      <c r="G99" s="131" t="n">
        <v>2</v>
      </c>
      <c r="H99" s="132" t="n">
        <v>3051</v>
      </c>
      <c r="J99" s="130" t="n">
        <v>2399.052334449079</v>
      </c>
      <c r="K99" s="131" t="n">
        <v>1992.31258498822</v>
      </c>
      <c r="L99" s="131" t="n">
        <v>33.57613890171297</v>
      </c>
      <c r="M99" s="131" t="n">
        <v>210.3076008311627</v>
      </c>
      <c r="N99" s="132" t="n">
        <v>4635.248659170175</v>
      </c>
      <c r="P99" s="130" t="n">
        <v>2826.131680913328</v>
      </c>
      <c r="Q99" s="131" t="n">
        <v>2417.817724958295</v>
      </c>
      <c r="R99" s="131" t="n">
        <v>40.46397792001835</v>
      </c>
      <c r="S99" s="131" t="n">
        <v>232.0624315905739</v>
      </c>
      <c r="T99" s="132" t="n">
        <v>5516.475815382215</v>
      </c>
      <c r="V99" s="130" t="n">
        <v>3333.582500652556</v>
      </c>
      <c r="W99" s="131" t="n">
        <v>2919.677575700363</v>
      </c>
      <c r="X99" s="131" t="n">
        <v>48.29562868547146</v>
      </c>
      <c r="Y99" s="131" t="n">
        <v>251.2530014457652</v>
      </c>
      <c r="Z99" s="132" t="n">
        <v>6552.808706484156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2</v>
      </c>
      <c r="H100" s="135" t="n">
        <v>2</v>
      </c>
      <c r="J100" s="133" t="n">
        <v>0</v>
      </c>
      <c r="K100" s="134" t="n">
        <v>0</v>
      </c>
      <c r="L100" s="134" t="n">
        <v>0</v>
      </c>
      <c r="M100" s="134" t="n">
        <v>2.251182157495164</v>
      </c>
      <c r="N100" s="135" t="n">
        <v>2.251182157495164</v>
      </c>
      <c r="P100" s="133" t="n">
        <v>0</v>
      </c>
      <c r="Q100" s="134" t="n">
        <v>0</v>
      </c>
      <c r="R100" s="134" t="n">
        <v>0</v>
      </c>
      <c r="S100" s="134" t="n">
        <v>2.349719893363836</v>
      </c>
      <c r="T100" s="135" t="n">
        <v>2.349719893363836</v>
      </c>
      <c r="V100" s="133" t="n">
        <v>0</v>
      </c>
      <c r="W100" s="134" t="n">
        <v>0</v>
      </c>
      <c r="X100" s="134" t="n">
        <v>0</v>
      </c>
      <c r="Y100" s="134" t="n">
        <v>2.47186673960595</v>
      </c>
      <c r="Z100" s="135" t="n">
        <v>2.47186673960595</v>
      </c>
    </row>
    <row r="101">
      <c r="A101" s="98" t="inlineStr">
        <is>
          <t>Added MFP row but needs adjusting for non-CY</t>
        </is>
      </c>
      <c r="B101" s="64" t="inlineStr">
        <is>
          <t>MFP 2026, 2027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213999.7374377511</v>
      </c>
      <c r="K103" s="140" t="n">
        <v>224568.4320475684</v>
      </c>
      <c r="L103" s="140" t="n">
        <v>3516.692006174286</v>
      </c>
      <c r="M103" s="140" t="n">
        <v>522.208591951027</v>
      </c>
      <c r="N103" s="141" t="n">
        <v>442607.0700834448</v>
      </c>
      <c r="P103" s="139" t="n">
        <v>217243.1407753343</v>
      </c>
      <c r="Q103" s="140" t="n">
        <v>229187.5867689242</v>
      </c>
      <c r="R103" s="140" t="n">
        <v>3573.782708252548</v>
      </c>
      <c r="S103" s="140" t="n">
        <v>536.567103549567</v>
      </c>
      <c r="T103" s="141" t="n">
        <v>450541.0773560606</v>
      </c>
      <c r="V103" s="139" t="n">
        <v>219196.1918988632</v>
      </c>
      <c r="W103" s="140" t="n">
        <v>232233.6148168273</v>
      </c>
      <c r="X103" s="140" t="n">
        <v>3604.587454448594</v>
      </c>
      <c r="Y103" s="140" t="n">
        <v>603.1636250341774</v>
      </c>
      <c r="Z103" s="141" t="n">
        <v>455637.5577951731</v>
      </c>
    </row>
    <row r="104" ht="15.6" customHeight="1" thickBot="1" thickTop="1">
      <c r="B104" s="69" t="inlineStr">
        <is>
          <t>Total</t>
        </is>
      </c>
      <c r="D104" s="142" t="n">
        <v>22375</v>
      </c>
      <c r="E104" s="143" t="n">
        <v>7762</v>
      </c>
      <c r="F104" s="143" t="n">
        <v>105</v>
      </c>
      <c r="G104" s="143" t="n">
        <v>1391</v>
      </c>
      <c r="H104" s="144" t="n">
        <v>31635</v>
      </c>
      <c r="J104" s="142" t="n">
        <v>241999.1255390214</v>
      </c>
      <c r="K104" s="143" t="n">
        <v>235988.2405769899</v>
      </c>
      <c r="L104" s="143" t="n">
        <v>3697.680617057781</v>
      </c>
      <c r="M104" s="143" t="n">
        <v>2333.831596829744</v>
      </c>
      <c r="N104" s="144" t="n">
        <v>484021.1295120563</v>
      </c>
      <c r="P104" s="142" t="n">
        <v>247378.9131602585</v>
      </c>
      <c r="Q104" s="143" t="n">
        <v>242313.0708691538</v>
      </c>
      <c r="R104" s="143" t="n">
        <v>3786.655283214763</v>
      </c>
      <c r="S104" s="143" t="n">
        <v>2522.142516424842</v>
      </c>
      <c r="T104" s="144" t="n">
        <v>496003.1315489453</v>
      </c>
      <c r="V104" s="142" t="n">
        <v>251737.4793724213</v>
      </c>
      <c r="W104" s="143" t="n">
        <v>246547.2494316064</v>
      </c>
      <c r="X104" s="143" t="n">
        <v>3845.468296768772</v>
      </c>
      <c r="Y104" s="143" t="n">
        <v>2747.025908881708</v>
      </c>
      <c r="Z104" s="144" t="n">
        <v>504879.6948764177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3772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523801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Kumar, Nikhil</dc:creator>
  <dcterms:created xmlns:dcterms="http://purl.org/dc/terms/" xmlns:xsi="http://www.w3.org/2001/XMLSchema-instance" xsi:type="dcterms:W3CDTF">2026-02-06T09:21:35Z</dcterms:created>
  <dcterms:modified xmlns:dcterms="http://purl.org/dc/terms/" xmlns:xsi="http://www.w3.org/2001/XMLSchema-instance" xsi:type="dcterms:W3CDTF">2026-06-12T08:00:55Z</dcterms:modified>
  <cp:lastModifiedBy>Chilukuri, Navyasri</cp:lastModifiedBy>
</cp:coreProperties>
</file>