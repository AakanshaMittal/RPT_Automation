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Detailed_stat_external-2027" sheetId="1" state="visible" r:id="rId1"/>
    <sheet name="Detailed_stat_external-2028" sheetId="2" state="visible" r:id="rId2"/>
    <sheet name="Detailed_stat_external-2029" sheetId="3" state="visible" r:id="rId3"/>
    <sheet name="Detailed_stat_external-2030" sheetId="4" state="visible" r:id="rId4"/>
    <sheet name="Detailed_stat_external-2031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mm/dd/yy;@"/>
    <numFmt numFmtId="165" formatCode="&quot;$&quot;#,##0_);[Red]\(&quot;$&quot;#,##0\)"/>
    <numFmt numFmtId="166" formatCode="#,##0.0"/>
  </numFmts>
  <fonts count="11">
    <font>
      <name val="Calibri"/>
      <family val="2"/>
      <color theme="1"/>
      <sz val="11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sz val="11"/>
    </font>
    <font>
      <name val="Arial"/>
      <family val="2"/>
      <sz val="10"/>
    </font>
    <font>
      <name val="Arial"/>
      <family val="2"/>
      <b val="1"/>
      <sz val="10"/>
    </font>
    <font>
      <name val="Calibri"/>
      <family val="2"/>
      <b val="1"/>
      <color theme="0"/>
      <sz val="11"/>
      <scheme val="minor"/>
    </font>
    <font>
      <name val="Calibri"/>
      <family val="2"/>
      <b val="1"/>
      <color rgb="FFC00000"/>
      <sz val="11"/>
      <scheme val="minor"/>
    </font>
    <font>
      <name val="Calibri"/>
      <family val="2"/>
      <b val="1"/>
      <color rgb="FFC00000"/>
      <sz val="11"/>
      <u val="single"/>
      <scheme val="minor"/>
    </font>
    <font>
      <name val="Calibri"/>
      <family val="2"/>
      <color theme="1"/>
      <sz val="11"/>
      <u val="single"/>
      <scheme val="minor"/>
    </font>
    <font>
      <name val="Calibri"/>
      <family val="2"/>
      <color rgb="FFFF0000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rgb="FFE6D6D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5A8696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FFE0CACE"/>
        <bgColor indexed="64"/>
      </patternFill>
    </fill>
  </fills>
  <borders count="68">
    <border>
      <left/>
      <right/>
      <top/>
      <bottom/>
      <diagonal/>
    </border>
    <border>
      <left style="medium">
        <color theme="9" tint="-0.249946592608417"/>
      </left>
      <right/>
      <top style="medium">
        <color theme="9" tint="-0.249946592608417"/>
      </top>
      <bottom style="medium">
        <color theme="9" tint="-0.249946592608417"/>
      </bottom>
      <diagonal/>
    </border>
    <border>
      <left/>
      <right/>
      <top style="medium">
        <color theme="9" tint="-0.249946592608417"/>
      </top>
      <bottom style="medium">
        <color theme="9" tint="-0.249946592608417"/>
      </bottom>
      <diagonal/>
    </border>
    <border>
      <left/>
      <right style="medium">
        <color theme="9" tint="-0.249946592608417"/>
      </right>
      <top style="medium">
        <color theme="9" tint="-0.249946592608417"/>
      </top>
      <bottom style="medium">
        <color theme="9" tint="-0.249946592608417"/>
      </bottom>
      <diagonal/>
    </border>
    <border>
      <left style="medium">
        <color rgb="FFD45D00"/>
      </left>
      <right style="medium">
        <color rgb="FFFABF8F"/>
      </right>
      <top style="medium">
        <color rgb="FFD45D00"/>
      </top>
      <bottom/>
      <diagonal/>
    </border>
    <border>
      <left style="medium">
        <color rgb="FFD45D00"/>
      </left>
      <right style="medium">
        <color rgb="FFFABF8F"/>
      </right>
      <top style="medium">
        <color rgb="FFD45D00"/>
      </top>
      <bottom style="medium">
        <color rgb="FFFCD5B4"/>
      </bottom>
      <diagonal/>
    </border>
    <border>
      <left style="medium">
        <color rgb="FFD45D00"/>
      </left>
      <right style="medium">
        <color rgb="FFFABF8F"/>
      </right>
      <top/>
      <bottom/>
      <diagonal/>
    </border>
    <border>
      <left style="medium">
        <color rgb="FFD45D00"/>
      </left>
      <right style="medium">
        <color rgb="FFFABF8F"/>
      </right>
      <top/>
      <bottom style="medium">
        <color rgb="FFFABF8F"/>
      </bottom>
      <diagonal/>
    </border>
    <border>
      <left style="medium">
        <color rgb="FFD45D00"/>
      </left>
      <right/>
      <top style="medium">
        <color rgb="FFD45D00"/>
      </top>
      <bottom style="medium">
        <color rgb="FFD45D00"/>
      </bottom>
      <diagonal/>
    </border>
    <border>
      <left/>
      <right/>
      <top style="medium">
        <color rgb="FFD45D00"/>
      </top>
      <bottom style="medium">
        <color rgb="FFD45D00"/>
      </bottom>
      <diagonal/>
    </border>
    <border>
      <left/>
      <right style="medium">
        <color rgb="FFD45D00"/>
      </right>
      <top style="medium">
        <color rgb="FFD45D00"/>
      </top>
      <bottom style="medium">
        <color rgb="FFD45D00"/>
      </bottom>
      <diagonal/>
    </border>
    <border>
      <left style="medium">
        <color theme="9" tint="-0.249946592608417"/>
      </left>
      <right/>
      <top/>
      <bottom style="medium">
        <color rgb="FFD45D00"/>
      </bottom>
      <diagonal/>
    </border>
    <border>
      <left/>
      <right/>
      <top/>
      <bottom style="medium">
        <color rgb="FFD45D00"/>
      </bottom>
      <diagonal/>
    </border>
    <border>
      <left/>
      <right style="medium">
        <color theme="9" tint="-0.249946592608417"/>
      </right>
      <top/>
      <bottom style="medium">
        <color rgb="FFD45D00"/>
      </bottom>
      <diagonal/>
    </border>
    <border>
      <left style="medium">
        <color rgb="FFE87722"/>
      </left>
      <right style="medium">
        <color rgb="FFE87722"/>
      </right>
      <top style="medium">
        <color rgb="FFE87722"/>
      </top>
      <bottom/>
      <diagonal/>
    </border>
    <border>
      <left style="medium">
        <color rgb="FFD45D00"/>
      </left>
      <right style="dotted">
        <color rgb="FFD45D00"/>
      </right>
      <top style="medium">
        <color rgb="FFD45D00"/>
      </top>
      <bottom style="dotted">
        <color rgb="FFD45D00"/>
      </bottom>
      <diagonal/>
    </border>
    <border>
      <left/>
      <right style="dotted">
        <color rgb="FFD45D00"/>
      </right>
      <top style="medium">
        <color rgb="FFD45D00"/>
      </top>
      <bottom style="dotted">
        <color rgb="FFD45D00"/>
      </bottom>
      <diagonal/>
    </border>
    <border>
      <left style="dotted">
        <color rgb="FFD45D00"/>
      </left>
      <right style="dotted">
        <color rgb="FFD45D00"/>
      </right>
      <top style="medium">
        <color rgb="FFD45D00"/>
      </top>
      <bottom style="dotted">
        <color rgb="FFD45D00"/>
      </bottom>
      <diagonal/>
    </border>
    <border>
      <left style="dotted">
        <color rgb="FFD45D00"/>
      </left>
      <right style="medium">
        <color rgb="FFD45D00"/>
      </right>
      <top style="medium">
        <color rgb="FFD45D00"/>
      </top>
      <bottom style="dotted">
        <color rgb="FFD45D00"/>
      </bottom>
      <diagonal/>
    </border>
    <border>
      <left style="medium">
        <color rgb="FFD45D00"/>
      </left>
      <right style="medium">
        <color rgb="FFD45D00"/>
      </right>
      <top style="medium">
        <color rgb="FFD45D00"/>
      </top>
      <bottom/>
      <diagonal/>
    </border>
    <border>
      <left/>
      <right/>
      <top style="medium">
        <color rgb="FFD45D00"/>
      </top>
      <bottom/>
      <diagonal/>
    </border>
    <border>
      <left/>
      <right style="medium">
        <color rgb="FFD45D00"/>
      </right>
      <top style="medium">
        <color rgb="FFD45D00"/>
      </top>
      <bottom/>
      <diagonal/>
    </border>
    <border>
      <left style="medium">
        <color theme="9" tint="-0.249946592608417"/>
      </left>
      <right style="medium">
        <color rgb="FFD45D00"/>
      </right>
      <top style="medium">
        <color rgb="FFD45D00"/>
      </top>
      <bottom/>
      <diagonal/>
    </border>
    <border>
      <left/>
      <right style="medium">
        <color theme="9" tint="-0.249946592608417"/>
      </right>
      <top style="medium">
        <color rgb="FFD45D00"/>
      </top>
      <bottom/>
      <diagonal/>
    </border>
    <border>
      <left style="medium">
        <color rgb="FFE87722"/>
      </left>
      <right style="medium">
        <color rgb="FFE87722"/>
      </right>
      <top style="thin">
        <color theme="0"/>
      </top>
      <bottom style="thin">
        <color theme="0"/>
      </bottom>
      <diagonal/>
    </border>
    <border>
      <left style="medium">
        <color rgb="FFD45D00"/>
      </left>
      <right style="dotted">
        <color rgb="FFD45D00"/>
      </right>
      <top style="dotted">
        <color rgb="FFD45D00"/>
      </top>
      <bottom style="dotted">
        <color rgb="FFD45D00"/>
      </bottom>
      <diagonal/>
    </border>
    <border>
      <left/>
      <right style="dotted">
        <color rgb="FFD45D00"/>
      </right>
      <top style="dotted">
        <color rgb="FFD45D00"/>
      </top>
      <bottom style="dotted">
        <color rgb="FFD45D00"/>
      </bottom>
      <diagonal/>
    </border>
    <border>
      <left style="dotted">
        <color rgb="FFD45D00"/>
      </left>
      <right style="dotted">
        <color rgb="FFD45D00"/>
      </right>
      <top style="dotted">
        <color rgb="FFD45D00"/>
      </top>
      <bottom style="dotted">
        <color rgb="FFD45D00"/>
      </bottom>
      <diagonal/>
    </border>
    <border>
      <left style="dotted">
        <color rgb="FFD45D00"/>
      </left>
      <right style="medium">
        <color rgb="FFD45D00"/>
      </right>
      <top style="dotted">
        <color rgb="FFD45D00"/>
      </top>
      <bottom style="dotted">
        <color rgb="FFD45D00"/>
      </bottom>
      <diagonal/>
    </border>
    <border>
      <left style="medium">
        <color rgb="FFD45D00"/>
      </left>
      <right style="medium">
        <color rgb="FFD45D00"/>
      </right>
      <top/>
      <bottom/>
      <diagonal/>
    </border>
    <border>
      <left/>
      <right style="medium">
        <color rgb="FFD45D00"/>
      </right>
      <top/>
      <bottom/>
      <diagonal/>
    </border>
    <border>
      <left style="medium">
        <color theme="9" tint="-0.249946592608417"/>
      </left>
      <right style="medium">
        <color rgb="FFD45D00"/>
      </right>
      <top/>
      <bottom/>
      <diagonal/>
    </border>
    <border>
      <left/>
      <right style="medium">
        <color theme="9" tint="-0.249946592608417"/>
      </right>
      <top/>
      <bottom/>
      <diagonal/>
    </border>
    <border>
      <left style="medium">
        <color rgb="FFE87722"/>
      </left>
      <right style="medium">
        <color rgb="FFE87722"/>
      </right>
      <top style="thin">
        <color theme="0"/>
      </top>
      <bottom style="double">
        <color theme="0"/>
      </bottom>
      <diagonal/>
    </border>
    <border>
      <left style="medium">
        <color rgb="FFD45D00"/>
      </left>
      <right style="dotted">
        <color rgb="FFD45D00"/>
      </right>
      <top style="dotted">
        <color rgb="FFD45D00"/>
      </top>
      <bottom style="double">
        <color rgb="FFD45D00"/>
      </bottom>
      <diagonal/>
    </border>
    <border>
      <left/>
      <right style="dotted">
        <color rgb="FFD45D00"/>
      </right>
      <top style="dotted">
        <color rgb="FFD45D00"/>
      </top>
      <bottom style="double">
        <color rgb="FFD45D00"/>
      </bottom>
      <diagonal/>
    </border>
    <border>
      <left style="dotted">
        <color rgb="FFD45D00"/>
      </left>
      <right style="dotted">
        <color rgb="FFD45D00"/>
      </right>
      <top style="dotted">
        <color rgb="FFD45D00"/>
      </top>
      <bottom style="double">
        <color rgb="FFD45D00"/>
      </bottom>
      <diagonal/>
    </border>
    <border>
      <left style="dotted">
        <color rgb="FFD45D00"/>
      </left>
      <right style="medium">
        <color rgb="FFD45D00"/>
      </right>
      <top style="dotted">
        <color rgb="FFD45D00"/>
      </top>
      <bottom style="double">
        <color rgb="FFD45D00"/>
      </bottom>
      <diagonal/>
    </border>
    <border>
      <left style="medium">
        <color rgb="FFE87722"/>
      </left>
      <right style="medium">
        <color rgb="FFE87722"/>
      </right>
      <top/>
      <bottom style="thin">
        <color theme="0"/>
      </bottom>
      <diagonal/>
    </border>
    <border>
      <left style="medium">
        <color rgb="FFD45D00"/>
      </left>
      <right style="dotted">
        <color rgb="FFD45D00"/>
      </right>
      <top/>
      <bottom style="dotted">
        <color rgb="FFD45D00"/>
      </bottom>
      <diagonal/>
    </border>
    <border>
      <left/>
      <right style="dotted">
        <color rgb="FFD45D00"/>
      </right>
      <top/>
      <bottom style="dotted">
        <color rgb="FFD45D00"/>
      </bottom>
      <diagonal/>
    </border>
    <border>
      <left style="dotted">
        <color rgb="FFD45D00"/>
      </left>
      <right style="dotted">
        <color rgb="FFD45D00"/>
      </right>
      <top/>
      <bottom style="dotted">
        <color rgb="FFD45D00"/>
      </bottom>
      <diagonal/>
    </border>
    <border>
      <left style="dotted">
        <color rgb="FFD45D00"/>
      </left>
      <right style="medium">
        <color rgb="FFD45D00"/>
      </right>
      <top/>
      <bottom style="dotted">
        <color rgb="FFD45D00"/>
      </bottom>
      <diagonal/>
    </border>
    <border>
      <left style="medium">
        <color rgb="FFE87722"/>
      </left>
      <right style="medium">
        <color rgb="FFE87722"/>
      </right>
      <top/>
      <bottom style="medium">
        <color rgb="FFE87722"/>
      </bottom>
      <diagonal/>
    </border>
    <border>
      <left style="medium">
        <color rgb="FFD45D00"/>
      </left>
      <right style="dotted">
        <color rgb="FFD45D00"/>
      </right>
      <top/>
      <bottom style="medium">
        <color rgb="FFD45D00"/>
      </bottom>
      <diagonal/>
    </border>
    <border>
      <left/>
      <right style="dotted">
        <color rgb="FFD45D00"/>
      </right>
      <top/>
      <bottom style="medium">
        <color rgb="FFD45D00"/>
      </bottom>
      <diagonal/>
    </border>
    <border>
      <left style="dotted">
        <color rgb="FFD45D00"/>
      </left>
      <right style="dotted">
        <color rgb="FFD45D00"/>
      </right>
      <top/>
      <bottom style="medium">
        <color rgb="FFD45D00"/>
      </bottom>
      <diagonal/>
    </border>
    <border>
      <left style="dotted">
        <color rgb="FFD45D00"/>
      </left>
      <right style="medium">
        <color rgb="FFD45D00"/>
      </right>
      <top/>
      <bottom style="medium">
        <color rgb="FFD45D00"/>
      </bottom>
      <diagonal/>
    </border>
    <border>
      <left style="medium">
        <color rgb="FFD45D00"/>
      </left>
      <right style="medium">
        <color rgb="FFD45D00"/>
      </right>
      <top/>
      <bottom style="medium">
        <color rgb="FFD45D00"/>
      </bottom>
      <diagonal/>
    </border>
    <border>
      <left/>
      <right style="medium">
        <color rgb="FFD45D00"/>
      </right>
      <top/>
      <bottom style="medium">
        <color rgb="FFD45D00"/>
      </bottom>
      <diagonal/>
    </border>
    <border>
      <left style="medium">
        <color theme="9" tint="-0.249946592608417"/>
      </left>
      <right style="medium">
        <color rgb="FFD45D00"/>
      </right>
      <top/>
      <bottom style="medium">
        <color theme="9" tint="-0.249946592608417"/>
      </bottom>
      <diagonal/>
    </border>
    <border>
      <left/>
      <right/>
      <top/>
      <bottom style="medium">
        <color theme="9" tint="-0.249946592608417"/>
      </bottom>
      <diagonal/>
    </border>
    <border>
      <left/>
      <right style="medium">
        <color theme="9" tint="-0.249946592608417"/>
      </right>
      <top/>
      <bottom style="medium">
        <color theme="9" tint="-0.249946592608417"/>
      </bottom>
      <diagonal/>
    </border>
    <border>
      <left/>
      <right/>
      <top/>
      <bottom style="double">
        <color rgb="FFD45D00"/>
      </bottom>
      <diagonal/>
    </border>
    <border>
      <left style="medium">
        <color rgb="FFD45D00"/>
      </left>
      <right/>
      <top style="medium">
        <color rgb="FFD45D00"/>
      </top>
      <bottom style="dotted">
        <color rgb="FFD45D00"/>
      </bottom>
      <diagonal/>
    </border>
    <border>
      <left/>
      <right style="medium">
        <color rgb="FFD45D00"/>
      </right>
      <top style="medium">
        <color rgb="FFD45D00"/>
      </top>
      <bottom style="dotted">
        <color rgb="FFD45D00"/>
      </bottom>
      <diagonal/>
    </border>
    <border>
      <left style="medium">
        <color rgb="FFD45D00"/>
      </left>
      <right/>
      <top style="dotted">
        <color rgb="FFD45D00"/>
      </top>
      <bottom style="dotted">
        <color rgb="FFD45D00"/>
      </bottom>
      <diagonal/>
    </border>
    <border>
      <left/>
      <right style="medium">
        <color rgb="FFD45D00"/>
      </right>
      <top style="dotted">
        <color rgb="FFD45D00"/>
      </top>
      <bottom style="dotted">
        <color rgb="FFD45D00"/>
      </bottom>
      <diagonal/>
    </border>
    <border>
      <left style="medium">
        <color rgb="FFD45D00"/>
      </left>
      <right/>
      <top style="dotted">
        <color rgb="FFD45D00"/>
      </top>
      <bottom/>
      <diagonal/>
    </border>
    <border>
      <left style="dotted">
        <color rgb="FFD45D00"/>
      </left>
      <right style="dotted">
        <color rgb="FFD45D00"/>
      </right>
      <top style="dotted">
        <color rgb="FFD45D00"/>
      </top>
      <bottom/>
      <diagonal/>
    </border>
    <border>
      <left/>
      <right style="medium">
        <color rgb="FFD45D00"/>
      </right>
      <top style="dotted">
        <color rgb="FFD45D00"/>
      </top>
      <bottom/>
      <diagonal/>
    </border>
    <border>
      <left style="medium">
        <color rgb="FFE87722"/>
      </left>
      <right style="medium">
        <color rgb="FFE87722"/>
      </right>
      <top/>
      <bottom/>
      <diagonal/>
    </border>
    <border>
      <left style="medium">
        <color rgb="FFD45D00"/>
      </left>
      <right/>
      <top style="dotted">
        <color rgb="FFD45D00"/>
      </top>
      <bottom style="double">
        <color rgb="FFD45D00"/>
      </bottom>
      <diagonal/>
    </border>
    <border>
      <left/>
      <right style="medium">
        <color rgb="FFD45D00"/>
      </right>
      <top style="dotted">
        <color rgb="FFD45D00"/>
      </top>
      <bottom style="double">
        <color rgb="FFD45D00"/>
      </bottom>
      <diagonal/>
    </border>
    <border>
      <left style="medium">
        <color rgb="FFD45D00"/>
      </left>
      <right/>
      <top/>
      <bottom style="medium">
        <color rgb="FFD45D00"/>
      </bottom>
      <diagonal/>
    </border>
    <border>
      <left style="medium">
        <color rgb="FFE87722"/>
      </left>
      <right style="medium">
        <color rgb="FFE87722"/>
      </right>
      <top style="medium">
        <color rgb="FFE87722"/>
      </top>
      <bottom style="medium">
        <color rgb="FFE87722"/>
      </bottom>
      <diagonal/>
    </border>
    <border>
      <left style="medium">
        <color rgb="FFD45D00"/>
      </left>
      <right style="medium">
        <color rgb="FFD45D00"/>
      </right>
      <top style="medium">
        <color rgb="FFD45D00"/>
      </top>
      <bottom style="medium">
        <color rgb="FFD45D00"/>
      </bottom>
      <diagonal/>
    </border>
    <border>
      <left style="medium">
        <color rgb="FFC00000"/>
      </left>
      <right style="medium">
        <color rgb="FFC00000"/>
      </right>
      <top style="medium">
        <color rgb="FFC00000"/>
      </top>
      <bottom style="medium">
        <color rgb="FFC00000"/>
      </bottom>
      <diagonal/>
    </border>
  </borders>
  <cellStyleXfs count="1">
    <xf numFmtId="0" fontId="0" fillId="0" borderId="0"/>
  </cellStyleXfs>
  <cellXfs count="146">
    <xf numFmtId="0" fontId="0" fillId="0" borderId="0" pivotButton="0" quotePrefix="0" xfId="0"/>
    <xf numFmtId="0" fontId="1" fillId="2" borderId="1" applyAlignment="1" pivotButton="0" quotePrefix="0" xfId="0">
      <alignment horizontal="centerContinuous"/>
    </xf>
    <xf numFmtId="0" fontId="1" fillId="2" borderId="2" applyAlignment="1" pivotButton="0" quotePrefix="0" xfId="0">
      <alignment horizontal="centerContinuous"/>
    </xf>
    <xf numFmtId="0" fontId="1" fillId="2" borderId="3" applyAlignment="1" pivotButton="0" quotePrefix="0" xfId="0">
      <alignment horizontal="centerContinuous"/>
    </xf>
    <xf numFmtId="0" fontId="2" fillId="0" borderId="0" applyAlignment="1" pivotButton="0" quotePrefix="0" xfId="0">
      <alignment horizontal="right"/>
    </xf>
    <xf numFmtId="164" fontId="3" fillId="3" borderId="4" pivotButton="0" quotePrefix="0" xfId="0"/>
    <xf numFmtId="0" fontId="3" fillId="3" borderId="5" applyAlignment="1" pivotButton="0" quotePrefix="0" xfId="0">
      <alignment horizontal="center" vertical="center"/>
    </xf>
    <xf numFmtId="164" fontId="3" fillId="3" borderId="6" pivotButton="0" quotePrefix="0" xfId="0"/>
    <xf numFmtId="165" fontId="0" fillId="0" borderId="0" pivotButton="0" quotePrefix="0" xfId="0"/>
    <xf numFmtId="3" fontId="3" fillId="3" borderId="7" pivotButton="0" quotePrefix="0" xfId="0"/>
    <xf numFmtId="0" fontId="0" fillId="4" borderId="0" applyAlignment="1" pivotButton="0" quotePrefix="0" xfId="0">
      <alignment vertical="top"/>
    </xf>
    <xf numFmtId="0" fontId="3" fillId="4" borderId="8" applyAlignment="1" pivotButton="0" quotePrefix="0" xfId="0">
      <alignment horizontal="centerContinuous" vertical="top"/>
    </xf>
    <xf numFmtId="0" fontId="3" fillId="4" borderId="9" applyAlignment="1" pivotButton="0" quotePrefix="0" xfId="0">
      <alignment horizontal="centerContinuous" vertical="top"/>
    </xf>
    <xf numFmtId="0" fontId="0" fillId="4" borderId="9" applyAlignment="1" pivotButton="0" quotePrefix="0" xfId="0">
      <alignment horizontal="centerContinuous" vertical="top"/>
    </xf>
    <xf numFmtId="0" fontId="4" fillId="4" borderId="10" applyAlignment="1" pivotButton="0" quotePrefix="0" xfId="0">
      <alignment horizontal="centerContinuous" vertical="center"/>
    </xf>
    <xf numFmtId="0" fontId="3" fillId="4" borderId="10" applyAlignment="1" pivotButton="0" quotePrefix="0" xfId="0">
      <alignment horizontal="centerContinuous" vertical="top"/>
    </xf>
    <xf numFmtId="0" fontId="3" fillId="4" borderId="0" applyAlignment="1" pivotButton="0" quotePrefix="0" xfId="0">
      <alignment horizontal="centerContinuous" vertical="top"/>
    </xf>
    <xf numFmtId="0" fontId="0" fillId="4" borderId="0" applyAlignment="1" pivotButton="0" quotePrefix="0" xfId="0">
      <alignment horizontal="centerContinuous" vertical="top"/>
    </xf>
    <xf numFmtId="0" fontId="4" fillId="4" borderId="0" applyAlignment="1" pivotButton="0" quotePrefix="0" xfId="0">
      <alignment horizontal="centerContinuous" vertical="center"/>
    </xf>
    <xf numFmtId="0" fontId="3" fillId="4" borderId="0" applyAlignment="1" pivotButton="0" quotePrefix="0" xfId="0">
      <alignment vertical="top"/>
    </xf>
    <xf numFmtId="0" fontId="5" fillId="2" borderId="8" applyAlignment="1" pivotButton="0" quotePrefix="0" xfId="0">
      <alignment horizontal="centerContinuous" vertical="top"/>
    </xf>
    <xf numFmtId="0" fontId="5" fillId="2" borderId="9" applyAlignment="1" pivotButton="0" quotePrefix="0" xfId="0">
      <alignment horizontal="centerContinuous" vertical="top"/>
    </xf>
    <xf numFmtId="0" fontId="5" fillId="2" borderId="10" applyAlignment="1" pivotButton="0" quotePrefix="0" xfId="0">
      <alignment horizontal="centerContinuous" vertical="center"/>
    </xf>
    <xf numFmtId="0" fontId="5" fillId="2" borderId="10" applyAlignment="1" pivotButton="0" quotePrefix="0" xfId="0">
      <alignment horizontal="centerContinuous" vertical="top"/>
    </xf>
    <xf numFmtId="0" fontId="2" fillId="2" borderId="1" applyAlignment="1" pivotButton="0" quotePrefix="0" xfId="0">
      <alignment horizontal="centerContinuous"/>
    </xf>
    <xf numFmtId="0" fontId="2" fillId="2" borderId="2" applyAlignment="1" pivotButton="0" quotePrefix="0" xfId="0">
      <alignment horizontal="centerContinuous"/>
    </xf>
    <xf numFmtId="0" fontId="2" fillId="2" borderId="3" applyAlignment="1" pivotButton="0" quotePrefix="0" xfId="0">
      <alignment horizontal="centerContinuous"/>
    </xf>
    <xf numFmtId="0" fontId="5" fillId="4" borderId="0" applyAlignment="1" pivotButton="0" quotePrefix="0" xfId="0">
      <alignment horizontal="center"/>
    </xf>
    <xf numFmtId="0" fontId="5" fillId="4" borderId="8" applyAlignment="1" pivotButton="0" quotePrefix="0" xfId="0">
      <alignment horizontal="center"/>
    </xf>
    <xf numFmtId="0" fontId="5" fillId="4" borderId="9" applyAlignment="1" pivotButton="0" quotePrefix="0" xfId="0">
      <alignment horizontal="center"/>
    </xf>
    <xf numFmtId="0" fontId="5" fillId="4" borderId="10" applyAlignment="1" pivotButton="0" quotePrefix="0" xfId="0">
      <alignment horizontal="center"/>
    </xf>
    <xf numFmtId="0" fontId="4" fillId="4" borderId="0" applyAlignment="1" pivotButton="0" quotePrefix="0" xfId="0">
      <alignment vertical="center"/>
    </xf>
    <xf numFmtId="0" fontId="5" fillId="4" borderId="8" applyAlignment="1" pivotButton="0" quotePrefix="0" xfId="0">
      <alignment horizontal="center" wrapText="1"/>
    </xf>
    <xf numFmtId="0" fontId="5" fillId="4" borderId="9" applyAlignment="1" pivotButton="0" quotePrefix="0" xfId="0">
      <alignment horizontal="center" wrapText="1"/>
    </xf>
    <xf numFmtId="0" fontId="5" fillId="4" borderId="10" applyAlignment="1" pivotButton="0" quotePrefix="0" xfId="0">
      <alignment horizontal="center" wrapText="1"/>
    </xf>
    <xf numFmtId="0" fontId="5" fillId="4" borderId="11" applyAlignment="1" pivotButton="0" quotePrefix="0" xfId="0">
      <alignment horizontal="center" wrapText="1"/>
    </xf>
    <xf numFmtId="0" fontId="5" fillId="4" borderId="12" applyAlignment="1" pivotButton="0" quotePrefix="0" xfId="0">
      <alignment horizontal="center" wrapText="1"/>
    </xf>
    <xf numFmtId="0" fontId="5" fillId="4" borderId="13" applyAlignment="1" pivotButton="0" quotePrefix="0" xfId="0">
      <alignment horizontal="center" wrapText="1"/>
    </xf>
    <xf numFmtId="0" fontId="6" fillId="5" borderId="14" pivotButton="0" quotePrefix="0" xfId="0"/>
    <xf numFmtId="3" fontId="0" fillId="4" borderId="15" applyAlignment="1" pivotButton="0" quotePrefix="0" xfId="0">
      <alignment vertical="top"/>
    </xf>
    <xf numFmtId="3" fontId="0" fillId="4" borderId="16" applyAlignment="1" pivotButton="0" quotePrefix="0" xfId="0">
      <alignment vertical="top"/>
    </xf>
    <xf numFmtId="166" fontId="0" fillId="4" borderId="17" applyAlignment="1" pivotButton="0" quotePrefix="0" xfId="0">
      <alignment vertical="top"/>
    </xf>
    <xf numFmtId="166" fontId="4" fillId="4" borderId="18" applyAlignment="1" pivotButton="0" quotePrefix="0" xfId="0">
      <alignment vertical="center"/>
    </xf>
    <xf numFmtId="0" fontId="7" fillId="0" borderId="19" applyAlignment="1" pivotButton="0" quotePrefix="0" xfId="0">
      <alignment horizontal="center"/>
    </xf>
    <xf numFmtId="0" fontId="0" fillId="0" borderId="20" pivotButton="0" quotePrefix="0" xfId="0"/>
    <xf numFmtId="165" fontId="0" fillId="4" borderId="20" pivotButton="0" quotePrefix="0" xfId="0"/>
    <xf numFmtId="3" fontId="0" fillId="4" borderId="21" pivotButton="0" quotePrefix="0" xfId="0"/>
    <xf numFmtId="0" fontId="7" fillId="0" borderId="22" applyAlignment="1" pivotButton="0" quotePrefix="0" xfId="0">
      <alignment horizontal="center"/>
    </xf>
    <xf numFmtId="3" fontId="0" fillId="0" borderId="23" pivotButton="0" quotePrefix="0" xfId="0"/>
    <xf numFmtId="0" fontId="6" fillId="5" borderId="24" pivotButton="0" quotePrefix="0" xfId="0"/>
    <xf numFmtId="3" fontId="0" fillId="4" borderId="25" applyAlignment="1" pivotButton="0" quotePrefix="0" xfId="0">
      <alignment vertical="top"/>
    </xf>
    <xf numFmtId="3" fontId="0" fillId="4" borderId="26" applyAlignment="1" pivotButton="0" quotePrefix="0" xfId="0">
      <alignment vertical="top"/>
    </xf>
    <xf numFmtId="166" fontId="0" fillId="4" borderId="27" applyAlignment="1" pivotButton="0" quotePrefix="0" xfId="0">
      <alignment vertical="top"/>
    </xf>
    <xf numFmtId="166" fontId="4" fillId="4" borderId="28" applyAlignment="1" pivotButton="0" quotePrefix="0" xfId="0">
      <alignment vertical="center"/>
    </xf>
    <xf numFmtId="0" fontId="7" fillId="0" borderId="29" applyAlignment="1" pivotButton="0" quotePrefix="0" xfId="0">
      <alignment horizontal="center"/>
    </xf>
    <xf numFmtId="165" fontId="0" fillId="4" borderId="0" pivotButton="0" quotePrefix="0" xfId="0"/>
    <xf numFmtId="3" fontId="0" fillId="4" borderId="30" pivotButton="0" quotePrefix="0" xfId="0"/>
    <xf numFmtId="0" fontId="7" fillId="0" borderId="31" applyAlignment="1" pivotButton="0" quotePrefix="0" xfId="0">
      <alignment horizontal="center"/>
    </xf>
    <xf numFmtId="3" fontId="0" fillId="0" borderId="32" pivotButton="0" quotePrefix="0" xfId="0"/>
    <xf numFmtId="0" fontId="6" fillId="5" borderId="33" pivotButton="0" quotePrefix="0" xfId="0"/>
    <xf numFmtId="3" fontId="0" fillId="4" borderId="34" applyAlignment="1" pivotButton="0" quotePrefix="0" xfId="0">
      <alignment vertical="top"/>
    </xf>
    <xf numFmtId="3" fontId="0" fillId="4" borderId="35" applyAlignment="1" pivotButton="0" quotePrefix="0" xfId="0">
      <alignment vertical="top"/>
    </xf>
    <xf numFmtId="166" fontId="0" fillId="4" borderId="36" applyAlignment="1" pivotButton="0" quotePrefix="0" xfId="0">
      <alignment vertical="top"/>
    </xf>
    <xf numFmtId="166" fontId="4" fillId="4" borderId="37" applyAlignment="1" pivotButton="0" quotePrefix="0" xfId="0">
      <alignment vertical="center"/>
    </xf>
    <xf numFmtId="0" fontId="6" fillId="5" borderId="38" pivotButton="0" quotePrefix="0" xfId="0"/>
    <xf numFmtId="3" fontId="0" fillId="4" borderId="39" applyAlignment="1" pivotButton="0" quotePrefix="0" xfId="0">
      <alignment vertical="top"/>
    </xf>
    <xf numFmtId="3" fontId="0" fillId="4" borderId="40" applyAlignment="1" pivotButton="0" quotePrefix="0" xfId="0">
      <alignment vertical="top"/>
    </xf>
    <xf numFmtId="166" fontId="0" fillId="4" borderId="41" applyAlignment="1" pivotButton="0" quotePrefix="0" xfId="0">
      <alignment vertical="top"/>
    </xf>
    <xf numFmtId="166" fontId="4" fillId="4" borderId="42" applyAlignment="1" pivotButton="0" quotePrefix="0" xfId="0">
      <alignment vertical="center"/>
    </xf>
    <xf numFmtId="0" fontId="6" fillId="5" borderId="43" pivotButton="0" quotePrefix="0" xfId="0"/>
    <xf numFmtId="3" fontId="0" fillId="6" borderId="44" applyAlignment="1" pivotButton="0" quotePrefix="0" xfId="0">
      <alignment vertical="top"/>
    </xf>
    <xf numFmtId="3" fontId="0" fillId="6" borderId="45" applyAlignment="1" pivotButton="0" quotePrefix="0" xfId="0">
      <alignment vertical="top"/>
    </xf>
    <xf numFmtId="166" fontId="0" fillId="6" borderId="46" applyAlignment="1" pivotButton="0" quotePrefix="0" xfId="0">
      <alignment vertical="top"/>
    </xf>
    <xf numFmtId="166" fontId="4" fillId="6" borderId="47" applyAlignment="1" pivotButton="0" quotePrefix="0" xfId="0">
      <alignment vertical="center"/>
    </xf>
    <xf numFmtId="3" fontId="0" fillId="4" borderId="0" applyAlignment="1" pivotButton="0" quotePrefix="0" xfId="0">
      <alignment vertical="top"/>
    </xf>
    <xf numFmtId="166" fontId="0" fillId="4" borderId="0" applyAlignment="1" pivotButton="0" quotePrefix="0" xfId="0">
      <alignment vertical="top"/>
    </xf>
    <xf numFmtId="166" fontId="4" fillId="4" borderId="0" applyAlignment="1" pivotButton="0" quotePrefix="0" xfId="0">
      <alignment vertical="center"/>
    </xf>
    <xf numFmtId="0" fontId="8" fillId="0" borderId="0" pivotButton="0" quotePrefix="0" xfId="0"/>
    <xf numFmtId="0" fontId="9" fillId="0" borderId="0" pivotButton="0" quotePrefix="0" xfId="0"/>
    <xf numFmtId="0" fontId="5" fillId="4" borderId="0" applyAlignment="1" pivotButton="0" quotePrefix="0" xfId="0">
      <alignment horizontal="center" vertical="top"/>
    </xf>
    <xf numFmtId="0" fontId="5" fillId="4" borderId="0" applyAlignment="1" pivotButton="0" quotePrefix="0" xfId="0">
      <alignment horizontal="center" vertical="center"/>
    </xf>
    <xf numFmtId="0" fontId="7" fillId="0" borderId="48" applyAlignment="1" pivotButton="0" quotePrefix="0" xfId="0">
      <alignment horizontal="center"/>
    </xf>
    <xf numFmtId="0" fontId="0" fillId="0" borderId="12" pivotButton="0" quotePrefix="0" xfId="0"/>
    <xf numFmtId="165" fontId="0" fillId="4" borderId="12" pivotButton="0" quotePrefix="0" xfId="0"/>
    <xf numFmtId="3" fontId="0" fillId="4" borderId="49" pivotButton="0" quotePrefix="0" xfId="0"/>
    <xf numFmtId="0" fontId="7" fillId="0" borderId="50" applyAlignment="1" pivotButton="0" quotePrefix="0" xfId="0">
      <alignment horizontal="center"/>
    </xf>
    <xf numFmtId="0" fontId="0" fillId="0" borderId="51" pivotButton="0" quotePrefix="0" xfId="0"/>
    <xf numFmtId="3" fontId="0" fillId="0" borderId="52" pivotButton="0" quotePrefix="0" xfId="0"/>
    <xf numFmtId="0" fontId="0" fillId="0" borderId="53" pivotButton="0" quotePrefix="0" xfId="0"/>
    <xf numFmtId="3" fontId="0" fillId="4" borderId="54" applyAlignment="1" pivotButton="0" quotePrefix="0" xfId="0">
      <alignment vertical="top"/>
    </xf>
    <xf numFmtId="3" fontId="0" fillId="4" borderId="17" applyAlignment="1" pivotButton="0" quotePrefix="0" xfId="0">
      <alignment vertical="top"/>
    </xf>
    <xf numFmtId="3" fontId="0" fillId="4" borderId="55" applyAlignment="1" pivotButton="0" quotePrefix="0" xfId="0">
      <alignment vertical="top"/>
    </xf>
    <xf numFmtId="3" fontId="0" fillId="4" borderId="56" applyAlignment="1" pivotButton="0" quotePrefix="0" xfId="0">
      <alignment vertical="top"/>
    </xf>
    <xf numFmtId="3" fontId="0" fillId="4" borderId="27" applyAlignment="1" pivotButton="0" quotePrefix="0" xfId="0">
      <alignment vertical="top"/>
    </xf>
    <xf numFmtId="3" fontId="0" fillId="4" borderId="57" applyAlignment="1" pivotButton="0" quotePrefix="0" xfId="0">
      <alignment vertical="top"/>
    </xf>
    <xf numFmtId="3" fontId="0" fillId="4" borderId="58" applyAlignment="1" pivotButton="0" quotePrefix="0" xfId="0">
      <alignment vertical="top"/>
    </xf>
    <xf numFmtId="3" fontId="0" fillId="4" borderId="59" applyAlignment="1" pivotButton="0" quotePrefix="0" xfId="0">
      <alignment vertical="top"/>
    </xf>
    <xf numFmtId="3" fontId="0" fillId="4" borderId="60" applyAlignment="1" pivotButton="0" quotePrefix="0" xfId="0">
      <alignment vertical="top"/>
    </xf>
    <xf numFmtId="0" fontId="10" fillId="7" borderId="0" pivotButton="0" quotePrefix="0" xfId="0"/>
    <xf numFmtId="0" fontId="0" fillId="4" borderId="0" pivotButton="0" quotePrefix="0" xfId="0"/>
    <xf numFmtId="0" fontId="6" fillId="5" borderId="61" pivotButton="0" quotePrefix="0" xfId="0"/>
    <xf numFmtId="3" fontId="0" fillId="8" borderId="62" applyAlignment="1" pivotButton="0" quotePrefix="0" xfId="0">
      <alignment horizontal="right" vertical="top"/>
    </xf>
    <xf numFmtId="3" fontId="0" fillId="8" borderId="36" applyAlignment="1" pivotButton="0" quotePrefix="0" xfId="0">
      <alignment horizontal="right" vertical="top"/>
    </xf>
    <xf numFmtId="3" fontId="0" fillId="8" borderId="63" applyAlignment="1" pivotButton="0" quotePrefix="0" xfId="0">
      <alignment horizontal="right" vertical="top"/>
    </xf>
    <xf numFmtId="3" fontId="0" fillId="4" borderId="62" applyAlignment="1" pivotButton="0" quotePrefix="0" xfId="0">
      <alignment vertical="top"/>
    </xf>
    <xf numFmtId="3" fontId="0" fillId="4" borderId="36" applyAlignment="1" pivotButton="0" quotePrefix="0" xfId="0">
      <alignment vertical="top"/>
    </xf>
    <xf numFmtId="3" fontId="0" fillId="4" borderId="63" applyAlignment="1" pivotButton="0" quotePrefix="0" xfId="0">
      <alignment vertical="top"/>
    </xf>
    <xf numFmtId="3" fontId="0" fillId="6" borderId="64" applyAlignment="1" pivotButton="0" quotePrefix="0" xfId="0">
      <alignment vertical="top"/>
    </xf>
    <xf numFmtId="3" fontId="0" fillId="6" borderId="46" applyAlignment="1" pivotButton="0" quotePrefix="0" xfId="0">
      <alignment vertical="top"/>
    </xf>
    <xf numFmtId="3" fontId="0" fillId="6" borderId="49" applyAlignment="1" pivotButton="0" quotePrefix="0" xfId="0">
      <alignment vertical="top"/>
    </xf>
    <xf numFmtId="0" fontId="6" fillId="5" borderId="65" pivotButton="0" quotePrefix="0" xfId="0"/>
    <xf numFmtId="3" fontId="0" fillId="4" borderId="66" applyAlignment="1" pivotButton="0" quotePrefix="0" xfId="0">
      <alignment vertical="top"/>
    </xf>
    <xf numFmtId="0" fontId="5" fillId="9" borderId="65" applyAlignment="1" pivotButton="0" quotePrefix="0" xfId="0">
      <alignment horizontal="center" vertical="top"/>
    </xf>
    <xf numFmtId="3" fontId="0" fillId="9" borderId="67" applyAlignment="1" pivotButton="0" quotePrefix="0" xfId="0">
      <alignment vertical="top"/>
    </xf>
    <xf numFmtId="0" fontId="1" fillId="2" borderId="2" applyAlignment="1" pivotButton="0" quotePrefix="0" xfId="0">
      <alignment horizontal="center" vertical="center"/>
    </xf>
    <xf numFmtId="164" fontId="3" fillId="3" borderId="4" pivotButton="0" quotePrefix="0" xfId="0"/>
    <xf numFmtId="164" fontId="3" fillId="3" borderId="6" pivotButton="0" quotePrefix="0" xfId="0"/>
    <xf numFmtId="165" fontId="0" fillId="0" borderId="0" pivotButton="0" quotePrefix="0" xfId="0"/>
    <xf numFmtId="3" fontId="7" fillId="0" borderId="19" applyAlignment="1" pivotButton="0" quotePrefix="0" xfId="0">
      <alignment horizontal="center"/>
    </xf>
    <xf numFmtId="4" fontId="0" fillId="4" borderId="20" pivotButton="0" quotePrefix="0" xfId="0"/>
    <xf numFmtId="3" fontId="7" fillId="0" borderId="22" applyAlignment="1" pivotButton="0" quotePrefix="0" xfId="0">
      <alignment horizontal="center"/>
    </xf>
    <xf numFmtId="3" fontId="7" fillId="0" borderId="29" applyAlignment="1" pivotButton="0" quotePrefix="0" xfId="0">
      <alignment horizontal="center"/>
    </xf>
    <xf numFmtId="4" fontId="0" fillId="4" borderId="0" pivotButton="0" quotePrefix="0" xfId="0"/>
    <xf numFmtId="3" fontId="7" fillId="0" borderId="31" applyAlignment="1" pivotButton="0" quotePrefix="0" xfId="0">
      <alignment horizontal="center"/>
    </xf>
    <xf numFmtId="3" fontId="7" fillId="0" borderId="48" applyAlignment="1" pivotButton="0" quotePrefix="0" xfId="0">
      <alignment horizontal="center"/>
    </xf>
    <xf numFmtId="4" fontId="0" fillId="4" borderId="12" pivotButton="0" quotePrefix="0" xfId="0"/>
    <xf numFmtId="3" fontId="7" fillId="0" borderId="50" applyAlignment="1" pivotButton="0" quotePrefix="0" xfId="0">
      <alignment horizontal="center"/>
    </xf>
    <xf numFmtId="4" fontId="0" fillId="4" borderId="54" applyAlignment="1" pivotButton="0" quotePrefix="0" xfId="0">
      <alignment vertical="top"/>
    </xf>
    <xf numFmtId="4" fontId="0" fillId="4" borderId="17" applyAlignment="1" pivotButton="0" quotePrefix="0" xfId="0">
      <alignment vertical="top"/>
    </xf>
    <xf numFmtId="4" fontId="0" fillId="4" borderId="55" applyAlignment="1" pivotButton="0" quotePrefix="0" xfId="0">
      <alignment vertical="top"/>
    </xf>
    <xf numFmtId="4" fontId="0" fillId="4" borderId="56" applyAlignment="1" pivotButton="0" quotePrefix="0" xfId="0">
      <alignment vertical="top"/>
    </xf>
    <xf numFmtId="4" fontId="0" fillId="4" borderId="27" applyAlignment="1" pivotButton="0" quotePrefix="0" xfId="0">
      <alignment vertical="top"/>
    </xf>
    <xf numFmtId="4" fontId="0" fillId="4" borderId="57" applyAlignment="1" pivotButton="0" quotePrefix="0" xfId="0">
      <alignment vertical="top"/>
    </xf>
    <xf numFmtId="4" fontId="0" fillId="4" borderId="58" applyAlignment="1" pivotButton="0" quotePrefix="0" xfId="0">
      <alignment vertical="top"/>
    </xf>
    <xf numFmtId="4" fontId="0" fillId="4" borderId="59" applyAlignment="1" pivotButton="0" quotePrefix="0" xfId="0">
      <alignment vertical="top"/>
    </xf>
    <xf numFmtId="4" fontId="0" fillId="4" borderId="60" applyAlignment="1" pivotButton="0" quotePrefix="0" xfId="0">
      <alignment vertical="top"/>
    </xf>
    <xf numFmtId="4" fontId="0" fillId="8" borderId="62" applyAlignment="1" pivotButton="0" quotePrefix="0" xfId="0">
      <alignment horizontal="right" vertical="top"/>
    </xf>
    <xf numFmtId="4" fontId="0" fillId="8" borderId="36" applyAlignment="1" pivotButton="0" quotePrefix="0" xfId="0">
      <alignment horizontal="right" vertical="top"/>
    </xf>
    <xf numFmtId="4" fontId="0" fillId="8" borderId="63" applyAlignment="1" pivotButton="0" quotePrefix="0" xfId="0">
      <alignment horizontal="right" vertical="top"/>
    </xf>
    <xf numFmtId="4" fontId="0" fillId="4" borderId="62" applyAlignment="1" pivotButton="0" quotePrefix="0" xfId="0">
      <alignment vertical="top"/>
    </xf>
    <xf numFmtId="4" fontId="0" fillId="4" borderId="36" applyAlignment="1" pivotButton="0" quotePrefix="0" xfId="0">
      <alignment vertical="top"/>
    </xf>
    <xf numFmtId="4" fontId="0" fillId="4" borderId="63" applyAlignment="1" pivotButton="0" quotePrefix="0" xfId="0">
      <alignment vertical="top"/>
    </xf>
    <xf numFmtId="4" fontId="0" fillId="6" borderId="64" applyAlignment="1" pivotButton="0" quotePrefix="0" xfId="0">
      <alignment vertical="top"/>
    </xf>
    <xf numFmtId="4" fontId="0" fillId="6" borderId="46" applyAlignment="1" pivotButton="0" quotePrefix="0" xfId="0">
      <alignment vertical="top"/>
    </xf>
    <xf numFmtId="4" fontId="0" fillId="6" borderId="49" applyAlignment="1" pivotButton="0" quotePrefix="0" xfId="0">
      <alignment vertical="top"/>
    </xf>
    <xf numFmtId="4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 codeName="wrk_DStats_EX1">
    <outlinePr summaryBelow="1" summaryRight="1"/>
    <pageSetUpPr/>
  </sheetPr>
  <dimension ref="A1:AZ303"/>
  <sheetViews>
    <sheetView showGridLines="0" tabSelected="1" zoomScale="80" zoomScaleNormal="80" workbookViewId="0">
      <pane ySplit="13" topLeftCell="A79" activePane="bottomLeft" state="frozen"/>
      <selection activeCell="H10" sqref="H10"/>
      <selection pane="bottomLeft" activeCell="B101" sqref="B101"/>
    </sheetView>
  </sheetViews>
  <sheetFormatPr baseColWidth="8" defaultColWidth="8.77734375" defaultRowHeight="14.4"/>
  <cols>
    <col width="20.6640625" customWidth="1" min="2" max="2"/>
    <col width="2.6640625" customWidth="1" min="3" max="3"/>
    <col width="15.6640625" customWidth="1" min="4" max="8"/>
    <col width="2.6640625" customWidth="1" min="9" max="9"/>
    <col width="15.6640625" customWidth="1" min="10" max="14"/>
    <col width="2.6640625" customWidth="1" min="15" max="15"/>
    <col width="15.6640625" customWidth="1" min="16" max="20"/>
    <col width="2.6640625" customWidth="1" min="21" max="21"/>
    <col width="15.6640625" customWidth="1" min="22" max="26"/>
    <col width="2.6640625" customWidth="1" min="27" max="27"/>
    <col width="8.6640625" customWidth="1" min="31" max="31"/>
    <col width="37.44140625" customWidth="1" min="32" max="32"/>
    <col width="46.6640625" bestFit="1" customWidth="1" min="33" max="33"/>
    <col width="15.6640625" customWidth="1" min="34" max="35"/>
    <col width="5.6640625" customWidth="1" min="36" max="36"/>
    <col width="8.6640625" customWidth="1" min="37" max="37"/>
    <col width="36.6640625" customWidth="1" min="38" max="38"/>
    <col width="46.6640625" customWidth="1" min="39" max="39"/>
    <col width="15.6640625" customWidth="1" min="40" max="40"/>
    <col width="5.6640625" customWidth="1" min="41" max="41"/>
    <col width="8.6640625" customWidth="1" min="42" max="42"/>
    <col width="30.6640625" customWidth="1" min="43" max="44"/>
    <col width="12.6640625" customWidth="1" min="45" max="47"/>
    <col width="15.6640625" customWidth="1" min="49" max="54"/>
  </cols>
  <sheetData>
    <row r="1" hidden="1"/>
    <row r="2" hidden="1"/>
    <row r="3" hidden="1"/>
    <row r="4" hidden="1"/>
    <row r="5" hidden="1"/>
    <row r="6" hidden="1"/>
    <row r="7" hidden="1"/>
    <row r="8" hidden="1"/>
    <row r="9" hidden="1"/>
    <row r="10" hidden="1"/>
    <row r="11" hidden="1"/>
    <row r="12" hidden="1"/>
    <row r="13" hidden="1"/>
    <row r="14" ht="15" customHeight="1" thickBot="1"/>
    <row r="15" ht="18.6" customHeight="1" thickBot="1">
      <c r="B15" s="1" t="n"/>
      <c r="C15" s="2" t="n"/>
      <c r="D15" s="114" t="inlineStr">
        <is>
          <t>General Dynamics</t>
        </is>
      </c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  <c r="AA15" s="2" t="n"/>
      <c r="AB15" s="2" t="n"/>
      <c r="AC15" s="2" t="n"/>
      <c r="AD15" s="2" t="n"/>
      <c r="AE15" s="2" t="n"/>
      <c r="AF15" s="2" t="n"/>
      <c r="AG15" s="2" t="n"/>
      <c r="AH15" s="2" t="n"/>
      <c r="AI15" s="2" t="n"/>
      <c r="AJ15" s="2" t="n"/>
      <c r="AK15" s="2" t="n"/>
      <c r="AL15" s="2" t="n"/>
      <c r="AM15" s="2" t="n"/>
      <c r="AN15" s="3" t="n"/>
    </row>
    <row r="16" ht="15" customHeight="1" thickBot="1"/>
    <row r="17" ht="15" customHeight="1" thickBot="1">
      <c r="B17" s="4" t="n"/>
      <c r="C17" s="4" t="inlineStr">
        <is>
          <t>Start Date:</t>
        </is>
      </c>
      <c r="D17" s="115" t="inlineStr">
        <is>
          <t>09/01/2024</t>
        </is>
      </c>
      <c r="AD17" s="4" t="n"/>
      <c r="AE17" s="4" t="n"/>
      <c r="AF17" s="6" t="n">
        <v>2027</v>
      </c>
    </row>
    <row r="18">
      <c r="B18" s="4" t="n"/>
      <c r="C18" s="4" t="inlineStr">
        <is>
          <t>End Date:</t>
        </is>
      </c>
      <c r="D18" s="116" t="inlineStr">
        <is>
          <t>08/31/2025</t>
        </is>
      </c>
      <c r="AJ18" s="117" t="n"/>
    </row>
    <row r="19" ht="15" customHeight="1" thickBot="1">
      <c r="B19" s="4" t="n"/>
      <c r="C19" s="4" t="inlineStr">
        <is>
          <t>Total Months:</t>
        </is>
      </c>
      <c r="D19" s="9" t="n">
        <v>12</v>
      </c>
    </row>
    <row r="20" ht="15" customHeight="1" thickBot="1"/>
    <row r="21" ht="15" customHeight="1" thickBot="1">
      <c r="B21" s="10" t="n"/>
      <c r="C21" s="10" t="n"/>
      <c r="D21" s="11" t="inlineStr">
        <is>
          <t xml:space="preserve">Base Yr Claims </t>
        </is>
      </c>
      <c r="E21" s="12" t="n"/>
      <c r="F21" s="12" t="n"/>
      <c r="G21" s="13" t="n"/>
      <c r="H21" s="14" t="n"/>
      <c r="AE21" s="11" t="inlineStr">
        <is>
          <t>Forecast based on time period: 2027</t>
        </is>
      </c>
      <c r="AF21" s="12" t="n"/>
      <c r="AG21" s="12" t="n"/>
      <c r="AH21" s="12" t="n"/>
      <c r="AI21" s="12" t="n"/>
      <c r="AJ21" s="12" t="n"/>
      <c r="AK21" s="12" t="n"/>
      <c r="AL21" s="12" t="n"/>
      <c r="AM21" s="15" t="n"/>
      <c r="AN21" s="15" t="n"/>
    </row>
    <row r="22" ht="15" customHeight="1" thickBot="1">
      <c r="B22" s="10" t="n"/>
      <c r="C22" s="10" t="n"/>
      <c r="D22" s="16" t="n"/>
      <c r="E22" s="16" t="n"/>
      <c r="F22" s="16" t="n"/>
      <c r="G22" s="17" t="n"/>
      <c r="H22" s="18" t="n"/>
    </row>
    <row r="23" ht="15" customHeight="1" thickBot="1">
      <c r="B23" s="19" t="n"/>
      <c r="C23" s="10" t="n"/>
      <c r="D23" s="20" t="inlineStr">
        <is>
          <t>w Exclusions</t>
        </is>
      </c>
      <c r="E23" s="21" t="n"/>
      <c r="F23" s="21" t="n"/>
      <c r="G23" s="21" t="n"/>
      <c r="H23" s="22" t="n"/>
      <c r="AE23" s="20" t="inlineStr">
        <is>
          <t>Overall - Rebatable</t>
        </is>
      </c>
      <c r="AF23" s="21" t="n"/>
      <c r="AG23" s="21" t="n"/>
      <c r="AH23" s="23" t="n"/>
      <c r="AI23" s="23" t="n"/>
      <c r="AK23" s="24" t="inlineStr">
        <is>
          <t>Overall - Non Rebatable (Brand Only)</t>
        </is>
      </c>
      <c r="AL23" s="25" t="n"/>
      <c r="AM23" s="25" t="n"/>
      <c r="AN23" s="26" t="n"/>
    </row>
    <row r="24" ht="30.3" customHeight="1" thickBot="1">
      <c r="B24" s="27" t="inlineStr">
        <is>
          <t>Brand</t>
        </is>
      </c>
      <c r="C24" s="10" t="n"/>
      <c r="D24" s="28" t="inlineStr">
        <is>
          <t>Rx Count</t>
        </is>
      </c>
      <c r="E24" s="29" t="inlineStr">
        <is>
          <t>Quantity</t>
        </is>
      </c>
      <c r="F24" s="29" t="inlineStr">
        <is>
          <t>Days Supply</t>
        </is>
      </c>
      <c r="G24" s="29" t="inlineStr">
        <is>
          <t>Avg Qnty</t>
        </is>
      </c>
      <c r="H24" s="30" t="inlineStr">
        <is>
          <t>Avg DS</t>
        </is>
      </c>
      <c r="I24" s="31" t="n"/>
      <c r="J24" s="31" t="n"/>
      <c r="K24" s="31" t="n"/>
      <c r="L24" s="31" t="n"/>
      <c r="M24" s="31" t="n"/>
      <c r="N24" s="31" t="n"/>
      <c r="O24" s="31" t="n"/>
      <c r="P24" s="31" t="n"/>
      <c r="Q24" s="31" t="n"/>
      <c r="R24" s="31" t="n"/>
      <c r="S24" s="31" t="n"/>
      <c r="T24" s="31" t="n"/>
      <c r="U24" s="31" t="n"/>
      <c r="V24" s="31" t="n"/>
      <c r="W24" s="31" t="n"/>
      <c r="X24" s="31" t="n"/>
      <c r="Y24" s="31" t="n"/>
      <c r="Z24" s="31" t="n"/>
      <c r="AA24" s="31" t="n"/>
      <c r="AE24" s="32" t="inlineStr">
        <is>
          <t>Rank</t>
        </is>
      </c>
      <c r="AF24" s="33" t="inlineStr">
        <is>
          <t>Drug Name</t>
        </is>
      </c>
      <c r="AG24" s="33" t="inlineStr">
        <is>
          <t>Therapeutic Class</t>
        </is>
      </c>
      <c r="AH24" s="33" t="inlineStr">
        <is>
          <t>Total Rebates</t>
        </is>
      </c>
      <c r="AI24" s="34" t="inlineStr">
        <is>
          <t>Scripts</t>
        </is>
      </c>
      <c r="AK24" s="35" t="inlineStr">
        <is>
          <t>Rank</t>
        </is>
      </c>
      <c r="AL24" s="36" t="inlineStr">
        <is>
          <t>Drug Name</t>
        </is>
      </c>
      <c r="AM24" s="36" t="inlineStr">
        <is>
          <t>Therapeutic Class</t>
        </is>
      </c>
      <c r="AN24" s="37" t="inlineStr">
        <is>
          <t>Scripts</t>
        </is>
      </c>
    </row>
    <row r="25">
      <c r="B25" s="38" t="inlineStr">
        <is>
          <t>Retail 30</t>
        </is>
      </c>
      <c r="C25" s="10" t="n"/>
      <c r="D25" s="39" t="n">
        <v>141238</v>
      </c>
      <c r="E25" s="40" t="n">
        <v>3797425.715195745</v>
      </c>
      <c r="F25" s="40" t="n">
        <v>3617119</v>
      </c>
      <c r="G25" s="41" t="n">
        <v>26.88671402310812</v>
      </c>
      <c r="H25" s="42" t="n">
        <v>25.6100978490208</v>
      </c>
      <c r="I25" s="31" t="n"/>
      <c r="J25" s="31" t="n"/>
      <c r="K25" s="31" t="n"/>
      <c r="L25" s="31" t="n"/>
      <c r="M25" s="31" t="n"/>
      <c r="N25" s="31" t="n"/>
      <c r="O25" s="31" t="n"/>
      <c r="P25" s="31" t="n"/>
      <c r="Q25" s="31" t="n"/>
      <c r="R25" s="31" t="n"/>
      <c r="S25" s="31" t="n"/>
      <c r="T25" s="31" t="n"/>
      <c r="U25" s="31" t="n"/>
      <c r="V25" s="31" t="n"/>
      <c r="W25" s="31" t="n"/>
      <c r="X25" s="31" t="n"/>
      <c r="Y25" s="31" t="n"/>
      <c r="Z25" s="31" t="n"/>
      <c r="AA25" s="31" t="n"/>
      <c r="AE25" s="118" t="n">
        <v>1</v>
      </c>
      <c r="AF25" s="44" t="inlineStr">
        <is>
          <t>MOUNJARO</t>
        </is>
      </c>
      <c r="AG25" s="44" t="inlineStr">
        <is>
          <t>GLUCAGON-LIKE PEPTIDE-1 AGONISTS (GLP1)</t>
        </is>
      </c>
      <c r="AH25" s="119" t="n">
        <v>18109457.88932022</v>
      </c>
      <c r="AI25" s="46" t="n">
        <v>37842.21210599999</v>
      </c>
      <c r="AK25" s="120" t="n">
        <v>1</v>
      </c>
      <c r="AL25" s="44" t="inlineStr">
        <is>
          <t>TRIKAFTA</t>
        </is>
      </c>
      <c r="AM25" s="44" t="inlineStr">
        <is>
          <t>CYSTIC FIBROSIS</t>
        </is>
      </c>
      <c r="AN25" s="48" t="n">
        <v>100.970512</v>
      </c>
    </row>
    <row r="26">
      <c r="B26" s="49" t="inlineStr">
        <is>
          <t>Retail 90</t>
        </is>
      </c>
      <c r="C26" s="10" t="n"/>
      <c r="D26" s="50" t="n">
        <v>31427</v>
      </c>
      <c r="E26" s="51" t="n">
        <v>2338263.499864668</v>
      </c>
      <c r="F26" s="51" t="n">
        <v>2793930</v>
      </c>
      <c r="G26" s="52" t="n">
        <v>74.40301332817856</v>
      </c>
      <c r="H26" s="53" t="n">
        <v>88.90221783816463</v>
      </c>
      <c r="I26" s="31" t="n"/>
      <c r="J26" s="31" t="n"/>
      <c r="K26" s="31" t="n"/>
      <c r="L26" s="31" t="n"/>
      <c r="M26" s="31" t="n"/>
      <c r="N26" s="31" t="n"/>
      <c r="O26" s="31" t="n"/>
      <c r="P26" s="31" t="n"/>
      <c r="Q26" s="31" t="n"/>
      <c r="R26" s="31" t="n"/>
      <c r="S26" s="31" t="n"/>
      <c r="T26" s="31" t="n"/>
      <c r="U26" s="31" t="n"/>
      <c r="V26" s="31" t="n"/>
      <c r="W26" s="31" t="n"/>
      <c r="X26" s="31" t="n"/>
      <c r="Y26" s="31" t="n"/>
      <c r="Z26" s="31" t="n"/>
      <c r="AA26" s="31" t="n"/>
      <c r="AE26" s="121" t="n">
        <v>2</v>
      </c>
      <c r="AF26" t="inlineStr">
        <is>
          <t>SKYRIZI PEN</t>
        </is>
      </c>
      <c r="AG26" t="inlineStr">
        <is>
          <t>IMMUNOMODULATORS</t>
        </is>
      </c>
      <c r="AH26" s="122" t="n">
        <v>9757022.106748115</v>
      </c>
      <c r="AI26" s="56" t="n">
        <v>1010.22492</v>
      </c>
      <c r="AK26" s="123" t="n">
        <v>2</v>
      </c>
      <c r="AL26" t="inlineStr">
        <is>
          <t>BIKTARVY</t>
        </is>
      </c>
      <c r="AM26" t="inlineStr">
        <is>
          <t>HIV-MULTICLASS COMBO</t>
        </is>
      </c>
      <c r="AN26" s="58" t="n">
        <v>596.3959799999999</v>
      </c>
    </row>
    <row r="27" ht="15" customHeight="1" thickBot="1">
      <c r="B27" s="59" t="inlineStr">
        <is>
          <t>Mail</t>
        </is>
      </c>
      <c r="C27" s="10" t="n"/>
      <c r="D27" s="60" t="n">
        <v>10741</v>
      </c>
      <c r="E27" s="61" t="n">
        <v>805466.9249405116</v>
      </c>
      <c r="F27" s="61" t="n">
        <v>760053</v>
      </c>
      <c r="G27" s="62" t="n">
        <v>74.98993808216289</v>
      </c>
      <c r="H27" s="63" t="n">
        <v>70.76184712782795</v>
      </c>
      <c r="I27" s="31" t="n"/>
      <c r="J27" s="31" t="n"/>
      <c r="K27" s="31" t="n"/>
      <c r="L27" s="31" t="n"/>
      <c r="M27" s="31" t="n"/>
      <c r="N27" s="31" t="n"/>
      <c r="O27" s="31" t="n"/>
      <c r="P27" s="31" t="n"/>
      <c r="Q27" s="31" t="n"/>
      <c r="R27" s="31" t="n"/>
      <c r="S27" s="31" t="n"/>
      <c r="T27" s="31" t="n"/>
      <c r="U27" s="31" t="n"/>
      <c r="V27" s="31" t="n"/>
      <c r="W27" s="31" t="n"/>
      <c r="X27" s="31" t="n"/>
      <c r="Y27" s="31" t="n"/>
      <c r="Z27" s="31" t="n"/>
      <c r="AA27" s="31" t="n"/>
      <c r="AE27" s="121" t="n">
        <v>3</v>
      </c>
      <c r="AF27" t="inlineStr">
        <is>
          <t>OZEMPIC</t>
        </is>
      </c>
      <c r="AG27" t="inlineStr">
        <is>
          <t>GLUCAGON-LIKE PEPTIDE-1 AGONISTS (GLP1)</t>
        </is>
      </c>
      <c r="AH27" s="122" t="n">
        <v>7759533.542697988</v>
      </c>
      <c r="AI27" s="56" t="n">
        <v>14824.49351</v>
      </c>
      <c r="AK27" s="123" t="n">
        <v>3</v>
      </c>
      <c r="AL27" t="inlineStr">
        <is>
          <t>ELIQUIS</t>
        </is>
      </c>
      <c r="AM27" t="inlineStr">
        <is>
          <t>ORAL ANTICOAGULANTS</t>
        </is>
      </c>
      <c r="AN27" s="58" t="n">
        <v>5564.442124999998</v>
      </c>
    </row>
    <row r="28" ht="15" customHeight="1" thickTop="1">
      <c r="B28" s="64" t="inlineStr">
        <is>
          <t>Non-Specialty</t>
        </is>
      </c>
      <c r="C28" s="10" t="n"/>
      <c r="D28" s="65" t="n">
        <v>183406</v>
      </c>
      <c r="E28" s="66" t="n">
        <v>6941156.140000924</v>
      </c>
      <c r="F28" s="66" t="n">
        <v>7171102</v>
      </c>
      <c r="G28" s="67" t="n">
        <v>37.84585095362706</v>
      </c>
      <c r="H28" s="68" t="n">
        <v>39.09960415689781</v>
      </c>
      <c r="I28" s="31" t="n"/>
      <c r="J28" s="31" t="n"/>
      <c r="K28" s="31" t="n"/>
      <c r="L28" s="31" t="n"/>
      <c r="M28" s="31" t="n"/>
      <c r="N28" s="31" t="n"/>
      <c r="O28" s="31" t="n"/>
      <c r="P28" s="31" t="n"/>
      <c r="Q28" s="31" t="n"/>
      <c r="R28" s="31" t="n"/>
      <c r="S28" s="31" t="n"/>
      <c r="T28" s="31" t="n"/>
      <c r="U28" s="31" t="n"/>
      <c r="V28" s="31" t="n"/>
      <c r="W28" s="31" t="n"/>
      <c r="X28" s="31" t="n"/>
      <c r="Y28" s="31" t="n"/>
      <c r="Z28" s="31" t="n"/>
      <c r="AA28" s="31" t="n"/>
      <c r="AE28" s="121" t="n">
        <v>4</v>
      </c>
      <c r="AF28" t="inlineStr">
        <is>
          <t>STELARA</t>
        </is>
      </c>
      <c r="AG28" t="inlineStr">
        <is>
          <t>IMMUNOMODULATORS</t>
        </is>
      </c>
      <c r="AH28" s="122" t="n">
        <v>7588478.775918763</v>
      </c>
      <c r="AI28" s="56" t="n">
        <v>486.1268050000001</v>
      </c>
      <c r="AK28" s="123" t="n">
        <v>4</v>
      </c>
      <c r="AL28" t="inlineStr">
        <is>
          <t>DESCOVY</t>
        </is>
      </c>
      <c r="AM28" t="inlineStr">
        <is>
          <t>HIV-MULTICLASS COMBO</t>
        </is>
      </c>
      <c r="AN28" s="58" t="n">
        <v>854.8342379999998</v>
      </c>
    </row>
    <row r="29" ht="15" customHeight="1" thickBot="1">
      <c r="B29" s="59" t="inlineStr">
        <is>
          <t>Specialty</t>
        </is>
      </c>
      <c r="C29" s="10" t="n"/>
      <c r="D29" s="60" t="n">
        <v>17682</v>
      </c>
      <c r="E29" s="61" t="n">
        <v>1276137.360008448</v>
      </c>
      <c r="F29" s="61" t="n">
        <v>729525</v>
      </c>
      <c r="G29" s="62" t="n">
        <v>72.17155073003327</v>
      </c>
      <c r="H29" s="63" t="n">
        <v>41.25805904309468</v>
      </c>
      <c r="I29" s="31" t="n"/>
      <c r="J29" s="31" t="n"/>
      <c r="K29" s="31" t="n"/>
      <c r="L29" s="31" t="n"/>
      <c r="M29" s="31" t="n"/>
      <c r="N29" s="31" t="n"/>
      <c r="O29" s="31" t="n"/>
      <c r="P29" s="31" t="n"/>
      <c r="Q29" s="31" t="n"/>
      <c r="R29" s="31" t="n"/>
      <c r="S29" s="31" t="n"/>
      <c r="T29" s="31" t="n"/>
      <c r="U29" s="31" t="n"/>
      <c r="V29" s="31" t="n"/>
      <c r="W29" s="31" t="n"/>
      <c r="X29" s="31" t="n"/>
      <c r="Y29" s="31" t="n"/>
      <c r="Z29" s="31" t="n"/>
      <c r="AA29" s="31" t="n"/>
      <c r="AE29" s="121" t="n">
        <v>5</v>
      </c>
      <c r="AF29" t="inlineStr">
        <is>
          <t>HUMIRA PEN</t>
        </is>
      </c>
      <c r="AG29" t="inlineStr">
        <is>
          <t>IMMUNOMODULATORS</t>
        </is>
      </c>
      <c r="AH29" s="122" t="n">
        <v>6558858.621744172</v>
      </c>
      <c r="AI29" s="56" t="n">
        <v>653.7930999999999</v>
      </c>
      <c r="AK29" s="123" t="n">
        <v>5</v>
      </c>
      <c r="AL29" t="inlineStr">
        <is>
          <t>GONAL-F RFF REDIJECT</t>
        </is>
      </c>
      <c r="AM29" t="inlineStr">
        <is>
          <t>FERTILITY MEDICATIONS</t>
        </is>
      </c>
      <c r="AN29" s="58" t="n">
        <v>231.141027</v>
      </c>
    </row>
    <row r="30" ht="15.6" customHeight="1" thickBot="1" thickTop="1">
      <c r="B30" s="69" t="inlineStr">
        <is>
          <t>Total</t>
        </is>
      </c>
      <c r="C30" s="10" t="n"/>
      <c r="D30" s="70" t="n">
        <v>201088</v>
      </c>
      <c r="E30" s="71" t="n">
        <v>8217293.500009373</v>
      </c>
      <c r="F30" s="71" t="n">
        <v>7900627</v>
      </c>
      <c r="G30" s="72" t="n">
        <v>40.86416643464241</v>
      </c>
      <c r="H30" s="73" t="n">
        <v>39.28940066040738</v>
      </c>
      <c r="I30" s="31" t="n"/>
      <c r="J30" s="31" t="n"/>
      <c r="K30" s="31" t="n"/>
      <c r="L30" s="31" t="n"/>
      <c r="M30" s="31" t="n"/>
      <c r="N30" s="31" t="n"/>
      <c r="O30" s="31" t="n"/>
      <c r="P30" s="31" t="n"/>
      <c r="Q30" s="31" t="n"/>
      <c r="R30" s="31" t="n"/>
      <c r="S30" s="31" t="n"/>
      <c r="T30" s="31" t="n"/>
      <c r="U30" s="31" t="n"/>
      <c r="V30" s="31" t="n"/>
      <c r="W30" s="31" t="n"/>
      <c r="X30" s="31" t="n"/>
      <c r="Y30" s="31" t="n"/>
      <c r="Z30" s="31" t="n"/>
      <c r="AA30" s="31" t="n"/>
      <c r="AE30" s="121" t="n">
        <v>6</v>
      </c>
      <c r="AF30" t="inlineStr">
        <is>
          <t>SKYRIZI</t>
        </is>
      </c>
      <c r="AG30" t="inlineStr">
        <is>
          <t>IMMUNOMODULATORS</t>
        </is>
      </c>
      <c r="AH30" s="122" t="n">
        <v>5701366.507886538</v>
      </c>
      <c r="AI30" s="56" t="n">
        <v>563.805105</v>
      </c>
      <c r="AK30" s="123" t="n">
        <v>6</v>
      </c>
      <c r="AL30" t="inlineStr">
        <is>
          <t>COSENTYX UNOREADY</t>
        </is>
      </c>
      <c r="AM30" t="inlineStr">
        <is>
          <t>IMMUNOMODULATORS</t>
        </is>
      </c>
      <c r="AN30" s="58" t="n">
        <v>156.06674</v>
      </c>
    </row>
    <row r="31">
      <c r="B31" s="10" t="n"/>
      <c r="C31" s="10" t="n"/>
      <c r="D31" s="74" t="n"/>
      <c r="E31" s="74" t="n"/>
      <c r="F31" s="74" t="n"/>
      <c r="G31" s="75" t="n"/>
      <c r="H31" s="76" t="n"/>
      <c r="I31" s="31" t="n"/>
      <c r="J31" s="31" t="n"/>
      <c r="K31" s="31" t="n"/>
      <c r="L31" s="31" t="n"/>
      <c r="M31" s="31" t="n"/>
      <c r="N31" s="31" t="n"/>
      <c r="O31" s="31" t="n"/>
      <c r="P31" s="31" t="n"/>
      <c r="Q31" s="31" t="n"/>
      <c r="R31" s="31" t="n"/>
      <c r="S31" s="31" t="n"/>
      <c r="T31" s="31" t="n"/>
      <c r="U31" s="31" t="n"/>
      <c r="V31" s="31" t="n"/>
      <c r="W31" s="31" t="n"/>
      <c r="X31" s="31" t="n"/>
      <c r="Y31" s="31" t="n"/>
      <c r="Z31" s="31" t="n"/>
      <c r="AA31" s="31" t="n"/>
      <c r="AE31" s="121" t="n">
        <v>7</v>
      </c>
      <c r="AF31" t="inlineStr">
        <is>
          <t>DUPIXENT</t>
        </is>
      </c>
      <c r="AG31" t="inlineStr">
        <is>
          <t>CHRONIC INFLAMMATORY DISEASE</t>
        </is>
      </c>
      <c r="AH31" s="122" t="n">
        <v>4800733.687657373</v>
      </c>
      <c r="AI31" s="56" t="n">
        <v>3352.283312</v>
      </c>
      <c r="AK31" s="123" t="n">
        <v>7</v>
      </c>
      <c r="AL31" t="inlineStr">
        <is>
          <t>JAKAFI</t>
        </is>
      </c>
      <c r="AM31" t="inlineStr">
        <is>
          <t>ONCOLOGY</t>
        </is>
      </c>
      <c r="AN31" s="58" t="n">
        <v>91.84203599999999</v>
      </c>
      <c r="AW31" s="77" t="n"/>
      <c r="AX31" s="78" t="n"/>
      <c r="AY31" s="78" t="n"/>
      <c r="AZ31" s="78" t="n"/>
    </row>
    <row r="32" ht="15" customHeight="1" thickBot="1">
      <c r="B32" s="27" t="inlineStr">
        <is>
          <t>Generic</t>
        </is>
      </c>
      <c r="C32" s="10" t="n"/>
      <c r="D32" s="79" t="n"/>
      <c r="E32" s="79" t="n"/>
      <c r="F32" s="79" t="n"/>
      <c r="G32" s="79" t="n"/>
      <c r="H32" s="80" t="n"/>
      <c r="I32" s="31" t="n"/>
      <c r="J32" s="31" t="n"/>
      <c r="K32" s="31" t="n"/>
      <c r="L32" s="31" t="n"/>
      <c r="M32" s="31" t="n"/>
      <c r="N32" s="31" t="n"/>
      <c r="O32" s="31" t="n"/>
      <c r="P32" s="31" t="n"/>
      <c r="Q32" s="31" t="n"/>
      <c r="R32" s="31" t="n"/>
      <c r="S32" s="31" t="n"/>
      <c r="T32" s="31" t="n"/>
      <c r="U32" s="31" t="n"/>
      <c r="V32" s="31" t="n"/>
      <c r="W32" s="31" t="n"/>
      <c r="X32" s="31" t="n"/>
      <c r="Y32" s="31" t="n"/>
      <c r="Z32" s="31" t="n"/>
      <c r="AA32" s="31" t="n"/>
      <c r="AE32" s="121" t="n">
        <v>8</v>
      </c>
      <c r="AF32" t="inlineStr">
        <is>
          <t>RINVOQ</t>
        </is>
      </c>
      <c r="AG32" t="inlineStr">
        <is>
          <t>IMMUNOMODULATORS</t>
        </is>
      </c>
      <c r="AH32" s="122" t="n">
        <v>4370682.860778647</v>
      </c>
      <c r="AI32" s="56" t="n">
        <v>752.332995</v>
      </c>
      <c r="AK32" s="123" t="n">
        <v>8</v>
      </c>
      <c r="AL32" t="inlineStr">
        <is>
          <t>COSENTYX SENSOREADY PEN</t>
        </is>
      </c>
      <c r="AM32" t="inlineStr">
        <is>
          <t>IMMUNOMODULATORS</t>
        </is>
      </c>
      <c r="AN32" s="58" t="n">
        <v>199.301445</v>
      </c>
    </row>
    <row r="33">
      <c r="B33" s="38" t="inlineStr">
        <is>
          <t>Retail 30</t>
        </is>
      </c>
      <c r="C33" s="10" t="n"/>
      <c r="D33" s="39" t="n">
        <v>1070496</v>
      </c>
      <c r="E33" s="40" t="n">
        <v>47379914.577124</v>
      </c>
      <c r="F33" s="40" t="n">
        <v>25884807</v>
      </c>
      <c r="G33" s="41" t="n">
        <v>44.25977731549114</v>
      </c>
      <c r="H33" s="42" t="n">
        <v>24.18019964577168</v>
      </c>
      <c r="I33" s="31" t="n"/>
      <c r="J33" s="31" t="n"/>
      <c r="K33" s="31" t="n"/>
      <c r="L33" s="31" t="n"/>
      <c r="M33" s="31" t="n"/>
      <c r="N33" s="31" t="n"/>
      <c r="O33" s="31" t="n"/>
      <c r="P33" s="31" t="n"/>
      <c r="Q33" s="31" t="n"/>
      <c r="R33" s="31" t="n"/>
      <c r="S33" s="31" t="n"/>
      <c r="T33" s="31" t="n"/>
      <c r="U33" s="31" t="n"/>
      <c r="V33" s="31" t="n"/>
      <c r="W33" s="31" t="n"/>
      <c r="X33" s="31" t="n"/>
      <c r="Y33" s="31" t="n"/>
      <c r="Z33" s="31" t="n"/>
      <c r="AA33" s="31" t="n"/>
      <c r="AE33" s="121" t="n">
        <v>9</v>
      </c>
      <c r="AF33" t="inlineStr">
        <is>
          <t>JARDIANCE</t>
        </is>
      </c>
      <c r="AG33" t="inlineStr">
        <is>
          <t>SGLT-2 INHIBITORS &amp; COMBOS</t>
        </is>
      </c>
      <c r="AH33" s="122" t="n">
        <v>2475125.47637868</v>
      </c>
      <c r="AI33" s="56" t="n">
        <v>12388.239665</v>
      </c>
      <c r="AK33" s="123" t="n">
        <v>9</v>
      </c>
      <c r="AL33" t="inlineStr">
        <is>
          <t>OXERVATE</t>
        </is>
      </c>
      <c r="AM33" t="inlineStr">
        <is>
          <t>OPHTHALMIC NERVE GROWTH FACTORS</t>
        </is>
      </c>
      <c r="AN33" s="58" t="n">
        <v>37.74597199999999</v>
      </c>
    </row>
    <row r="34">
      <c r="B34" s="49" t="inlineStr">
        <is>
          <t>Retail 90</t>
        </is>
      </c>
      <c r="C34" s="10" t="n"/>
      <c r="D34" s="50" t="n">
        <v>247394</v>
      </c>
      <c r="E34" s="51" t="n">
        <v>26440402.58003044</v>
      </c>
      <c r="F34" s="51" t="n">
        <v>22189170</v>
      </c>
      <c r="G34" s="52" t="n">
        <v>106.8756824338118</v>
      </c>
      <c r="H34" s="53" t="n">
        <v>89.69162550425636</v>
      </c>
      <c r="I34" s="31" t="n"/>
      <c r="J34" s="31" t="n"/>
      <c r="K34" s="31" t="n"/>
      <c r="L34" s="31" t="n"/>
      <c r="M34" s="31" t="n"/>
      <c r="N34" s="31" t="n"/>
      <c r="O34" s="31" t="n"/>
      <c r="P34" s="31" t="n"/>
      <c r="Q34" s="31" t="n"/>
      <c r="R34" s="31" t="n"/>
      <c r="S34" s="31" t="n"/>
      <c r="T34" s="31" t="n"/>
      <c r="U34" s="31" t="n"/>
      <c r="V34" s="31" t="n"/>
      <c r="W34" s="31" t="n"/>
      <c r="X34" s="31" t="n"/>
      <c r="Y34" s="31" t="n"/>
      <c r="Z34" s="31" t="n"/>
      <c r="AA34" s="31" t="n"/>
      <c r="AE34" s="121" t="n">
        <v>10</v>
      </c>
      <c r="AF34" t="inlineStr">
        <is>
          <t>TALTZ</t>
        </is>
      </c>
      <c r="AG34" t="inlineStr">
        <is>
          <t>IMMUNOMODULATORS</t>
        </is>
      </c>
      <c r="AH34" s="122" t="n">
        <v>2608245.504978427</v>
      </c>
      <c r="AI34" s="56" t="n">
        <v>478.74527</v>
      </c>
      <c r="AK34" s="123" t="n">
        <v>10</v>
      </c>
      <c r="AL34" t="inlineStr">
        <is>
          <t>HEMLIBRA</t>
        </is>
      </c>
      <c r="AM34" t="inlineStr">
        <is>
          <t>ANTIHEMOPHILIC PRODUCTS</t>
        </is>
      </c>
      <c r="AN34" s="58" t="n">
        <v>28.39465</v>
      </c>
    </row>
    <row r="35" ht="15" customHeight="1" thickBot="1">
      <c r="B35" s="59" t="inlineStr">
        <is>
          <t>Mail</t>
        </is>
      </c>
      <c r="C35" s="10" t="n"/>
      <c r="D35" s="60" t="n">
        <v>55194</v>
      </c>
      <c r="E35" s="61" t="n">
        <v>5556804.190032244</v>
      </c>
      <c r="F35" s="61" t="n">
        <v>4384361</v>
      </c>
      <c r="G35" s="62" t="n">
        <v>100.6776857997653</v>
      </c>
      <c r="H35" s="63" t="n">
        <v>79.43546399971011</v>
      </c>
      <c r="I35" s="31" t="n"/>
      <c r="J35" s="31" t="n"/>
      <c r="K35" s="31" t="n"/>
      <c r="L35" s="31" t="n"/>
      <c r="M35" s="31" t="n"/>
      <c r="N35" s="31" t="n"/>
      <c r="O35" s="31" t="n"/>
      <c r="P35" s="31" t="n"/>
      <c r="Q35" s="31" t="n"/>
      <c r="R35" s="31" t="n"/>
      <c r="S35" s="31" t="n"/>
      <c r="T35" s="31" t="n"/>
      <c r="U35" s="31" t="n"/>
      <c r="V35" s="31" t="n"/>
      <c r="W35" s="31" t="n"/>
      <c r="X35" s="31" t="n"/>
      <c r="Y35" s="31" t="n"/>
      <c r="Z35" s="31" t="n"/>
      <c r="AA35" s="31" t="n"/>
      <c r="AE35" s="121" t="n">
        <v>11</v>
      </c>
      <c r="AF35" t="inlineStr">
        <is>
          <t>NURTEC</t>
        </is>
      </c>
      <c r="AG35" t="inlineStr">
        <is>
          <t>MIGRAINE PRODUCTS</t>
        </is>
      </c>
      <c r="AH35" s="122" t="n">
        <v>1994364.701884032</v>
      </c>
      <c r="AI35" s="56" t="n">
        <v>2964.457539</v>
      </c>
      <c r="AK35" s="123" t="n">
        <v>11</v>
      </c>
      <c r="AL35" t="inlineStr">
        <is>
          <t>FREESTYLE LIBRE 3 PLUS/SENSOR/GLUCOSE MONITORING SYSTEM</t>
        </is>
      </c>
      <c r="AM35" t="inlineStr">
        <is>
          <t>DIABETES MONITORING AND TESTING SUPPLIES</t>
        </is>
      </c>
      <c r="AN35" s="58" t="n">
        <v>4112.141892</v>
      </c>
    </row>
    <row r="36" ht="15" customHeight="1" thickTop="1">
      <c r="B36" s="64" t="inlineStr">
        <is>
          <t>Non-Specialty</t>
        </is>
      </c>
      <c r="C36" s="10" t="n"/>
      <c r="D36" s="65" t="n">
        <v>1373084</v>
      </c>
      <c r="E36" s="66" t="n">
        <v>79377121.34718668</v>
      </c>
      <c r="F36" s="66" t="n">
        <v>52458338</v>
      </c>
      <c r="G36" s="67" t="n">
        <v>57.80937025497835</v>
      </c>
      <c r="H36" s="68" t="n">
        <v>38.20475513515561</v>
      </c>
      <c r="I36" s="31" t="n"/>
      <c r="J36" s="31" t="n"/>
      <c r="K36" s="31" t="n"/>
      <c r="L36" s="31" t="n"/>
      <c r="M36" s="31" t="n"/>
      <c r="N36" s="31" t="n"/>
      <c r="O36" s="31" t="n"/>
      <c r="P36" s="31" t="n"/>
      <c r="Q36" s="31" t="n"/>
      <c r="R36" s="31" t="n"/>
      <c r="S36" s="31" t="n"/>
      <c r="T36" s="31" t="n"/>
      <c r="U36" s="31" t="n"/>
      <c r="V36" s="31" t="n"/>
      <c r="W36" s="31" t="n"/>
      <c r="X36" s="31" t="n"/>
      <c r="Y36" s="31" t="n"/>
      <c r="Z36" s="31" t="n"/>
      <c r="AA36" s="31" t="n"/>
      <c r="AE36" s="121" t="n">
        <v>12</v>
      </c>
      <c r="AF36" t="inlineStr">
        <is>
          <t>TREMFYA</t>
        </is>
      </c>
      <c r="AG36" t="inlineStr">
        <is>
          <t>IMMUNOMODULATORS</t>
        </is>
      </c>
      <c r="AH36" s="122" t="n">
        <v>2164928.276900498</v>
      </c>
      <c r="AI36" s="56" t="n">
        <v>340.605115</v>
      </c>
      <c r="AK36" s="123" t="n">
        <v>12</v>
      </c>
      <c r="AL36" t="inlineStr">
        <is>
          <t>GENOTROPIN</t>
        </is>
      </c>
      <c r="AM36" t="inlineStr">
        <is>
          <t>GROWTH HORMONES</t>
        </is>
      </c>
      <c r="AN36" s="58" t="n">
        <v>166.842156</v>
      </c>
    </row>
    <row r="37" ht="15" customHeight="1" thickBot="1">
      <c r="B37" s="59" t="inlineStr">
        <is>
          <t>Specialty</t>
        </is>
      </c>
      <c r="C37" s="10" t="n"/>
      <c r="D37" s="60" t="n">
        <v>2510</v>
      </c>
      <c r="E37" s="61" t="n">
        <v>94070.66000258923</v>
      </c>
      <c r="F37" s="61" t="n">
        <v>107685</v>
      </c>
      <c r="G37" s="62" t="n">
        <v>37.47835059864113</v>
      </c>
      <c r="H37" s="63" t="n">
        <v>42.90239043824701</v>
      </c>
      <c r="I37" s="31" t="n"/>
      <c r="J37" s="31" t="n"/>
      <c r="K37" s="31" t="n"/>
      <c r="L37" s="31" t="n"/>
      <c r="M37" s="31" t="n"/>
      <c r="N37" s="31" t="n"/>
      <c r="O37" s="31" t="n"/>
      <c r="P37" s="31" t="n"/>
      <c r="Q37" s="31" t="n"/>
      <c r="R37" s="31" t="n"/>
      <c r="S37" s="31" t="n"/>
      <c r="T37" s="31" t="n"/>
      <c r="U37" s="31" t="n"/>
      <c r="V37" s="31" t="n"/>
      <c r="W37" s="31" t="n"/>
      <c r="X37" s="31" t="n"/>
      <c r="Y37" s="31" t="n"/>
      <c r="Z37" s="31" t="n"/>
      <c r="AA37" s="31" t="n"/>
      <c r="AE37" s="121" t="n">
        <v>13</v>
      </c>
      <c r="AF37" t="inlineStr">
        <is>
          <t>DEXCOM G7 SENSOR</t>
        </is>
      </c>
      <c r="AG37" t="inlineStr">
        <is>
          <t>DIABETES MONITORING AND TESTING SUPPLIES</t>
        </is>
      </c>
      <c r="AH37" s="122" t="n">
        <v>1914357.337168013</v>
      </c>
      <c r="AI37" s="56" t="n">
        <v>6267.339120000001</v>
      </c>
      <c r="AK37" s="123" t="n">
        <v>13</v>
      </c>
      <c r="AL37" t="inlineStr">
        <is>
          <t>PROCYSBI</t>
        </is>
      </c>
      <c r="AM37" t="inlineStr">
        <is>
          <t>ENDOCRINE DISORDERS</t>
        </is>
      </c>
      <c r="AN37" s="58" t="n">
        <v>16.83776</v>
      </c>
    </row>
    <row r="38" ht="15.6" customHeight="1" thickBot="1" thickTop="1">
      <c r="B38" s="69" t="inlineStr">
        <is>
          <t>Total</t>
        </is>
      </c>
      <c r="C38" s="10" t="n"/>
      <c r="D38" s="70" t="n">
        <v>1375594</v>
      </c>
      <c r="E38" s="71" t="n">
        <v>79471192.00718927</v>
      </c>
      <c r="F38" s="71" t="n">
        <v>52566023</v>
      </c>
      <c r="G38" s="72" t="n">
        <v>57.77227292877787</v>
      </c>
      <c r="H38" s="73" t="n">
        <v>38.21332675193408</v>
      </c>
      <c r="I38" s="31" t="n"/>
      <c r="J38" s="31" t="n"/>
      <c r="K38" s="31" t="n"/>
      <c r="L38" s="31" t="n"/>
      <c r="M38" s="31" t="n"/>
      <c r="N38" s="31" t="n"/>
      <c r="O38" s="31" t="n"/>
      <c r="P38" s="31" t="n"/>
      <c r="Q38" s="31" t="n"/>
      <c r="R38" s="31" t="n"/>
      <c r="S38" s="31" t="n"/>
      <c r="T38" s="31" t="n"/>
      <c r="U38" s="31" t="n"/>
      <c r="V38" s="31" t="n"/>
      <c r="W38" s="31" t="n"/>
      <c r="X38" s="31" t="n"/>
      <c r="Y38" s="31" t="n"/>
      <c r="Z38" s="31" t="n"/>
      <c r="AA38" s="31" t="n"/>
      <c r="AE38" s="121" t="n">
        <v>14</v>
      </c>
      <c r="AF38" t="inlineStr">
        <is>
          <t>ENBREL SURECLICK</t>
        </is>
      </c>
      <c r="AG38" t="inlineStr">
        <is>
          <t>IMMUNOMODULATORS</t>
        </is>
      </c>
      <c r="AH38" s="122" t="n">
        <v>1511564.395695904</v>
      </c>
      <c r="AI38" s="56" t="n">
        <v>379.6218</v>
      </c>
      <c r="AK38" s="123" t="n">
        <v>14</v>
      </c>
      <c r="AL38" t="inlineStr">
        <is>
          <t>VYNDAMAX</t>
        </is>
      </c>
      <c r="AM38" t="inlineStr">
        <is>
          <t>TRANSTHYRETIN STABILIZERS</t>
        </is>
      </c>
      <c r="AN38" s="58" t="n">
        <v>18.26418</v>
      </c>
    </row>
    <row r="39">
      <c r="B39" s="10" t="n"/>
      <c r="C39" s="10" t="n"/>
      <c r="D39" s="74" t="n"/>
      <c r="E39" s="74" t="n"/>
      <c r="F39" s="74" t="n"/>
      <c r="G39" s="75" t="n"/>
      <c r="H39" s="76" t="n"/>
      <c r="I39" s="31" t="n"/>
      <c r="J39" s="31" t="n"/>
      <c r="K39" s="31" t="n"/>
      <c r="L39" s="31" t="n"/>
      <c r="M39" s="31" t="n"/>
      <c r="N39" s="31" t="n"/>
      <c r="O39" s="31" t="n"/>
      <c r="P39" s="31" t="n"/>
      <c r="Q39" s="31" t="n"/>
      <c r="R39" s="31" t="n"/>
      <c r="S39" s="31" t="n"/>
      <c r="T39" s="31" t="n"/>
      <c r="U39" s="31" t="n"/>
      <c r="V39" s="31" t="n"/>
      <c r="W39" s="31" t="n"/>
      <c r="X39" s="31" t="n"/>
      <c r="Y39" s="31" t="n"/>
      <c r="Z39" s="31" t="n"/>
      <c r="AA39" s="31" t="n"/>
      <c r="AE39" s="121" t="n">
        <v>15</v>
      </c>
      <c r="AF39" t="inlineStr">
        <is>
          <t>QULIPTA</t>
        </is>
      </c>
      <c r="AG39" t="inlineStr">
        <is>
          <t>MIGRAINE PRODUCTS</t>
        </is>
      </c>
      <c r="AH39" s="122" t="n">
        <v>1362711.57503163</v>
      </c>
      <c r="AI39" s="56" t="n">
        <v>2057.340789</v>
      </c>
      <c r="AK39" s="123" t="n">
        <v>15</v>
      </c>
      <c r="AL39" t="inlineStr">
        <is>
          <t>EVRYSDI</t>
        </is>
      </c>
      <c r="AM39" t="inlineStr">
        <is>
          <t>SPINAL MUSCULAR ATROPHY (SMA) AGENT</t>
        </is>
      </c>
      <c r="AN39" s="58" t="n">
        <v>38.963584</v>
      </c>
    </row>
    <row r="40" ht="15" customHeight="1" thickBot="1">
      <c r="B40" s="27" t="inlineStr">
        <is>
          <t>Total</t>
        </is>
      </c>
      <c r="C40" s="10" t="n"/>
      <c r="D40" s="79" t="n"/>
      <c r="E40" s="79" t="n"/>
      <c r="F40" s="79" t="n"/>
      <c r="G40" s="79" t="n"/>
      <c r="H40" s="80" t="n"/>
      <c r="I40" s="31" t="n"/>
      <c r="J40" s="31" t="n"/>
      <c r="K40" s="31" t="n"/>
      <c r="L40" s="31" t="n"/>
      <c r="M40" s="31" t="n"/>
      <c r="N40" s="31" t="n"/>
      <c r="O40" s="31" t="n"/>
      <c r="P40" s="31" t="n"/>
      <c r="Q40" s="31" t="n"/>
      <c r="R40" s="31" t="n"/>
      <c r="S40" s="31" t="n"/>
      <c r="T40" s="31" t="n"/>
      <c r="U40" s="31" t="n"/>
      <c r="V40" s="31" t="n"/>
      <c r="W40" s="31" t="n"/>
      <c r="X40" s="31" t="n"/>
      <c r="Y40" s="31" t="n"/>
      <c r="Z40" s="31" t="n"/>
      <c r="AA40" s="31" t="n"/>
      <c r="AE40" s="121" t="n">
        <v>16</v>
      </c>
      <c r="AF40" t="inlineStr">
        <is>
          <t>OTEZLA</t>
        </is>
      </c>
      <c r="AG40" t="inlineStr">
        <is>
          <t>IMMUNOMODULATORS</t>
        </is>
      </c>
      <c r="AH40" s="122" t="n">
        <v>1463611.666506141</v>
      </c>
      <c r="AI40" s="56" t="n">
        <v>432.34705</v>
      </c>
      <c r="AK40" s="123" t="n">
        <v>16</v>
      </c>
      <c r="AL40" t="inlineStr">
        <is>
          <t>SEMGLEE</t>
        </is>
      </c>
      <c r="AM40" t="inlineStr">
        <is>
          <t>BASAL INSULIN</t>
        </is>
      </c>
      <c r="AN40" s="58" t="n">
        <v>1826.986476</v>
      </c>
    </row>
    <row r="41">
      <c r="B41" s="38" t="inlineStr">
        <is>
          <t>Retail 30</t>
        </is>
      </c>
      <c r="C41" s="10" t="n"/>
      <c r="D41" s="39" t="n">
        <v>1211734</v>
      </c>
      <c r="E41" s="40" t="n">
        <v>51177340.29231974</v>
      </c>
      <c r="F41" s="40" t="n">
        <v>29501926</v>
      </c>
      <c r="G41" s="41" t="n">
        <v>42.23479764727221</v>
      </c>
      <c r="H41" s="42" t="n">
        <v>24.34686655652148</v>
      </c>
      <c r="I41" s="31" t="n"/>
      <c r="J41" s="31" t="n"/>
      <c r="K41" s="31" t="n"/>
      <c r="L41" s="31" t="n"/>
      <c r="M41" s="31" t="n"/>
      <c r="N41" s="31" t="n"/>
      <c r="O41" s="31" t="n"/>
      <c r="P41" s="31" t="n"/>
      <c r="Q41" s="31" t="n"/>
      <c r="R41" s="31" t="n"/>
      <c r="S41" s="31" t="n"/>
      <c r="T41" s="31" t="n"/>
      <c r="U41" s="31" t="n"/>
      <c r="V41" s="31" t="n"/>
      <c r="W41" s="31" t="n"/>
      <c r="X41" s="31" t="n"/>
      <c r="Y41" s="31" t="n"/>
      <c r="Z41" s="31" t="n"/>
      <c r="AA41" s="31" t="n"/>
      <c r="AE41" s="121" t="n">
        <v>17</v>
      </c>
      <c r="AF41" t="inlineStr">
        <is>
          <t>TRULICITY</t>
        </is>
      </c>
      <c r="AG41" t="inlineStr">
        <is>
          <t>GLUCAGON-LIKE PEPTIDE-1 AGONISTS (GLP1)</t>
        </is>
      </c>
      <c r="AH41" s="122" t="n">
        <v>1256179.583156397</v>
      </c>
      <c r="AI41" s="56" t="n">
        <v>2313.124427</v>
      </c>
      <c r="AK41" s="123" t="n">
        <v>17</v>
      </c>
      <c r="AL41" t="inlineStr">
        <is>
          <t>SPRAVATO 84MG DOSE</t>
        </is>
      </c>
      <c r="AM41" t="inlineStr">
        <is>
          <t>ANTIDEPRESSANTS</t>
        </is>
      </c>
      <c r="AN41" s="58" t="n">
        <v>658.7280919999999</v>
      </c>
    </row>
    <row r="42">
      <c r="B42" s="49" t="inlineStr">
        <is>
          <t>Retail 90</t>
        </is>
      </c>
      <c r="C42" s="10" t="n"/>
      <c r="D42" s="50" t="n">
        <v>278821</v>
      </c>
      <c r="E42" s="51" t="n">
        <v>28778666.07989511</v>
      </c>
      <c r="F42" s="51" t="n">
        <v>24983100</v>
      </c>
      <c r="G42" s="52" t="n">
        <v>103.21556152476</v>
      </c>
      <c r="H42" s="53" t="n">
        <v>89.6026482940668</v>
      </c>
      <c r="I42" s="31" t="n"/>
      <c r="J42" s="31" t="n"/>
      <c r="K42" s="31" t="n"/>
      <c r="L42" s="31" t="n"/>
      <c r="M42" s="31" t="n"/>
      <c r="N42" s="31" t="n"/>
      <c r="O42" s="31" t="n"/>
      <c r="P42" s="31" t="n"/>
      <c r="Q42" s="31" t="n"/>
      <c r="R42" s="31" t="n"/>
      <c r="S42" s="31" t="n"/>
      <c r="T42" s="31" t="n"/>
      <c r="U42" s="31" t="n"/>
      <c r="V42" s="31" t="n"/>
      <c r="W42" s="31" t="n"/>
      <c r="X42" s="31" t="n"/>
      <c r="Y42" s="31" t="n"/>
      <c r="Z42" s="31" t="n"/>
      <c r="AA42" s="31" t="n"/>
      <c r="AE42" s="121" t="n">
        <v>18</v>
      </c>
      <c r="AF42" t="inlineStr">
        <is>
          <t>XYWAV</t>
        </is>
      </c>
      <c r="AG42" t="inlineStr">
        <is>
          <t>NARCOLEPSY</t>
        </is>
      </c>
      <c r="AH42" s="122" t="n">
        <v>1180559.541329281</v>
      </c>
      <c r="AI42" s="56" t="n">
        <v>292.326032</v>
      </c>
      <c r="AK42" s="123" t="n">
        <v>18</v>
      </c>
      <c r="AL42" t="inlineStr">
        <is>
          <t>REVLIMID</t>
        </is>
      </c>
      <c r="AM42" t="inlineStr">
        <is>
          <t>ONCOLOGY</t>
        </is>
      </c>
      <c r="AN42" s="58" t="n">
        <v>55.46116993150505</v>
      </c>
    </row>
    <row r="43" ht="15" customHeight="1" thickBot="1">
      <c r="B43" s="59" t="inlineStr">
        <is>
          <t>Mail</t>
        </is>
      </c>
      <c r="C43" s="10" t="n"/>
      <c r="D43" s="60" t="n">
        <v>65935</v>
      </c>
      <c r="E43" s="61" t="n">
        <v>6362271.114972755</v>
      </c>
      <c r="F43" s="61" t="n">
        <v>5144414</v>
      </c>
      <c r="G43" s="62" t="n">
        <v>96.49307825847812</v>
      </c>
      <c r="H43" s="63" t="n">
        <v>78.02250701448396</v>
      </c>
      <c r="I43" s="31" t="n"/>
      <c r="J43" s="31" t="n"/>
      <c r="K43" s="31" t="n"/>
      <c r="L43" s="31" t="n"/>
      <c r="M43" s="31" t="n"/>
      <c r="N43" s="31" t="n"/>
      <c r="O43" s="31" t="n"/>
      <c r="P43" s="31" t="n"/>
      <c r="Q43" s="31" t="n"/>
      <c r="R43" s="31" t="n"/>
      <c r="S43" s="31" t="n"/>
      <c r="T43" s="31" t="n"/>
      <c r="U43" s="31" t="n"/>
      <c r="V43" s="31" t="n"/>
      <c r="W43" s="31" t="n"/>
      <c r="X43" s="31" t="n"/>
      <c r="Y43" s="31" t="n"/>
      <c r="Z43" s="31" t="n"/>
      <c r="AA43" s="31" t="n"/>
      <c r="AE43" s="121" t="n">
        <v>19</v>
      </c>
      <c r="AF43" t="inlineStr">
        <is>
          <t>TRELEGY ELLIPTA</t>
        </is>
      </c>
      <c r="AG43" t="inlineStr">
        <is>
          <t>LABA LAMA COMBO</t>
        </is>
      </c>
      <c r="AH43" s="122" t="n">
        <v>1090589.295372905</v>
      </c>
      <c r="AI43" s="56" t="n">
        <v>3118.807607</v>
      </c>
      <c r="AK43" s="123" t="n">
        <v>19</v>
      </c>
      <c r="AL43" t="inlineStr">
        <is>
          <t>MENOPUR</t>
        </is>
      </c>
      <c r="AM43" t="inlineStr">
        <is>
          <t>FERTILITY MEDICATIONS</t>
        </is>
      </c>
      <c r="AN43" s="58" t="n">
        <v>202.902078</v>
      </c>
    </row>
    <row r="44" ht="15.6" customHeight="1" thickBot="1" thickTop="1">
      <c r="B44" s="64" t="inlineStr">
        <is>
          <t>Non-Specialty</t>
        </is>
      </c>
      <c r="C44" s="10" t="n"/>
      <c r="D44" s="65" t="n">
        <v>1556490</v>
      </c>
      <c r="E44" s="66" t="n">
        <v>86318277.48718761</v>
      </c>
      <c r="F44" s="66" t="n">
        <v>59629440</v>
      </c>
      <c r="G44" s="67" t="n">
        <v>55.45700742516021</v>
      </c>
      <c r="H44" s="68" t="n">
        <v>38.3101979453771</v>
      </c>
      <c r="I44" s="31" t="n"/>
      <c r="J44" s="31" t="n"/>
      <c r="K44" s="31" t="n"/>
      <c r="L44" s="31" t="n"/>
      <c r="M44" s="31" t="n"/>
      <c r="N44" s="31" t="n"/>
      <c r="O44" s="31" t="n"/>
      <c r="P44" s="31" t="n"/>
      <c r="Q44" s="31" t="n"/>
      <c r="R44" s="31" t="n"/>
      <c r="S44" s="31" t="n"/>
      <c r="T44" s="31" t="n"/>
      <c r="U44" s="31" t="n"/>
      <c r="V44" s="31" t="n"/>
      <c r="W44" s="31" t="n"/>
      <c r="X44" s="31" t="n"/>
      <c r="Y44" s="31" t="n"/>
      <c r="Z44" s="31" t="n"/>
      <c r="AA44" s="31" t="n"/>
      <c r="AE44" s="124" t="n">
        <v>20</v>
      </c>
      <c r="AF44" s="82" t="inlineStr">
        <is>
          <t>UBRELVY</t>
        </is>
      </c>
      <c r="AG44" s="82" t="inlineStr">
        <is>
          <t>MIGRAINE PRODUCTS</t>
        </is>
      </c>
      <c r="AH44" s="125" t="n">
        <v>902838.383601149</v>
      </c>
      <c r="AI44" s="84" t="n">
        <v>2198.851001999999</v>
      </c>
      <c r="AK44" s="126" t="n">
        <v>20</v>
      </c>
      <c r="AL44" s="86" t="inlineStr">
        <is>
          <t>BENLYSTA</t>
        </is>
      </c>
      <c r="AM44" s="86" t="inlineStr">
        <is>
          <t>LUPUS AGENT</t>
        </is>
      </c>
      <c r="AN44" s="87" t="n">
        <v>120.543588</v>
      </c>
    </row>
    <row r="45" ht="15" customHeight="1" thickBot="1">
      <c r="B45" s="59" t="inlineStr">
        <is>
          <t>Specialty</t>
        </is>
      </c>
      <c r="C45" s="10" t="n"/>
      <c r="D45" s="60" t="n">
        <v>20192</v>
      </c>
      <c r="E45" s="61" t="n">
        <v>1370208.020011038</v>
      </c>
      <c r="F45" s="61" t="n">
        <v>837210</v>
      </c>
      <c r="G45" s="62" t="n">
        <v>67.85895503224235</v>
      </c>
      <c r="H45" s="63" t="n">
        <v>41.46246038034865</v>
      </c>
      <c r="I45" s="31" t="n"/>
      <c r="J45" s="31" t="n"/>
      <c r="K45" s="31" t="n"/>
      <c r="L45" s="31" t="n"/>
      <c r="M45" s="31" t="n"/>
      <c r="N45" s="31" t="n"/>
      <c r="O45" s="31" t="n"/>
      <c r="P45" s="31" t="n"/>
      <c r="Q45" s="31" t="n"/>
      <c r="R45" s="31" t="n"/>
      <c r="S45" s="31" t="n"/>
      <c r="T45" s="31" t="n"/>
      <c r="U45" s="31" t="n"/>
      <c r="V45" s="31" t="n"/>
      <c r="W45" s="31" t="n"/>
      <c r="X45" s="31" t="n"/>
      <c r="Y45" s="31" t="n"/>
      <c r="Z45" s="31" t="n"/>
      <c r="AA45" s="31" t="n"/>
    </row>
    <row r="46" ht="15.6" customHeight="1" thickBot="1" thickTop="1">
      <c r="B46" s="69" t="inlineStr">
        <is>
          <t>Total</t>
        </is>
      </c>
      <c r="C46" s="10" t="n"/>
      <c r="D46" s="70" t="n">
        <v>1576682</v>
      </c>
      <c r="E46" s="71" t="n">
        <v>87688485.50719865</v>
      </c>
      <c r="F46" s="71" t="n">
        <v>60466650</v>
      </c>
      <c r="G46" s="72" t="n">
        <v>55.61583471314992</v>
      </c>
      <c r="H46" s="73" t="n">
        <v>38.35056783802948</v>
      </c>
      <c r="I46" s="31" t="n"/>
      <c r="J46" s="31" t="n"/>
      <c r="K46" s="31" t="n"/>
      <c r="L46" s="31" t="n"/>
      <c r="M46" s="31" t="n"/>
      <c r="N46" s="31" t="n"/>
      <c r="O46" s="31" t="n"/>
      <c r="P46" s="31" t="n"/>
      <c r="Q46" s="31" t="n"/>
      <c r="R46" s="31" t="n"/>
      <c r="S46" s="31" t="n"/>
      <c r="T46" s="31" t="n"/>
      <c r="U46" s="31" t="n"/>
      <c r="V46" s="31" t="n"/>
      <c r="W46" s="31" t="n"/>
      <c r="X46" s="31" t="n"/>
      <c r="Y46" s="31" t="n"/>
      <c r="Z46" s="31" t="n"/>
      <c r="AA46" s="31" t="n"/>
    </row>
    <row r="47" ht="15" customHeight="1" thickBot="1">
      <c r="AE47" s="20" t="inlineStr">
        <is>
          <t>Overall - Brand Only</t>
        </is>
      </c>
      <c r="AF47" s="21" t="n"/>
      <c r="AG47" s="23" t="n"/>
      <c r="AH47" s="23" t="n"/>
    </row>
    <row r="48" ht="34.95" customHeight="1" thickBot="1">
      <c r="B48" s="88" t="n"/>
      <c r="C48" s="88" t="n"/>
      <c r="D48" s="88" t="n"/>
      <c r="E48" s="88" t="n"/>
      <c r="F48" s="88" t="n"/>
      <c r="G48" s="88" t="n"/>
      <c r="H48" s="88" t="n"/>
      <c r="I48" s="88" t="n"/>
      <c r="J48" s="88" t="n"/>
      <c r="K48" s="88" t="n"/>
      <c r="L48" s="88" t="n"/>
      <c r="M48" s="88" t="n"/>
      <c r="N48" s="88" t="n"/>
      <c r="O48" s="88" t="n"/>
      <c r="P48" s="88" t="n"/>
      <c r="Q48" s="88" t="n"/>
      <c r="R48" s="88" t="n"/>
      <c r="S48" s="88" t="n"/>
      <c r="T48" s="88" t="n"/>
      <c r="U48" s="88" t="n"/>
      <c r="V48" s="88" t="n"/>
      <c r="W48" s="88" t="n"/>
      <c r="X48" s="88" t="n"/>
      <c r="Y48" s="88" t="n"/>
      <c r="Z48" s="88" t="n"/>
      <c r="AA48" s="88" t="n"/>
      <c r="AE48" s="32" t="inlineStr">
        <is>
          <t>Rank</t>
        </is>
      </c>
      <c r="AF48" s="33" t="inlineStr">
        <is>
          <t>Therapeutic Class</t>
        </is>
      </c>
      <c r="AG48" s="33" t="inlineStr">
        <is>
          <t>Total Rebates</t>
        </is>
      </c>
      <c r="AH48" s="34" t="inlineStr">
        <is>
          <t>Brand Scripts</t>
        </is>
      </c>
    </row>
    <row r="49" ht="15" customHeight="1" thickTop="1">
      <c r="AE49" s="118" t="n">
        <v>1</v>
      </c>
      <c r="AF49" s="44" t="inlineStr">
        <is>
          <t>IMMUNOMODULATORS</t>
        </is>
      </c>
      <c r="AG49" s="119" t="n">
        <v>44066780.98547408</v>
      </c>
      <c r="AH49" s="46" t="n">
        <v>6193.368443736875</v>
      </c>
    </row>
    <row r="50" ht="15" customHeight="1" thickBot="1">
      <c r="AE50" s="121" t="n">
        <v>2</v>
      </c>
      <c r="AF50" t="inlineStr">
        <is>
          <t>GLUCAGON-LIKE PEPTIDE-1 AGONISTS (GLP1)</t>
        </is>
      </c>
      <c r="AG50" s="122" t="n">
        <v>27978991.81752676</v>
      </c>
      <c r="AH50" s="56" t="n">
        <v>56332.87970983421</v>
      </c>
    </row>
    <row r="51" ht="15" customHeight="1" thickBot="1">
      <c r="D51" s="11" t="inlineStr">
        <is>
          <t>Base Yr</t>
        </is>
      </c>
      <c r="E51" s="12" t="n"/>
      <c r="F51" s="12" t="n"/>
      <c r="G51" s="13" t="n"/>
      <c r="H51" s="14" t="n"/>
      <c r="J51" s="11" t="n">
        <v>2027</v>
      </c>
      <c r="K51" s="12" t="n"/>
      <c r="L51" s="12" t="n"/>
      <c r="M51" s="13" t="n"/>
      <c r="N51" s="14" t="n"/>
      <c r="P51" s="11" t="n">
        <v>2028</v>
      </c>
      <c r="Q51" s="12" t="n"/>
      <c r="R51" s="12" t="n"/>
      <c r="S51" s="13" t="n"/>
      <c r="T51" s="14" t="n"/>
      <c r="V51" s="11" t="n">
        <v>2029</v>
      </c>
      <c r="W51" s="12" t="n"/>
      <c r="X51" s="12" t="n"/>
      <c r="Y51" s="13" t="n"/>
      <c r="Z51" s="14" t="n"/>
      <c r="AE51" s="121" t="n">
        <v>3</v>
      </c>
      <c r="AF51" t="inlineStr">
        <is>
          <t>CHRONIC INFLAMMATORY DISEASE</t>
        </is>
      </c>
      <c r="AG51" s="122" t="n">
        <v>6049423.402662692</v>
      </c>
      <c r="AH51" s="56" t="n">
        <v>4113.677335</v>
      </c>
    </row>
    <row r="52" ht="15" customHeight="1" thickBot="1">
      <c r="B52" s="27" t="inlineStr">
        <is>
          <t>Excl - Brand</t>
        </is>
      </c>
      <c r="D52" s="28" t="inlineStr">
        <is>
          <t>R30</t>
        </is>
      </c>
      <c r="E52" s="29" t="inlineStr">
        <is>
          <t>R90</t>
        </is>
      </c>
      <c r="F52" s="29" t="inlineStr">
        <is>
          <t>Mail</t>
        </is>
      </c>
      <c r="G52" s="29" t="inlineStr">
        <is>
          <t>Specialty</t>
        </is>
      </c>
      <c r="H52" s="30" t="inlineStr">
        <is>
          <t>Total</t>
        </is>
      </c>
      <c r="J52" s="28" t="inlineStr">
        <is>
          <t>R30</t>
        </is>
      </c>
      <c r="K52" s="29" t="inlineStr">
        <is>
          <t>R90</t>
        </is>
      </c>
      <c r="L52" s="29" t="inlineStr">
        <is>
          <t>Mail</t>
        </is>
      </c>
      <c r="M52" s="29" t="inlineStr">
        <is>
          <t>Specialty</t>
        </is>
      </c>
      <c r="N52" s="30" t="inlineStr">
        <is>
          <t>Total</t>
        </is>
      </c>
      <c r="P52" s="28" t="inlineStr">
        <is>
          <t>R30</t>
        </is>
      </c>
      <c r="Q52" s="29" t="inlineStr">
        <is>
          <t>R90</t>
        </is>
      </c>
      <c r="R52" s="29" t="inlineStr">
        <is>
          <t>Mail</t>
        </is>
      </c>
      <c r="S52" s="29" t="inlineStr">
        <is>
          <t>Specialty</t>
        </is>
      </c>
      <c r="T52" s="30" t="inlineStr">
        <is>
          <t>Total</t>
        </is>
      </c>
      <c r="V52" s="28" t="inlineStr">
        <is>
          <t>R30</t>
        </is>
      </c>
      <c r="W52" s="29" t="inlineStr">
        <is>
          <t>R90</t>
        </is>
      </c>
      <c r="X52" s="29" t="inlineStr">
        <is>
          <t>Mail</t>
        </is>
      </c>
      <c r="Y52" s="29" t="inlineStr">
        <is>
          <t>Specialty</t>
        </is>
      </c>
      <c r="Z52" s="30" t="inlineStr">
        <is>
          <t>Total</t>
        </is>
      </c>
      <c r="AE52" s="121" t="n">
        <v>4</v>
      </c>
      <c r="AF52" t="inlineStr">
        <is>
          <t>MIGRAINE PRODUCTS</t>
        </is>
      </c>
      <c r="AG52" s="122" t="n">
        <v>5362284.683116573</v>
      </c>
      <c r="AH52" s="56" t="n">
        <v>11001.53729257186</v>
      </c>
    </row>
    <row r="53">
      <c r="B53" s="38" t="inlineStr">
        <is>
          <t>OTCs</t>
        </is>
      </c>
      <c r="D53" s="127" t="n">
        <v>0</v>
      </c>
      <c r="E53" s="128" t="n">
        <v>0</v>
      </c>
      <c r="F53" s="128" t="n">
        <v>0</v>
      </c>
      <c r="G53" s="128" t="n">
        <v>0</v>
      </c>
      <c r="H53" s="129" t="n">
        <v>0</v>
      </c>
      <c r="J53" s="127" t="n">
        <v>0</v>
      </c>
      <c r="K53" s="128" t="n">
        <v>0</v>
      </c>
      <c r="L53" s="128" t="n">
        <v>0</v>
      </c>
      <c r="M53" s="128" t="n">
        <v>0</v>
      </c>
      <c r="N53" s="129" t="n">
        <v>0</v>
      </c>
      <c r="P53" s="127" t="n">
        <v>0</v>
      </c>
      <c r="Q53" s="128" t="n">
        <v>0</v>
      </c>
      <c r="R53" s="128" t="n">
        <v>0</v>
      </c>
      <c r="S53" s="128" t="n">
        <v>0</v>
      </c>
      <c r="T53" s="129" t="n">
        <v>0</v>
      </c>
      <c r="V53" s="127" t="n">
        <v>0</v>
      </c>
      <c r="W53" s="128" t="n">
        <v>0</v>
      </c>
      <c r="X53" s="128" t="n">
        <v>0</v>
      </c>
      <c r="Y53" s="128" t="n">
        <v>0</v>
      </c>
      <c r="Z53" s="129" t="n">
        <v>0</v>
      </c>
      <c r="AE53" s="121" t="n">
        <v>5</v>
      </c>
      <c r="AF53" t="inlineStr">
        <is>
          <t>DIABETES MONITORING AND TESTING SUPPLIES</t>
        </is>
      </c>
      <c r="AG53" s="122" t="n">
        <v>3111355.422981945</v>
      </c>
      <c r="AH53" s="56" t="n">
        <v>22887.512402</v>
      </c>
    </row>
    <row r="54">
      <c r="B54" s="49" t="inlineStr">
        <is>
          <t>Devices</t>
        </is>
      </c>
      <c r="D54" s="130" t="n">
        <v>0</v>
      </c>
      <c r="E54" s="131" t="n">
        <v>0</v>
      </c>
      <c r="F54" s="131" t="n">
        <v>0</v>
      </c>
      <c r="G54" s="131" t="n">
        <v>0</v>
      </c>
      <c r="H54" s="132" t="n">
        <v>0</v>
      </c>
      <c r="J54" s="130" t="n">
        <v>0</v>
      </c>
      <c r="K54" s="131" t="n">
        <v>0</v>
      </c>
      <c r="L54" s="131" t="n">
        <v>0</v>
      </c>
      <c r="M54" s="131" t="n">
        <v>0</v>
      </c>
      <c r="N54" s="132" t="n">
        <v>0</v>
      </c>
      <c r="P54" s="130" t="n">
        <v>0</v>
      </c>
      <c r="Q54" s="131" t="n">
        <v>0</v>
      </c>
      <c r="R54" s="131" t="n">
        <v>0</v>
      </c>
      <c r="S54" s="131" t="n">
        <v>0</v>
      </c>
      <c r="T54" s="132" t="n">
        <v>0</v>
      </c>
      <c r="V54" s="130" t="n">
        <v>0</v>
      </c>
      <c r="W54" s="131" t="n">
        <v>0</v>
      </c>
      <c r="X54" s="131" t="n">
        <v>0</v>
      </c>
      <c r="Y54" s="131" t="n">
        <v>0</v>
      </c>
      <c r="Z54" s="132" t="n">
        <v>0</v>
      </c>
      <c r="AE54" s="121" t="n">
        <v>6</v>
      </c>
      <c r="AF54" t="inlineStr">
        <is>
          <t>SGLT-2 INHIBITORS &amp; COMBOS</t>
        </is>
      </c>
      <c r="AG54" s="122" t="n">
        <v>2672243.151576201</v>
      </c>
      <c r="AH54" s="56" t="n">
        <v>13940.70394875373</v>
      </c>
    </row>
    <row r="55">
      <c r="B55" s="64" t="inlineStr">
        <is>
          <t>Vaccines</t>
        </is>
      </c>
      <c r="D55" s="130" t="n">
        <v>0</v>
      </c>
      <c r="E55" s="131" t="n">
        <v>0</v>
      </c>
      <c r="F55" s="131" t="n">
        <v>0</v>
      </c>
      <c r="G55" s="131" t="n">
        <v>0</v>
      </c>
      <c r="H55" s="132" t="n">
        <v>0</v>
      </c>
      <c r="J55" s="130" t="n">
        <v>0</v>
      </c>
      <c r="K55" s="131" t="n">
        <v>0</v>
      </c>
      <c r="L55" s="131" t="n">
        <v>0</v>
      </c>
      <c r="M55" s="131" t="n">
        <v>0</v>
      </c>
      <c r="N55" s="132" t="n">
        <v>0</v>
      </c>
      <c r="P55" s="130" t="n">
        <v>0</v>
      </c>
      <c r="Q55" s="131" t="n">
        <v>0</v>
      </c>
      <c r="R55" s="131" t="n">
        <v>0</v>
      </c>
      <c r="S55" s="131" t="n">
        <v>0</v>
      </c>
      <c r="T55" s="132" t="n">
        <v>0</v>
      </c>
      <c r="V55" s="130" t="n">
        <v>0</v>
      </c>
      <c r="W55" s="131" t="n">
        <v>0</v>
      </c>
      <c r="X55" s="131" t="n">
        <v>0</v>
      </c>
      <c r="Y55" s="131" t="n">
        <v>0</v>
      </c>
      <c r="Z55" s="132" t="n">
        <v>0</v>
      </c>
      <c r="AE55" s="121" t="n">
        <v>7</v>
      </c>
      <c r="AF55" t="inlineStr">
        <is>
          <t>LABA LAMA COMBO</t>
        </is>
      </c>
      <c r="AG55" s="122" t="n">
        <v>2404953.208176464</v>
      </c>
      <c r="AH55" s="56" t="n">
        <v>8674.453556973891</v>
      </c>
    </row>
    <row r="56">
      <c r="B56" s="64" t="inlineStr">
        <is>
          <t>Repackaged</t>
        </is>
      </c>
      <c r="D56" s="130" t="n">
        <v>0</v>
      </c>
      <c r="E56" s="131" t="n">
        <v>0</v>
      </c>
      <c r="F56" s="131" t="n">
        <v>0</v>
      </c>
      <c r="G56" s="131" t="n">
        <v>0</v>
      </c>
      <c r="H56" s="132" t="n">
        <v>0</v>
      </c>
      <c r="J56" s="130" t="n">
        <v>0</v>
      </c>
      <c r="K56" s="131" t="n">
        <v>0</v>
      </c>
      <c r="L56" s="131" t="n">
        <v>0</v>
      </c>
      <c r="M56" s="131" t="n">
        <v>0</v>
      </c>
      <c r="N56" s="132" t="n">
        <v>0</v>
      </c>
      <c r="P56" s="130" t="n">
        <v>0</v>
      </c>
      <c r="Q56" s="131" t="n">
        <v>0</v>
      </c>
      <c r="R56" s="131" t="n">
        <v>0</v>
      </c>
      <c r="S56" s="131" t="n">
        <v>0</v>
      </c>
      <c r="T56" s="132" t="n">
        <v>0</v>
      </c>
      <c r="V56" s="130" t="n">
        <v>0</v>
      </c>
      <c r="W56" s="131" t="n">
        <v>0</v>
      </c>
      <c r="X56" s="131" t="n">
        <v>0</v>
      </c>
      <c r="Y56" s="131" t="n">
        <v>0</v>
      </c>
      <c r="Z56" s="132" t="n">
        <v>0</v>
      </c>
      <c r="AE56" s="121" t="n">
        <v>8</v>
      </c>
      <c r="AF56" t="inlineStr">
        <is>
          <t>NARCOLEPSY</t>
        </is>
      </c>
      <c r="AG56" s="122" t="n">
        <v>1725765.356886142</v>
      </c>
      <c r="AH56" s="56" t="n">
        <v>674.7266581255167</v>
      </c>
    </row>
    <row r="57">
      <c r="B57" s="64" t="inlineStr">
        <is>
          <t>MSBs</t>
        </is>
      </c>
      <c r="D57" s="130" t="n">
        <v>0</v>
      </c>
      <c r="E57" s="131" t="n">
        <v>0</v>
      </c>
      <c r="F57" s="131" t="n">
        <v>0</v>
      </c>
      <c r="G57" s="131" t="n">
        <v>0</v>
      </c>
      <c r="H57" s="132" t="n">
        <v>0</v>
      </c>
      <c r="J57" s="130" t="n">
        <v>0</v>
      </c>
      <c r="K57" s="131" t="n">
        <v>0</v>
      </c>
      <c r="L57" s="131" t="n">
        <v>0</v>
      </c>
      <c r="M57" s="131" t="n">
        <v>0</v>
      </c>
      <c r="N57" s="132" t="n">
        <v>0</v>
      </c>
      <c r="P57" s="130" t="n">
        <v>0</v>
      </c>
      <c r="Q57" s="131" t="n">
        <v>0</v>
      </c>
      <c r="R57" s="131" t="n">
        <v>0</v>
      </c>
      <c r="S57" s="131" t="n">
        <v>0</v>
      </c>
      <c r="T57" s="132" t="n">
        <v>0</v>
      </c>
      <c r="V57" s="130" t="n">
        <v>0</v>
      </c>
      <c r="W57" s="131" t="n">
        <v>0</v>
      </c>
      <c r="X57" s="131" t="n">
        <v>0</v>
      </c>
      <c r="Y57" s="131" t="n">
        <v>0</v>
      </c>
      <c r="Z57" s="132" t="n">
        <v>0</v>
      </c>
      <c r="AE57" s="121" t="n">
        <v>9</v>
      </c>
      <c r="AF57" t="inlineStr">
        <is>
          <t>GROWTH HORMONES</t>
        </is>
      </c>
      <c r="AG57" s="122" t="n">
        <v>1175346.133349708</v>
      </c>
      <c r="AH57" s="56" t="n">
        <v>412.827386</v>
      </c>
    </row>
    <row r="58">
      <c r="B58" s="64" t="inlineStr">
        <is>
          <t>Non FDA Approved</t>
        </is>
      </c>
      <c r="D58" s="130" t="n">
        <v>0</v>
      </c>
      <c r="E58" s="131" t="n">
        <v>0</v>
      </c>
      <c r="F58" s="131" t="n">
        <v>0</v>
      </c>
      <c r="G58" s="131" t="n">
        <v>0</v>
      </c>
      <c r="H58" s="132" t="n">
        <v>0</v>
      </c>
      <c r="J58" s="130" t="n">
        <v>0</v>
      </c>
      <c r="K58" s="131" t="n">
        <v>0</v>
      </c>
      <c r="L58" s="131" t="n">
        <v>0</v>
      </c>
      <c r="M58" s="131" t="n">
        <v>0</v>
      </c>
      <c r="N58" s="132" t="n">
        <v>0</v>
      </c>
      <c r="P58" s="130" t="n">
        <v>0</v>
      </c>
      <c r="Q58" s="131" t="n">
        <v>0</v>
      </c>
      <c r="R58" s="131" t="n">
        <v>0</v>
      </c>
      <c r="S58" s="131" t="n">
        <v>0</v>
      </c>
      <c r="T58" s="132" t="n">
        <v>0</v>
      </c>
      <c r="V58" s="130" t="n">
        <v>0</v>
      </c>
      <c r="W58" s="131" t="n">
        <v>0</v>
      </c>
      <c r="X58" s="131" t="n">
        <v>0</v>
      </c>
      <c r="Y58" s="131" t="n">
        <v>0</v>
      </c>
      <c r="Z58" s="132" t="n">
        <v>0</v>
      </c>
      <c r="AE58" s="121" t="n">
        <v>10</v>
      </c>
      <c r="AF58" t="inlineStr">
        <is>
          <t>ASTHMA</t>
        </is>
      </c>
      <c r="AG58" s="122" t="n">
        <v>1114122.033179747</v>
      </c>
      <c r="AH58" s="56" t="n">
        <v>1312.036472</v>
      </c>
    </row>
    <row r="59">
      <c r="B59" s="64" t="inlineStr">
        <is>
          <t>LDD</t>
        </is>
      </c>
      <c r="D59" s="130" t="n">
        <v>0</v>
      </c>
      <c r="E59" s="131" t="n">
        <v>0</v>
      </c>
      <c r="F59" s="131" t="n">
        <v>0</v>
      </c>
      <c r="G59" s="131" t="n">
        <v>0</v>
      </c>
      <c r="H59" s="132" t="n">
        <v>0</v>
      </c>
      <c r="J59" s="130" t="n">
        <v>0</v>
      </c>
      <c r="K59" s="131" t="n">
        <v>0</v>
      </c>
      <c r="L59" s="131" t="n">
        <v>0</v>
      </c>
      <c r="M59" s="131" t="n">
        <v>0</v>
      </c>
      <c r="N59" s="132" t="n">
        <v>0</v>
      </c>
      <c r="P59" s="130" t="n">
        <v>0</v>
      </c>
      <c r="Q59" s="131" t="n">
        <v>0</v>
      </c>
      <c r="R59" s="131" t="n">
        <v>0</v>
      </c>
      <c r="S59" s="131" t="n">
        <v>0</v>
      </c>
      <c r="T59" s="132" t="n">
        <v>0</v>
      </c>
      <c r="V59" s="130" t="n">
        <v>0</v>
      </c>
      <c r="W59" s="131" t="n">
        <v>0</v>
      </c>
      <c r="X59" s="131" t="n">
        <v>0</v>
      </c>
      <c r="Y59" s="131" t="n">
        <v>0</v>
      </c>
      <c r="Z59" s="132" t="n">
        <v>0</v>
      </c>
      <c r="AE59" s="121" t="n">
        <v>11</v>
      </c>
      <c r="AF59" t="inlineStr">
        <is>
          <t>INSULIN ADMINISTRATION SUPPLIES</t>
        </is>
      </c>
      <c r="AG59" s="122" t="n">
        <v>967409.6999421468</v>
      </c>
      <c r="AH59" s="56" t="n">
        <v>4568.302287999999</v>
      </c>
    </row>
    <row r="60">
      <c r="B60" s="64" t="inlineStr">
        <is>
          <t>Institutional NDCs</t>
        </is>
      </c>
      <c r="D60" s="130" t="n">
        <v>0</v>
      </c>
      <c r="E60" s="131" t="n">
        <v>0</v>
      </c>
      <c r="F60" s="131" t="n">
        <v>0</v>
      </c>
      <c r="G60" s="131" t="n">
        <v>0</v>
      </c>
      <c r="H60" s="132" t="n">
        <v>0</v>
      </c>
      <c r="J60" s="130" t="n">
        <v>0</v>
      </c>
      <c r="K60" s="131" t="n">
        <v>0</v>
      </c>
      <c r="L60" s="131" t="n">
        <v>0</v>
      </c>
      <c r="M60" s="131" t="n">
        <v>0</v>
      </c>
      <c r="N60" s="132" t="n">
        <v>0</v>
      </c>
      <c r="P60" s="130" t="n">
        <v>0</v>
      </c>
      <c r="Q60" s="131" t="n">
        <v>0</v>
      </c>
      <c r="R60" s="131" t="n">
        <v>0</v>
      </c>
      <c r="S60" s="131" t="n">
        <v>0</v>
      </c>
      <c r="T60" s="132" t="n">
        <v>0</v>
      </c>
      <c r="V60" s="130" t="n">
        <v>0</v>
      </c>
      <c r="W60" s="131" t="n">
        <v>0</v>
      </c>
      <c r="X60" s="131" t="n">
        <v>0</v>
      </c>
      <c r="Y60" s="131" t="n">
        <v>0</v>
      </c>
      <c r="Z60" s="132" t="n">
        <v>0</v>
      </c>
      <c r="AE60" s="121" t="n">
        <v>12</v>
      </c>
      <c r="AF60" t="inlineStr">
        <is>
          <t>MS</t>
        </is>
      </c>
      <c r="AG60" s="122" t="n">
        <v>998616.5569501731</v>
      </c>
      <c r="AH60" s="56" t="n">
        <v>361.6921428652741</v>
      </c>
    </row>
    <row r="61">
      <c r="B61" s="64" t="inlineStr">
        <is>
          <t>Formulary Exclusions</t>
        </is>
      </c>
      <c r="D61" s="130" t="n">
        <v>0</v>
      </c>
      <c r="E61" s="131" t="n">
        <v>0</v>
      </c>
      <c r="F61" s="131" t="n">
        <v>0</v>
      </c>
      <c r="G61" s="131" t="n">
        <v>0</v>
      </c>
      <c r="H61" s="132" t="n">
        <v>0</v>
      </c>
      <c r="J61" s="130" t="n">
        <v>0</v>
      </c>
      <c r="K61" s="131" t="n">
        <v>0</v>
      </c>
      <c r="L61" s="131" t="n">
        <v>0</v>
      </c>
      <c r="M61" s="131" t="n">
        <v>0</v>
      </c>
      <c r="N61" s="132" t="n">
        <v>0</v>
      </c>
      <c r="P61" s="130" t="n">
        <v>0</v>
      </c>
      <c r="Q61" s="131" t="n">
        <v>0</v>
      </c>
      <c r="R61" s="131" t="n">
        <v>0</v>
      </c>
      <c r="S61" s="131" t="n">
        <v>0</v>
      </c>
      <c r="T61" s="132" t="n">
        <v>0</v>
      </c>
      <c r="V61" s="130" t="n">
        <v>0</v>
      </c>
      <c r="W61" s="131" t="n">
        <v>0</v>
      </c>
      <c r="X61" s="131" t="n">
        <v>0</v>
      </c>
      <c r="Y61" s="131" t="n">
        <v>0</v>
      </c>
      <c r="Z61" s="132" t="n">
        <v>0</v>
      </c>
      <c r="AE61" s="121" t="n">
        <v>13</v>
      </c>
      <c r="AF61" t="inlineStr">
        <is>
          <t>PCSK9 INHIBITORS</t>
        </is>
      </c>
      <c r="AG61" s="122" t="n">
        <v>935374.3548887173</v>
      </c>
      <c r="AH61" s="56" t="n">
        <v>3116.524086</v>
      </c>
    </row>
    <row r="62">
      <c r="B62" s="64" t="inlineStr">
        <is>
          <t>Synthroid</t>
        </is>
      </c>
      <c r="D62" s="130" t="n">
        <v>0</v>
      </c>
      <c r="E62" s="131" t="n">
        <v>0</v>
      </c>
      <c r="F62" s="131" t="n">
        <v>0</v>
      </c>
      <c r="G62" s="131" t="n">
        <v>0</v>
      </c>
      <c r="H62" s="132" t="n">
        <v>0</v>
      </c>
      <c r="J62" s="130" t="n">
        <v>0</v>
      </c>
      <c r="K62" s="131" t="n">
        <v>0</v>
      </c>
      <c r="L62" s="131" t="n">
        <v>0</v>
      </c>
      <c r="M62" s="131" t="n">
        <v>0</v>
      </c>
      <c r="N62" s="132" t="n">
        <v>0</v>
      </c>
      <c r="P62" s="130" t="n">
        <v>0</v>
      </c>
      <c r="Q62" s="131" t="n">
        <v>0</v>
      </c>
      <c r="R62" s="131" t="n">
        <v>0</v>
      </c>
      <c r="S62" s="131" t="n">
        <v>0</v>
      </c>
      <c r="T62" s="132" t="n">
        <v>0</v>
      </c>
      <c r="V62" s="130" t="n">
        <v>0</v>
      </c>
      <c r="W62" s="131" t="n">
        <v>0</v>
      </c>
      <c r="X62" s="131" t="n">
        <v>0</v>
      </c>
      <c r="Y62" s="131" t="n">
        <v>0</v>
      </c>
      <c r="Z62" s="132" t="n">
        <v>0</v>
      </c>
      <c r="AE62" s="121" t="n">
        <v>14</v>
      </c>
      <c r="AF62" t="inlineStr">
        <is>
          <t>ONCOLOGY</t>
        </is>
      </c>
      <c r="AG62" s="122" t="n">
        <v>893243.5068292584</v>
      </c>
      <c r="AH62" s="56" t="n">
        <v>1318.0278084067</v>
      </c>
    </row>
    <row r="63">
      <c r="B63" s="64" t="inlineStr">
        <is>
          <t>Misc</t>
        </is>
      </c>
      <c r="D63" s="130" t="n">
        <v>0</v>
      </c>
      <c r="E63" s="131" t="n">
        <v>0</v>
      </c>
      <c r="F63" s="131" t="n">
        <v>0</v>
      </c>
      <c r="G63" s="131" t="n">
        <v>0</v>
      </c>
      <c r="H63" s="132" t="n">
        <v>0</v>
      </c>
      <c r="J63" s="130" t="n">
        <v>1964.875071784408</v>
      </c>
      <c r="K63" s="131" t="n">
        <v>347.8756485030455</v>
      </c>
      <c r="L63" s="131" t="n">
        <v>130.6682137649017</v>
      </c>
      <c r="M63" s="131" t="n">
        <v>663.9327169755762</v>
      </c>
      <c r="N63" s="132" t="n">
        <v>3107.351651027931</v>
      </c>
      <c r="P63" s="130" t="n">
        <v>2163.155319482375</v>
      </c>
      <c r="Q63" s="131" t="n">
        <v>372.0859813343213</v>
      </c>
      <c r="R63" s="131" t="n">
        <v>143.0165673943964</v>
      </c>
      <c r="S63" s="131" t="n">
        <v>753.6182474419381</v>
      </c>
      <c r="T63" s="132" t="n">
        <v>3431.876115653031</v>
      </c>
      <c r="V63" s="130" t="n">
        <v>2378.866087308556</v>
      </c>
      <c r="W63" s="131" t="n">
        <v>407.7078036315903</v>
      </c>
      <c r="X63" s="131" t="n">
        <v>157.7761316534636</v>
      </c>
      <c r="Y63" s="131" t="n">
        <v>854.1693686244977</v>
      </c>
      <c r="Z63" s="132" t="n">
        <v>3798.519391218107</v>
      </c>
      <c r="AE63" s="121" t="n">
        <v>15</v>
      </c>
      <c r="AF63" t="inlineStr">
        <is>
          <t>ATYPICAL ANTIPSYCHOTICS</t>
        </is>
      </c>
      <c r="AG63" s="122" t="n">
        <v>694276.5626869353</v>
      </c>
      <c r="AH63" s="56" t="n">
        <v>2747.2099006045</v>
      </c>
    </row>
    <row r="64">
      <c r="B64" s="64" t="inlineStr">
        <is>
          <t>Specialty</t>
        </is>
      </c>
      <c r="D64" s="133" t="n">
        <v>0</v>
      </c>
      <c r="E64" s="134" t="n">
        <v>0</v>
      </c>
      <c r="F64" s="134" t="n">
        <v>0</v>
      </c>
      <c r="G64" s="134" t="n">
        <v>0</v>
      </c>
      <c r="H64" s="135" t="n">
        <v>0</v>
      </c>
      <c r="J64" s="133" t="n">
        <v>0</v>
      </c>
      <c r="K64" s="134" t="n">
        <v>0</v>
      </c>
      <c r="L64" s="134" t="n">
        <v>0</v>
      </c>
      <c r="M64" s="134" t="n">
        <v>0</v>
      </c>
      <c r="N64" s="135" t="n">
        <v>0</v>
      </c>
      <c r="P64" s="133" t="n">
        <v>0</v>
      </c>
      <c r="Q64" s="134" t="n">
        <v>0</v>
      </c>
      <c r="R64" s="134" t="n">
        <v>0</v>
      </c>
      <c r="S64" s="134" t="n">
        <v>0</v>
      </c>
      <c r="T64" s="135" t="n">
        <v>0</v>
      </c>
      <c r="V64" s="133" t="n">
        <v>0</v>
      </c>
      <c r="W64" s="134" t="n">
        <v>0</v>
      </c>
      <c r="X64" s="134" t="n">
        <v>0</v>
      </c>
      <c r="Y64" s="134" t="n">
        <v>0</v>
      </c>
      <c r="Z64" s="135" t="n">
        <v>0</v>
      </c>
      <c r="AE64" s="121" t="n">
        <v>16</v>
      </c>
      <c r="AF64" t="inlineStr">
        <is>
          <t>BASAL INSULIN</t>
        </is>
      </c>
      <c r="AG64" s="122" t="n">
        <v>680700.0419047658</v>
      </c>
      <c r="AH64" s="56" t="n">
        <v>5248.563887999999</v>
      </c>
    </row>
    <row r="65">
      <c r="A65" s="98" t="inlineStr">
        <is>
          <t>Added MFP row but needs adjusting for non-CY(Should just need adjustment in Exclusion Summary)</t>
        </is>
      </c>
      <c r="B65" s="64" t="inlineStr">
        <is>
          <t>MFP</t>
        </is>
      </c>
      <c r="D65" s="133" t="n">
        <v>0</v>
      </c>
      <c r="E65" s="134" t="n">
        <v>0</v>
      </c>
      <c r="F65" s="134" t="n">
        <v>0</v>
      </c>
      <c r="G65" s="134" t="n">
        <v>0</v>
      </c>
      <c r="H65" s="135" t="n">
        <v>0</v>
      </c>
      <c r="J65" s="133" t="n">
        <v>0</v>
      </c>
      <c r="K65" s="134" t="n">
        <v>0</v>
      </c>
      <c r="L65" s="134" t="n">
        <v>0</v>
      </c>
      <c r="M65" s="134" t="n">
        <v>0</v>
      </c>
      <c r="N65" s="135" t="n">
        <v>0</v>
      </c>
      <c r="P65" s="133" t="n">
        <v>0</v>
      </c>
      <c r="Q65" s="134" t="n">
        <v>0</v>
      </c>
      <c r="R65" s="134" t="n">
        <v>0</v>
      </c>
      <c r="S65" s="134" t="n">
        <v>0</v>
      </c>
      <c r="T65" s="135" t="n">
        <v>0</v>
      </c>
      <c r="V65" s="133" t="n">
        <v>0</v>
      </c>
      <c r="W65" s="134" t="n">
        <v>0</v>
      </c>
      <c r="X65" s="134" t="n">
        <v>0</v>
      </c>
      <c r="Y65" s="134" t="n">
        <v>0</v>
      </c>
      <c r="Z65" s="135" t="n">
        <v>0</v>
      </c>
      <c r="AE65" s="121" t="n">
        <v>17</v>
      </c>
      <c r="AF65" t="inlineStr">
        <is>
          <t>RAPID ACTING</t>
        </is>
      </c>
      <c r="AG65" s="122" t="n">
        <v>594155.6095130505</v>
      </c>
      <c r="AH65" s="56" t="n">
        <v>2651.990643</v>
      </c>
    </row>
    <row r="66">
      <c r="A66" s="99" t="n"/>
      <c r="B66" s="100" t="inlineStr">
        <is>
          <t>ENTER DESC</t>
        </is>
      </c>
      <c r="D66" s="133" t="n">
        <v>0</v>
      </c>
      <c r="E66" s="134" t="n">
        <v>0</v>
      </c>
      <c r="F66" s="134" t="n">
        <v>0</v>
      </c>
      <c r="G66" s="134" t="n">
        <v>0</v>
      </c>
      <c r="H66" s="135" t="n">
        <v>0</v>
      </c>
      <c r="J66" s="133" t="n">
        <v>0</v>
      </c>
      <c r="K66" s="134" t="n">
        <v>0</v>
      </c>
      <c r="L66" s="134" t="n">
        <v>0</v>
      </c>
      <c r="M66" s="134" t="n">
        <v>0</v>
      </c>
      <c r="N66" s="135" t="n">
        <v>0</v>
      </c>
      <c r="P66" s="133" t="n">
        <v>0</v>
      </c>
      <c r="Q66" s="134" t="n">
        <v>0</v>
      </c>
      <c r="R66" s="134" t="n">
        <v>0</v>
      </c>
      <c r="S66" s="134" t="n">
        <v>0</v>
      </c>
      <c r="T66" s="135" t="n">
        <v>0</v>
      </c>
      <c r="V66" s="133" t="n">
        <v>0</v>
      </c>
      <c r="W66" s="134" t="n">
        <v>0</v>
      </c>
      <c r="X66" s="134" t="n">
        <v>0</v>
      </c>
      <c r="Y66" s="134" t="n">
        <v>0</v>
      </c>
      <c r="Z66" s="135" t="n">
        <v>0</v>
      </c>
      <c r="AE66" s="121" t="n">
        <v>18</v>
      </c>
      <c r="AF66" t="inlineStr">
        <is>
          <t>DIGESTIVE ENZYMES</t>
        </is>
      </c>
      <c r="AG66" s="122" t="n">
        <v>472504.4526603898</v>
      </c>
      <c r="AH66" s="56" t="n">
        <v>520.349192</v>
      </c>
    </row>
    <row r="67" ht="15" customHeight="1" thickBot="1">
      <c r="B67" s="59" t="inlineStr">
        <is>
          <t>Non-Rebatable</t>
        </is>
      </c>
      <c r="D67" s="136" t="n">
        <v>0</v>
      </c>
      <c r="E67" s="137" t="n">
        <v>0</v>
      </c>
      <c r="F67" s="137" t="n">
        <v>0</v>
      </c>
      <c r="G67" s="137" t="n">
        <v>0</v>
      </c>
      <c r="H67" s="138" t="n">
        <v>0</v>
      </c>
      <c r="J67" s="139" t="n">
        <v>0</v>
      </c>
      <c r="K67" s="140" t="n">
        <v>0</v>
      </c>
      <c r="L67" s="140" t="n">
        <v>0</v>
      </c>
      <c r="M67" s="140" t="n">
        <v>0</v>
      </c>
      <c r="N67" s="141" t="n">
        <v>0</v>
      </c>
      <c r="P67" s="139" t="n">
        <v>0</v>
      </c>
      <c r="Q67" s="140" t="n">
        <v>0</v>
      </c>
      <c r="R67" s="140" t="n">
        <v>0</v>
      </c>
      <c r="S67" s="140" t="n">
        <v>0</v>
      </c>
      <c r="T67" s="141" t="n">
        <v>0</v>
      </c>
      <c r="V67" s="139" t="n">
        <v>0</v>
      </c>
      <c r="W67" s="140" t="n">
        <v>0</v>
      </c>
      <c r="X67" s="140" t="n">
        <v>0</v>
      </c>
      <c r="Y67" s="140" t="n">
        <v>0</v>
      </c>
      <c r="Z67" s="141" t="n">
        <v>0</v>
      </c>
      <c r="AE67" s="121" t="n">
        <v>19</v>
      </c>
      <c r="AF67" t="inlineStr">
        <is>
          <t>ORAL ANTICOAGULANTS</t>
        </is>
      </c>
      <c r="AG67" s="122" t="n">
        <v>308468.6868920012</v>
      </c>
      <c r="AH67" s="56" t="n">
        <v>6706.464778411766</v>
      </c>
    </row>
    <row r="68" ht="15.6" customHeight="1" thickBot="1" thickTop="1">
      <c r="B68" s="69" t="inlineStr">
        <is>
          <t>Total</t>
        </is>
      </c>
      <c r="D68" s="142" t="n">
        <v>0</v>
      </c>
      <c r="E68" s="143" t="n">
        <v>0</v>
      </c>
      <c r="F68" s="143" t="n">
        <v>0</v>
      </c>
      <c r="G68" s="143" t="n">
        <v>0</v>
      </c>
      <c r="H68" s="144" t="n">
        <v>0</v>
      </c>
      <c r="J68" s="142" t="n">
        <v>1964.875071784408</v>
      </c>
      <c r="K68" s="143" t="n">
        <v>347.8756485030455</v>
      </c>
      <c r="L68" s="143" t="n">
        <v>130.6682137649017</v>
      </c>
      <c r="M68" s="143" t="n">
        <v>663.9327169755762</v>
      </c>
      <c r="N68" s="144" t="n">
        <v>3107.351651027931</v>
      </c>
      <c r="P68" s="142" t="n">
        <v>2163.155319482375</v>
      </c>
      <c r="Q68" s="143" t="n">
        <v>372.0859813343213</v>
      </c>
      <c r="R68" s="143" t="n">
        <v>143.0165673943964</v>
      </c>
      <c r="S68" s="143" t="n">
        <v>753.6182474419381</v>
      </c>
      <c r="T68" s="144" t="n">
        <v>3431.876115653031</v>
      </c>
      <c r="V68" s="142" t="n">
        <v>2378.866087308556</v>
      </c>
      <c r="W68" s="143" t="n">
        <v>407.7078036315903</v>
      </c>
      <c r="X68" s="143" t="n">
        <v>157.7761316534636</v>
      </c>
      <c r="Y68" s="143" t="n">
        <v>854.1693686244977</v>
      </c>
      <c r="Z68" s="144" t="n">
        <v>3798.519391218107</v>
      </c>
      <c r="AE68" s="124" t="n">
        <v>20</v>
      </c>
      <c r="AF68" s="82" t="inlineStr">
        <is>
          <t>ADHD &amp; NARCOLEPSY MEDICATIONS</t>
        </is>
      </c>
      <c r="AG68" s="125" t="n">
        <v>262876.6109224144</v>
      </c>
      <c r="AH68" s="84" t="n">
        <v>3384.39584879385</v>
      </c>
    </row>
    <row r="69" ht="15" customHeight="1" thickBot="1">
      <c r="D69" s="145" t="n"/>
      <c r="E69" s="145" t="n"/>
      <c r="F69" s="145" t="n"/>
      <c r="G69" s="145" t="n"/>
      <c r="H69" s="145" t="n"/>
      <c r="J69" s="145" t="n"/>
      <c r="K69" s="145" t="n"/>
      <c r="L69" s="145" t="n"/>
      <c r="M69" s="145" t="n"/>
      <c r="N69" s="145" t="n"/>
      <c r="P69" s="145" t="n"/>
      <c r="Q69" s="145" t="n"/>
      <c r="R69" s="145" t="n"/>
      <c r="S69" s="145" t="n"/>
      <c r="T69" s="145" t="n"/>
      <c r="V69" s="145" t="n"/>
      <c r="W69" s="145" t="n"/>
      <c r="X69" s="145" t="n"/>
      <c r="Y69" s="145" t="n"/>
      <c r="Z69" s="145" t="n"/>
    </row>
    <row r="70" ht="15" customHeight="1" thickBot="1">
      <c r="B70" s="27" t="inlineStr">
        <is>
          <t>Excl - Generic</t>
        </is>
      </c>
      <c r="D70" s="28" t="inlineStr">
        <is>
          <t>R30</t>
        </is>
      </c>
      <c r="E70" s="29" t="inlineStr">
        <is>
          <t>R90</t>
        </is>
      </c>
      <c r="F70" s="29" t="inlineStr">
        <is>
          <t>Mail</t>
        </is>
      </c>
      <c r="G70" s="29" t="inlineStr">
        <is>
          <t>Specialty</t>
        </is>
      </c>
      <c r="H70" s="30" t="inlineStr">
        <is>
          <t>Total</t>
        </is>
      </c>
      <c r="J70" s="28" t="inlineStr">
        <is>
          <t>R30</t>
        </is>
      </c>
      <c r="K70" s="29" t="inlineStr">
        <is>
          <t>R90</t>
        </is>
      </c>
      <c r="L70" s="29" t="inlineStr">
        <is>
          <t>Mail</t>
        </is>
      </c>
      <c r="M70" s="29" t="inlineStr">
        <is>
          <t>Specialty</t>
        </is>
      </c>
      <c r="N70" s="30" t="inlineStr">
        <is>
          <t>Total</t>
        </is>
      </c>
      <c r="P70" s="28" t="inlineStr">
        <is>
          <t>R30</t>
        </is>
      </c>
      <c r="Q70" s="29" t="inlineStr">
        <is>
          <t>R90</t>
        </is>
      </c>
      <c r="R70" s="29" t="inlineStr">
        <is>
          <t>Mail</t>
        </is>
      </c>
      <c r="S70" s="29" t="inlineStr">
        <is>
          <t>Specialty</t>
        </is>
      </c>
      <c r="T70" s="30" t="inlineStr">
        <is>
          <t>Total</t>
        </is>
      </c>
      <c r="V70" s="28" t="inlineStr">
        <is>
          <t>R30</t>
        </is>
      </c>
      <c r="W70" s="29" t="inlineStr">
        <is>
          <t>R90</t>
        </is>
      </c>
      <c r="X70" s="29" t="inlineStr">
        <is>
          <t>Mail</t>
        </is>
      </c>
      <c r="Y70" s="29" t="inlineStr">
        <is>
          <t>Specialty</t>
        </is>
      </c>
      <c r="Z70" s="30" t="inlineStr">
        <is>
          <t>Total</t>
        </is>
      </c>
    </row>
    <row r="71">
      <c r="B71" s="38" t="inlineStr">
        <is>
          <t>OTCs</t>
        </is>
      </c>
      <c r="D71" s="127" t="n">
        <v>0</v>
      </c>
      <c r="E71" s="128" t="n">
        <v>0</v>
      </c>
      <c r="F71" s="128" t="n">
        <v>0</v>
      </c>
      <c r="G71" s="128" t="n">
        <v>0</v>
      </c>
      <c r="H71" s="129" t="n">
        <v>0</v>
      </c>
      <c r="J71" s="127" t="n">
        <v>0</v>
      </c>
      <c r="K71" s="128" t="n">
        <v>0</v>
      </c>
      <c r="L71" s="128" t="n">
        <v>0</v>
      </c>
      <c r="M71" s="128" t="n">
        <v>0</v>
      </c>
      <c r="N71" s="129" t="n">
        <v>0</v>
      </c>
      <c r="P71" s="127" t="n">
        <v>0</v>
      </c>
      <c r="Q71" s="128" t="n">
        <v>0</v>
      </c>
      <c r="R71" s="128" t="n">
        <v>0</v>
      </c>
      <c r="S71" s="128" t="n">
        <v>0</v>
      </c>
      <c r="T71" s="129" t="n">
        <v>0</v>
      </c>
      <c r="V71" s="127" t="n">
        <v>0</v>
      </c>
      <c r="W71" s="128" t="n">
        <v>0</v>
      </c>
      <c r="X71" s="128" t="n">
        <v>0</v>
      </c>
      <c r="Y71" s="128" t="n">
        <v>0</v>
      </c>
      <c r="Z71" s="129" t="n">
        <v>0</v>
      </c>
    </row>
    <row r="72">
      <c r="B72" s="49" t="inlineStr">
        <is>
          <t>Devices</t>
        </is>
      </c>
      <c r="D72" s="130" t="n">
        <v>0</v>
      </c>
      <c r="E72" s="131" t="n">
        <v>0</v>
      </c>
      <c r="F72" s="131" t="n">
        <v>0</v>
      </c>
      <c r="G72" s="131" t="n">
        <v>0</v>
      </c>
      <c r="H72" s="132" t="n">
        <v>0</v>
      </c>
      <c r="J72" s="130" t="n">
        <v>0</v>
      </c>
      <c r="K72" s="131" t="n">
        <v>0</v>
      </c>
      <c r="L72" s="131" t="n">
        <v>0</v>
      </c>
      <c r="M72" s="131" t="n">
        <v>0</v>
      </c>
      <c r="N72" s="132" t="n">
        <v>0</v>
      </c>
      <c r="P72" s="130" t="n">
        <v>0</v>
      </c>
      <c r="Q72" s="131" t="n">
        <v>0</v>
      </c>
      <c r="R72" s="131" t="n">
        <v>0</v>
      </c>
      <c r="S72" s="131" t="n">
        <v>0</v>
      </c>
      <c r="T72" s="132" t="n">
        <v>0</v>
      </c>
      <c r="V72" s="130" t="n">
        <v>0</v>
      </c>
      <c r="W72" s="131" t="n">
        <v>0</v>
      </c>
      <c r="X72" s="131" t="n">
        <v>0</v>
      </c>
      <c r="Y72" s="131" t="n">
        <v>0</v>
      </c>
      <c r="Z72" s="132" t="n">
        <v>0</v>
      </c>
    </row>
    <row r="73">
      <c r="B73" s="64" t="inlineStr">
        <is>
          <t>Vaccines</t>
        </is>
      </c>
      <c r="D73" s="130" t="n">
        <v>0</v>
      </c>
      <c r="E73" s="131" t="n">
        <v>0</v>
      </c>
      <c r="F73" s="131" t="n">
        <v>0</v>
      </c>
      <c r="G73" s="131" t="n">
        <v>0</v>
      </c>
      <c r="H73" s="132" t="n">
        <v>0</v>
      </c>
      <c r="J73" s="130" t="n">
        <v>0</v>
      </c>
      <c r="K73" s="131" t="n">
        <v>0</v>
      </c>
      <c r="L73" s="131" t="n">
        <v>0</v>
      </c>
      <c r="M73" s="131" t="n">
        <v>0</v>
      </c>
      <c r="N73" s="132" t="n">
        <v>0</v>
      </c>
      <c r="P73" s="130" t="n">
        <v>0</v>
      </c>
      <c r="Q73" s="131" t="n">
        <v>0</v>
      </c>
      <c r="R73" s="131" t="n">
        <v>0</v>
      </c>
      <c r="S73" s="131" t="n">
        <v>0</v>
      </c>
      <c r="T73" s="132" t="n">
        <v>0</v>
      </c>
      <c r="V73" s="130" t="n">
        <v>0</v>
      </c>
      <c r="W73" s="131" t="n">
        <v>0</v>
      </c>
      <c r="X73" s="131" t="n">
        <v>0</v>
      </c>
      <c r="Y73" s="131" t="n">
        <v>0</v>
      </c>
      <c r="Z73" s="132" t="n">
        <v>0</v>
      </c>
    </row>
    <row r="74">
      <c r="B74" s="64" t="inlineStr">
        <is>
          <t>Repackaged</t>
        </is>
      </c>
      <c r="D74" s="130" t="n">
        <v>0</v>
      </c>
      <c r="E74" s="131" t="n">
        <v>0</v>
      </c>
      <c r="F74" s="131" t="n">
        <v>0</v>
      </c>
      <c r="G74" s="131" t="n">
        <v>0</v>
      </c>
      <c r="H74" s="132" t="n">
        <v>0</v>
      </c>
      <c r="J74" s="130" t="n">
        <v>0</v>
      </c>
      <c r="K74" s="131" t="n">
        <v>0</v>
      </c>
      <c r="L74" s="131" t="n">
        <v>0</v>
      </c>
      <c r="M74" s="131" t="n">
        <v>0</v>
      </c>
      <c r="N74" s="132" t="n">
        <v>0</v>
      </c>
      <c r="P74" s="130" t="n">
        <v>0</v>
      </c>
      <c r="Q74" s="131" t="n">
        <v>0</v>
      </c>
      <c r="R74" s="131" t="n">
        <v>0</v>
      </c>
      <c r="S74" s="131" t="n">
        <v>0</v>
      </c>
      <c r="T74" s="132" t="n">
        <v>0</v>
      </c>
      <c r="V74" s="130" t="n">
        <v>0</v>
      </c>
      <c r="W74" s="131" t="n">
        <v>0</v>
      </c>
      <c r="X74" s="131" t="n">
        <v>0</v>
      </c>
      <c r="Y74" s="131" t="n">
        <v>0</v>
      </c>
      <c r="Z74" s="132" t="n">
        <v>0</v>
      </c>
    </row>
    <row r="75">
      <c r="B75" s="64" t="inlineStr">
        <is>
          <t>MSBs</t>
        </is>
      </c>
      <c r="D75" s="130" t="n">
        <v>0</v>
      </c>
      <c r="E75" s="131" t="n">
        <v>0</v>
      </c>
      <c r="F75" s="131" t="n">
        <v>0</v>
      </c>
      <c r="G75" s="131" t="n">
        <v>0</v>
      </c>
      <c r="H75" s="132" t="n">
        <v>0</v>
      </c>
      <c r="J75" s="130" t="n">
        <v>0</v>
      </c>
      <c r="K75" s="131" t="n">
        <v>0</v>
      </c>
      <c r="L75" s="131" t="n">
        <v>0</v>
      </c>
      <c r="M75" s="131" t="n">
        <v>0</v>
      </c>
      <c r="N75" s="132" t="n">
        <v>0</v>
      </c>
      <c r="P75" s="130" t="n">
        <v>0</v>
      </c>
      <c r="Q75" s="131" t="n">
        <v>0</v>
      </c>
      <c r="R75" s="131" t="n">
        <v>0</v>
      </c>
      <c r="S75" s="131" t="n">
        <v>0</v>
      </c>
      <c r="T75" s="132" t="n">
        <v>0</v>
      </c>
      <c r="V75" s="130" t="n">
        <v>0</v>
      </c>
      <c r="W75" s="131" t="n">
        <v>0</v>
      </c>
      <c r="X75" s="131" t="n">
        <v>0</v>
      </c>
      <c r="Y75" s="131" t="n">
        <v>0</v>
      </c>
      <c r="Z75" s="132" t="n">
        <v>0</v>
      </c>
    </row>
    <row r="76">
      <c r="B76" s="64" t="inlineStr">
        <is>
          <t>Non FDA Approved</t>
        </is>
      </c>
      <c r="D76" s="130" t="n">
        <v>0</v>
      </c>
      <c r="E76" s="131" t="n">
        <v>0</v>
      </c>
      <c r="F76" s="131" t="n">
        <v>0</v>
      </c>
      <c r="G76" s="131" t="n">
        <v>0</v>
      </c>
      <c r="H76" s="132" t="n">
        <v>0</v>
      </c>
      <c r="J76" s="130" t="n">
        <v>0</v>
      </c>
      <c r="K76" s="131" t="n">
        <v>0</v>
      </c>
      <c r="L76" s="131" t="n">
        <v>0</v>
      </c>
      <c r="M76" s="131" t="n">
        <v>0</v>
      </c>
      <c r="N76" s="132" t="n">
        <v>0</v>
      </c>
      <c r="P76" s="130" t="n">
        <v>0</v>
      </c>
      <c r="Q76" s="131" t="n">
        <v>0</v>
      </c>
      <c r="R76" s="131" t="n">
        <v>0</v>
      </c>
      <c r="S76" s="131" t="n">
        <v>0</v>
      </c>
      <c r="T76" s="132" t="n">
        <v>0</v>
      </c>
      <c r="V76" s="130" t="n">
        <v>0</v>
      </c>
      <c r="W76" s="131" t="n">
        <v>0</v>
      </c>
      <c r="X76" s="131" t="n">
        <v>0</v>
      </c>
      <c r="Y76" s="131" t="n">
        <v>0</v>
      </c>
      <c r="Z76" s="132" t="n">
        <v>0</v>
      </c>
    </row>
    <row r="77">
      <c r="B77" s="64" t="inlineStr">
        <is>
          <t>LDD</t>
        </is>
      </c>
      <c r="D77" s="130" t="n">
        <v>0</v>
      </c>
      <c r="E77" s="131" t="n">
        <v>0</v>
      </c>
      <c r="F77" s="131" t="n">
        <v>0</v>
      </c>
      <c r="G77" s="131" t="n">
        <v>0</v>
      </c>
      <c r="H77" s="132" t="n">
        <v>0</v>
      </c>
      <c r="J77" s="130" t="n">
        <v>0</v>
      </c>
      <c r="K77" s="131" t="n">
        <v>0</v>
      </c>
      <c r="L77" s="131" t="n">
        <v>0</v>
      </c>
      <c r="M77" s="131" t="n">
        <v>0</v>
      </c>
      <c r="N77" s="132" t="n">
        <v>0</v>
      </c>
      <c r="P77" s="130" t="n">
        <v>0</v>
      </c>
      <c r="Q77" s="131" t="n">
        <v>0</v>
      </c>
      <c r="R77" s="131" t="n">
        <v>0</v>
      </c>
      <c r="S77" s="131" t="n">
        <v>0</v>
      </c>
      <c r="T77" s="132" t="n">
        <v>0</v>
      </c>
      <c r="V77" s="130" t="n">
        <v>0</v>
      </c>
      <c r="W77" s="131" t="n">
        <v>0</v>
      </c>
      <c r="X77" s="131" t="n">
        <v>0</v>
      </c>
      <c r="Y77" s="131" t="n">
        <v>0</v>
      </c>
      <c r="Z77" s="132" t="n">
        <v>0</v>
      </c>
    </row>
    <row r="78">
      <c r="B78" s="64" t="inlineStr">
        <is>
          <t>Institutional NDCs</t>
        </is>
      </c>
      <c r="D78" s="130" t="n">
        <v>0</v>
      </c>
      <c r="E78" s="131" t="n">
        <v>0</v>
      </c>
      <c r="F78" s="131" t="n">
        <v>0</v>
      </c>
      <c r="G78" s="131" t="n">
        <v>0</v>
      </c>
      <c r="H78" s="132" t="n">
        <v>0</v>
      </c>
      <c r="J78" s="130" t="n">
        <v>0</v>
      </c>
      <c r="K78" s="131" t="n">
        <v>0</v>
      </c>
      <c r="L78" s="131" t="n">
        <v>0</v>
      </c>
      <c r="M78" s="131" t="n">
        <v>0</v>
      </c>
      <c r="N78" s="132" t="n">
        <v>0</v>
      </c>
      <c r="P78" s="130" t="n">
        <v>0</v>
      </c>
      <c r="Q78" s="131" t="n">
        <v>0</v>
      </c>
      <c r="R78" s="131" t="n">
        <v>0</v>
      </c>
      <c r="S78" s="131" t="n">
        <v>0</v>
      </c>
      <c r="T78" s="132" t="n">
        <v>0</v>
      </c>
      <c r="V78" s="130" t="n">
        <v>0</v>
      </c>
      <c r="W78" s="131" t="n">
        <v>0</v>
      </c>
      <c r="X78" s="131" t="n">
        <v>0</v>
      </c>
      <c r="Y78" s="131" t="n">
        <v>0</v>
      </c>
      <c r="Z78" s="132" t="n">
        <v>0</v>
      </c>
    </row>
    <row r="79" ht="15" customHeight="1">
      <c r="B79" s="64" t="inlineStr">
        <is>
          <t>Formulary Exclusions</t>
        </is>
      </c>
      <c r="D79" s="130" t="n">
        <v>0</v>
      </c>
      <c r="E79" s="131" t="n">
        <v>0</v>
      </c>
      <c r="F79" s="131" t="n">
        <v>0</v>
      </c>
      <c r="G79" s="131" t="n">
        <v>0</v>
      </c>
      <c r="H79" s="132" t="n">
        <v>0</v>
      </c>
      <c r="J79" s="130" t="n">
        <v>0</v>
      </c>
      <c r="K79" s="131" t="n">
        <v>0</v>
      </c>
      <c r="L79" s="131" t="n">
        <v>0</v>
      </c>
      <c r="M79" s="131" t="n">
        <v>0</v>
      </c>
      <c r="N79" s="132" t="n">
        <v>0</v>
      </c>
      <c r="P79" s="130" t="n">
        <v>0</v>
      </c>
      <c r="Q79" s="131" t="n">
        <v>0</v>
      </c>
      <c r="R79" s="131" t="n">
        <v>0</v>
      </c>
      <c r="S79" s="131" t="n">
        <v>0</v>
      </c>
      <c r="T79" s="132" t="n">
        <v>0</v>
      </c>
      <c r="V79" s="130" t="n">
        <v>0</v>
      </c>
      <c r="W79" s="131" t="n">
        <v>0</v>
      </c>
      <c r="X79" s="131" t="n">
        <v>0</v>
      </c>
      <c r="Y79" s="131" t="n">
        <v>0</v>
      </c>
      <c r="Z79" s="132" t="n">
        <v>0</v>
      </c>
    </row>
    <row r="80">
      <c r="B80" s="64" t="inlineStr">
        <is>
          <t>Synthroid</t>
        </is>
      </c>
      <c r="D80" s="130" t="n">
        <v>0</v>
      </c>
      <c r="E80" s="131" t="n">
        <v>0</v>
      </c>
      <c r="F80" s="131" t="n">
        <v>0</v>
      </c>
      <c r="G80" s="131" t="n">
        <v>0</v>
      </c>
      <c r="H80" s="132" t="n">
        <v>0</v>
      </c>
      <c r="J80" s="130" t="n">
        <v>0</v>
      </c>
      <c r="K80" s="131" t="n">
        <v>0</v>
      </c>
      <c r="L80" s="131" t="n">
        <v>0</v>
      </c>
      <c r="M80" s="131" t="n">
        <v>0</v>
      </c>
      <c r="N80" s="132" t="n">
        <v>0</v>
      </c>
      <c r="P80" s="130" t="n">
        <v>0</v>
      </c>
      <c r="Q80" s="131" t="n">
        <v>0</v>
      </c>
      <c r="R80" s="131" t="n">
        <v>0</v>
      </c>
      <c r="S80" s="131" t="n">
        <v>0</v>
      </c>
      <c r="T80" s="132" t="n">
        <v>0</v>
      </c>
      <c r="V80" s="130" t="n">
        <v>0</v>
      </c>
      <c r="W80" s="131" t="n">
        <v>0</v>
      </c>
      <c r="X80" s="131" t="n">
        <v>0</v>
      </c>
      <c r="Y80" s="131" t="n">
        <v>0</v>
      </c>
      <c r="Z80" s="132" t="n">
        <v>0</v>
      </c>
    </row>
    <row r="81">
      <c r="B81" s="64" t="inlineStr">
        <is>
          <t>Misc</t>
        </is>
      </c>
      <c r="D81" s="130" t="n">
        <v>0</v>
      </c>
      <c r="E81" s="131" t="n">
        <v>0</v>
      </c>
      <c r="F81" s="131" t="n">
        <v>0</v>
      </c>
      <c r="G81" s="131" t="n">
        <v>0</v>
      </c>
      <c r="H81" s="132" t="n">
        <v>0</v>
      </c>
      <c r="J81" s="130" t="n">
        <v>0</v>
      </c>
      <c r="K81" s="131" t="n">
        <v>0</v>
      </c>
      <c r="L81" s="131" t="n">
        <v>0</v>
      </c>
      <c r="M81" s="131" t="n">
        <v>0</v>
      </c>
      <c r="N81" s="132" t="n">
        <v>0</v>
      </c>
      <c r="P81" s="130" t="n">
        <v>0</v>
      </c>
      <c r="Q81" s="131" t="n">
        <v>0</v>
      </c>
      <c r="R81" s="131" t="n">
        <v>0</v>
      </c>
      <c r="S81" s="131" t="n">
        <v>0</v>
      </c>
      <c r="T81" s="132" t="n">
        <v>0</v>
      </c>
      <c r="V81" s="130" t="n">
        <v>0</v>
      </c>
      <c r="W81" s="131" t="n">
        <v>0</v>
      </c>
      <c r="X81" s="131" t="n">
        <v>0</v>
      </c>
      <c r="Y81" s="131" t="n">
        <v>0</v>
      </c>
      <c r="Z81" s="132" t="n">
        <v>0</v>
      </c>
    </row>
    <row r="82">
      <c r="B82" s="64" t="inlineStr">
        <is>
          <t>Specialty</t>
        </is>
      </c>
      <c r="D82" s="133" t="n">
        <v>0</v>
      </c>
      <c r="E82" s="134" t="n">
        <v>0</v>
      </c>
      <c r="F82" s="134" t="n">
        <v>0</v>
      </c>
      <c r="G82" s="134" t="n">
        <v>0</v>
      </c>
      <c r="H82" s="135" t="n">
        <v>0</v>
      </c>
      <c r="J82" s="133" t="n">
        <v>0</v>
      </c>
      <c r="K82" s="134" t="n">
        <v>0</v>
      </c>
      <c r="L82" s="134" t="n">
        <v>0</v>
      </c>
      <c r="M82" s="134" t="n">
        <v>0</v>
      </c>
      <c r="N82" s="135" t="n">
        <v>0</v>
      </c>
      <c r="P82" s="133" t="n">
        <v>0</v>
      </c>
      <c r="Q82" s="134" t="n">
        <v>0</v>
      </c>
      <c r="R82" s="134" t="n">
        <v>0</v>
      </c>
      <c r="S82" s="134" t="n">
        <v>0</v>
      </c>
      <c r="T82" s="135" t="n">
        <v>0</v>
      </c>
      <c r="V82" s="133" t="n">
        <v>0</v>
      </c>
      <c r="W82" s="134" t="n">
        <v>0</v>
      </c>
      <c r="X82" s="134" t="n">
        <v>0</v>
      </c>
      <c r="Y82" s="134" t="n">
        <v>0</v>
      </c>
      <c r="Z82" s="135" t="n">
        <v>0</v>
      </c>
    </row>
    <row r="83">
      <c r="A83" s="98" t="inlineStr">
        <is>
          <t>Added MFP row but needs adjusting for non-CY</t>
        </is>
      </c>
      <c r="B83" s="64" t="inlineStr">
        <is>
          <t>MFP</t>
        </is>
      </c>
      <c r="D83" s="133" t="n">
        <v>0</v>
      </c>
      <c r="E83" s="134" t="n">
        <v>0</v>
      </c>
      <c r="F83" s="134" t="n">
        <v>0</v>
      </c>
      <c r="G83" s="134" t="n">
        <v>0</v>
      </c>
      <c r="H83" s="135" t="n">
        <v>0</v>
      </c>
      <c r="J83" s="133" t="n">
        <v>0</v>
      </c>
      <c r="K83" s="134" t="n">
        <v>0</v>
      </c>
      <c r="L83" s="134" t="n">
        <v>0</v>
      </c>
      <c r="M83" s="134" t="n">
        <v>0</v>
      </c>
      <c r="N83" s="135" t="n">
        <v>0</v>
      </c>
      <c r="P83" s="133" t="n">
        <v>0</v>
      </c>
      <c r="Q83" s="134" t="n">
        <v>0</v>
      </c>
      <c r="R83" s="134" t="n">
        <v>0</v>
      </c>
      <c r="S83" s="134" t="n">
        <v>0</v>
      </c>
      <c r="T83" s="135" t="n">
        <v>0</v>
      </c>
      <c r="V83" s="133" t="n">
        <v>0</v>
      </c>
      <c r="W83" s="134" t="n">
        <v>0</v>
      </c>
      <c r="X83" s="134" t="n">
        <v>0</v>
      </c>
      <c r="Y83" s="134" t="n">
        <v>0</v>
      </c>
      <c r="Z83" s="135" t="n">
        <v>0</v>
      </c>
    </row>
    <row r="84">
      <c r="B84" s="100">
        <f>$B$66</f>
        <v/>
      </c>
      <c r="D84" s="133" t="n">
        <v>0</v>
      </c>
      <c r="E84" s="134" t="n">
        <v>0</v>
      </c>
      <c r="F84" s="134" t="n">
        <v>0</v>
      </c>
      <c r="G84" s="134" t="n">
        <v>0</v>
      </c>
      <c r="H84" s="135" t="n">
        <v>0</v>
      </c>
      <c r="J84" s="133" t="n">
        <v>0</v>
      </c>
      <c r="K84" s="134" t="n">
        <v>0</v>
      </c>
      <c r="L84" s="134" t="n">
        <v>0</v>
      </c>
      <c r="M84" s="134" t="n">
        <v>0</v>
      </c>
      <c r="N84" s="135" t="n">
        <v>0</v>
      </c>
      <c r="P84" s="133" t="n">
        <v>0</v>
      </c>
      <c r="Q84" s="134" t="n">
        <v>0</v>
      </c>
      <c r="R84" s="134" t="n">
        <v>0</v>
      </c>
      <c r="S84" s="134" t="n">
        <v>0</v>
      </c>
      <c r="T84" s="135" t="n">
        <v>0</v>
      </c>
      <c r="V84" s="133" t="n">
        <v>0</v>
      </c>
      <c r="W84" s="134" t="n">
        <v>0</v>
      </c>
      <c r="X84" s="134" t="n">
        <v>0</v>
      </c>
      <c r="Y84" s="134" t="n">
        <v>0</v>
      </c>
      <c r="Z84" s="135" t="n">
        <v>0</v>
      </c>
    </row>
    <row r="85" ht="15" customHeight="1" thickBot="1">
      <c r="B85" s="59" t="inlineStr">
        <is>
          <t>Non-Rebatable</t>
        </is>
      </c>
      <c r="D85" s="136" t="n">
        <v>0</v>
      </c>
      <c r="E85" s="137" t="n">
        <v>0</v>
      </c>
      <c r="F85" s="137" t="n">
        <v>0</v>
      </c>
      <c r="G85" s="137" t="n">
        <v>0</v>
      </c>
      <c r="H85" s="138" t="n">
        <v>0</v>
      </c>
      <c r="J85" s="139" t="n">
        <v>0</v>
      </c>
      <c r="K85" s="140" t="n">
        <v>0</v>
      </c>
      <c r="L85" s="140" t="n">
        <v>0</v>
      </c>
      <c r="M85" s="140" t="n">
        <v>0</v>
      </c>
      <c r="N85" s="141" t="n">
        <v>0</v>
      </c>
      <c r="P85" s="139" t="n">
        <v>0</v>
      </c>
      <c r="Q85" s="140" t="n">
        <v>0</v>
      </c>
      <c r="R85" s="140" t="n">
        <v>0</v>
      </c>
      <c r="S85" s="140" t="n">
        <v>0</v>
      </c>
      <c r="T85" s="141" t="n">
        <v>0</v>
      </c>
      <c r="V85" s="139" t="n">
        <v>0</v>
      </c>
      <c r="W85" s="140" t="n">
        <v>0</v>
      </c>
      <c r="X85" s="140" t="n">
        <v>0</v>
      </c>
      <c r="Y85" s="140" t="n">
        <v>0</v>
      </c>
      <c r="Z85" s="141" t="n">
        <v>0</v>
      </c>
    </row>
    <row r="86" ht="15.6" customHeight="1" thickBot="1" thickTop="1">
      <c r="B86" s="69" t="inlineStr">
        <is>
          <t>Total</t>
        </is>
      </c>
      <c r="D86" s="142" t="n">
        <v>0</v>
      </c>
      <c r="E86" s="143" t="n">
        <v>0</v>
      </c>
      <c r="F86" s="143" t="n">
        <v>0</v>
      </c>
      <c r="G86" s="143" t="n">
        <v>0</v>
      </c>
      <c r="H86" s="144" t="n">
        <v>0</v>
      </c>
      <c r="J86" s="142" t="n">
        <v>0</v>
      </c>
      <c r="K86" s="143" t="n">
        <v>0</v>
      </c>
      <c r="L86" s="143" t="n">
        <v>0</v>
      </c>
      <c r="M86" s="143" t="n">
        <v>0</v>
      </c>
      <c r="N86" s="144" t="n">
        <v>0</v>
      </c>
      <c r="P86" s="142" t="n">
        <v>0</v>
      </c>
      <c r="Q86" s="143" t="n">
        <v>0</v>
      </c>
      <c r="R86" s="143" t="n">
        <v>0</v>
      </c>
      <c r="S86" s="143" t="n">
        <v>0</v>
      </c>
      <c r="T86" s="144" t="n">
        <v>0</v>
      </c>
      <c r="V86" s="142" t="n">
        <v>0</v>
      </c>
      <c r="W86" s="143" t="n">
        <v>0</v>
      </c>
      <c r="X86" s="143" t="n">
        <v>0</v>
      </c>
      <c r="Y86" s="143" t="n">
        <v>0</v>
      </c>
      <c r="Z86" s="144" t="n">
        <v>0</v>
      </c>
    </row>
    <row r="87" ht="15" customHeight="1" thickBot="1">
      <c r="D87" s="145" t="n"/>
      <c r="E87" s="145" t="n"/>
      <c r="F87" s="145" t="n"/>
      <c r="G87" s="145" t="n"/>
      <c r="H87" s="145" t="n"/>
      <c r="J87" s="145" t="n"/>
      <c r="K87" s="145" t="n"/>
      <c r="L87" s="145" t="n"/>
      <c r="M87" s="145" t="n"/>
      <c r="N87" s="145" t="n"/>
      <c r="P87" s="145" t="n"/>
      <c r="Q87" s="145" t="n"/>
      <c r="R87" s="145" t="n"/>
      <c r="S87" s="145" t="n"/>
      <c r="T87" s="145" t="n"/>
      <c r="V87" s="145" t="n"/>
      <c r="W87" s="145" t="n"/>
      <c r="X87" s="145" t="n"/>
      <c r="Y87" s="145" t="n"/>
      <c r="Z87" s="145" t="n"/>
    </row>
    <row r="88" ht="15" customHeight="1" thickBot="1">
      <c r="B88" s="27" t="inlineStr">
        <is>
          <t>Excl - Total</t>
        </is>
      </c>
      <c r="D88" s="28" t="inlineStr">
        <is>
          <t>R30</t>
        </is>
      </c>
      <c r="E88" s="29" t="inlineStr">
        <is>
          <t>R90</t>
        </is>
      </c>
      <c r="F88" s="29" t="inlineStr">
        <is>
          <t>Mail</t>
        </is>
      </c>
      <c r="G88" s="29" t="inlineStr">
        <is>
          <t>Specialty</t>
        </is>
      </c>
      <c r="H88" s="30" t="inlineStr">
        <is>
          <t>Total</t>
        </is>
      </c>
      <c r="J88" s="28" t="inlineStr">
        <is>
          <t>R30</t>
        </is>
      </c>
      <c r="K88" s="29" t="inlineStr">
        <is>
          <t>R90</t>
        </is>
      </c>
      <c r="L88" s="29" t="inlineStr">
        <is>
          <t>Mail</t>
        </is>
      </c>
      <c r="M88" s="29" t="inlineStr">
        <is>
          <t>Specialty</t>
        </is>
      </c>
      <c r="N88" s="30" t="inlineStr">
        <is>
          <t>Total</t>
        </is>
      </c>
      <c r="P88" s="28" t="inlineStr">
        <is>
          <t>R30</t>
        </is>
      </c>
      <c r="Q88" s="29" t="inlineStr">
        <is>
          <t>R90</t>
        </is>
      </c>
      <c r="R88" s="29" t="inlineStr">
        <is>
          <t>Mail</t>
        </is>
      </c>
      <c r="S88" s="29" t="inlineStr">
        <is>
          <t>Specialty</t>
        </is>
      </c>
      <c r="T88" s="30" t="inlineStr">
        <is>
          <t>Total</t>
        </is>
      </c>
      <c r="V88" s="28" t="inlineStr">
        <is>
          <t>R30</t>
        </is>
      </c>
      <c r="W88" s="29" t="inlineStr">
        <is>
          <t>R90</t>
        </is>
      </c>
      <c r="X88" s="29" t="inlineStr">
        <is>
          <t>Mail</t>
        </is>
      </c>
      <c r="Y88" s="29" t="inlineStr">
        <is>
          <t>Specialty</t>
        </is>
      </c>
      <c r="Z88" s="30" t="inlineStr">
        <is>
          <t>Total</t>
        </is>
      </c>
    </row>
    <row r="89">
      <c r="B89" s="38" t="inlineStr">
        <is>
          <t>OTCs</t>
        </is>
      </c>
      <c r="D89" s="127" t="n">
        <v>0</v>
      </c>
      <c r="E89" s="128" t="n">
        <v>0</v>
      </c>
      <c r="F89" s="128" t="n">
        <v>0</v>
      </c>
      <c r="G89" s="128" t="n">
        <v>0</v>
      </c>
      <c r="H89" s="129" t="n">
        <v>0</v>
      </c>
      <c r="J89" s="127" t="n">
        <v>0</v>
      </c>
      <c r="K89" s="128" t="n">
        <v>0</v>
      </c>
      <c r="L89" s="128" t="n">
        <v>0</v>
      </c>
      <c r="M89" s="128" t="n">
        <v>0</v>
      </c>
      <c r="N89" s="129" t="n">
        <v>0</v>
      </c>
      <c r="P89" s="127" t="n">
        <v>0</v>
      </c>
      <c r="Q89" s="128" t="n">
        <v>0</v>
      </c>
      <c r="R89" s="128" t="n">
        <v>0</v>
      </c>
      <c r="S89" s="128" t="n">
        <v>0</v>
      </c>
      <c r="T89" s="129" t="n">
        <v>0</v>
      </c>
      <c r="V89" s="127" t="n">
        <v>0</v>
      </c>
      <c r="W89" s="128" t="n">
        <v>0</v>
      </c>
      <c r="X89" s="128" t="n">
        <v>0</v>
      </c>
      <c r="Y89" s="128" t="n">
        <v>0</v>
      </c>
      <c r="Z89" s="129" t="n">
        <v>0</v>
      </c>
    </row>
    <row r="90">
      <c r="B90" s="49" t="inlineStr">
        <is>
          <t>Devices</t>
        </is>
      </c>
      <c r="D90" s="130" t="n">
        <v>0</v>
      </c>
      <c r="E90" s="131" t="n">
        <v>0</v>
      </c>
      <c r="F90" s="131" t="n">
        <v>0</v>
      </c>
      <c r="G90" s="131" t="n">
        <v>0</v>
      </c>
      <c r="H90" s="132" t="n">
        <v>0</v>
      </c>
      <c r="J90" s="130" t="n">
        <v>0</v>
      </c>
      <c r="K90" s="131" t="n">
        <v>0</v>
      </c>
      <c r="L90" s="131" t="n">
        <v>0</v>
      </c>
      <c r="M90" s="131" t="n">
        <v>0</v>
      </c>
      <c r="N90" s="132" t="n">
        <v>0</v>
      </c>
      <c r="P90" s="130" t="n">
        <v>0</v>
      </c>
      <c r="Q90" s="131" t="n">
        <v>0</v>
      </c>
      <c r="R90" s="131" t="n">
        <v>0</v>
      </c>
      <c r="S90" s="131" t="n">
        <v>0</v>
      </c>
      <c r="T90" s="132" t="n">
        <v>0</v>
      </c>
      <c r="V90" s="130" t="n">
        <v>0</v>
      </c>
      <c r="W90" s="131" t="n">
        <v>0</v>
      </c>
      <c r="X90" s="131" t="n">
        <v>0</v>
      </c>
      <c r="Y90" s="131" t="n">
        <v>0</v>
      </c>
      <c r="Z90" s="132" t="n">
        <v>0</v>
      </c>
    </row>
    <row r="91">
      <c r="B91" s="64" t="inlineStr">
        <is>
          <t>Vaccines</t>
        </is>
      </c>
      <c r="D91" s="130" t="n">
        <v>0</v>
      </c>
      <c r="E91" s="131" t="n">
        <v>0</v>
      </c>
      <c r="F91" s="131" t="n">
        <v>0</v>
      </c>
      <c r="G91" s="131" t="n">
        <v>0</v>
      </c>
      <c r="H91" s="132" t="n">
        <v>0</v>
      </c>
      <c r="J91" s="130" t="n">
        <v>0</v>
      </c>
      <c r="K91" s="131" t="n">
        <v>0</v>
      </c>
      <c r="L91" s="131" t="n">
        <v>0</v>
      </c>
      <c r="M91" s="131" t="n">
        <v>0</v>
      </c>
      <c r="N91" s="132" t="n">
        <v>0</v>
      </c>
      <c r="P91" s="130" t="n">
        <v>0</v>
      </c>
      <c r="Q91" s="131" t="n">
        <v>0</v>
      </c>
      <c r="R91" s="131" t="n">
        <v>0</v>
      </c>
      <c r="S91" s="131" t="n">
        <v>0</v>
      </c>
      <c r="T91" s="132" t="n">
        <v>0</v>
      </c>
      <c r="V91" s="130" t="n">
        <v>0</v>
      </c>
      <c r="W91" s="131" t="n">
        <v>0</v>
      </c>
      <c r="X91" s="131" t="n">
        <v>0</v>
      </c>
      <c r="Y91" s="131" t="n">
        <v>0</v>
      </c>
      <c r="Z91" s="132" t="n">
        <v>0</v>
      </c>
    </row>
    <row r="92">
      <c r="B92" s="64" t="inlineStr">
        <is>
          <t>Repackaged</t>
        </is>
      </c>
      <c r="D92" s="130" t="n">
        <v>0</v>
      </c>
      <c r="E92" s="131" t="n">
        <v>0</v>
      </c>
      <c r="F92" s="131" t="n">
        <v>0</v>
      </c>
      <c r="G92" s="131" t="n">
        <v>0</v>
      </c>
      <c r="H92" s="132" t="n">
        <v>0</v>
      </c>
      <c r="J92" s="130" t="n">
        <v>0</v>
      </c>
      <c r="K92" s="131" t="n">
        <v>0</v>
      </c>
      <c r="L92" s="131" t="n">
        <v>0</v>
      </c>
      <c r="M92" s="131" t="n">
        <v>0</v>
      </c>
      <c r="N92" s="132" t="n">
        <v>0</v>
      </c>
      <c r="P92" s="130" t="n">
        <v>0</v>
      </c>
      <c r="Q92" s="131" t="n">
        <v>0</v>
      </c>
      <c r="R92" s="131" t="n">
        <v>0</v>
      </c>
      <c r="S92" s="131" t="n">
        <v>0</v>
      </c>
      <c r="T92" s="132" t="n">
        <v>0</v>
      </c>
      <c r="V92" s="130" t="n">
        <v>0</v>
      </c>
      <c r="W92" s="131" t="n">
        <v>0</v>
      </c>
      <c r="X92" s="131" t="n">
        <v>0</v>
      </c>
      <c r="Y92" s="131" t="n">
        <v>0</v>
      </c>
      <c r="Z92" s="132" t="n">
        <v>0</v>
      </c>
    </row>
    <row r="93">
      <c r="B93" s="64" t="inlineStr">
        <is>
          <t>MSBs</t>
        </is>
      </c>
      <c r="D93" s="130" t="n">
        <v>0</v>
      </c>
      <c r="E93" s="131" t="n">
        <v>0</v>
      </c>
      <c r="F93" s="131" t="n">
        <v>0</v>
      </c>
      <c r="G93" s="131" t="n">
        <v>0</v>
      </c>
      <c r="H93" s="132" t="n">
        <v>0</v>
      </c>
      <c r="J93" s="130" t="n">
        <v>0</v>
      </c>
      <c r="K93" s="131" t="n">
        <v>0</v>
      </c>
      <c r="L93" s="131" t="n">
        <v>0</v>
      </c>
      <c r="M93" s="131" t="n">
        <v>0</v>
      </c>
      <c r="N93" s="132" t="n">
        <v>0</v>
      </c>
      <c r="P93" s="130" t="n">
        <v>0</v>
      </c>
      <c r="Q93" s="131" t="n">
        <v>0</v>
      </c>
      <c r="R93" s="131" t="n">
        <v>0</v>
      </c>
      <c r="S93" s="131" t="n">
        <v>0</v>
      </c>
      <c r="T93" s="132" t="n">
        <v>0</v>
      </c>
      <c r="V93" s="130" t="n">
        <v>0</v>
      </c>
      <c r="W93" s="131" t="n">
        <v>0</v>
      </c>
      <c r="X93" s="131" t="n">
        <v>0</v>
      </c>
      <c r="Y93" s="131" t="n">
        <v>0</v>
      </c>
      <c r="Z93" s="132" t="n">
        <v>0</v>
      </c>
    </row>
    <row r="94">
      <c r="B94" s="64" t="inlineStr">
        <is>
          <t>Non FDA Approved</t>
        </is>
      </c>
      <c r="D94" s="130" t="n">
        <v>0</v>
      </c>
      <c r="E94" s="131" t="n">
        <v>0</v>
      </c>
      <c r="F94" s="131" t="n">
        <v>0</v>
      </c>
      <c r="G94" s="131" t="n">
        <v>0</v>
      </c>
      <c r="H94" s="132" t="n">
        <v>0</v>
      </c>
      <c r="J94" s="130" t="n">
        <v>0</v>
      </c>
      <c r="K94" s="131" t="n">
        <v>0</v>
      </c>
      <c r="L94" s="131" t="n">
        <v>0</v>
      </c>
      <c r="M94" s="131" t="n">
        <v>0</v>
      </c>
      <c r="N94" s="132" t="n">
        <v>0</v>
      </c>
      <c r="P94" s="130" t="n">
        <v>0</v>
      </c>
      <c r="Q94" s="131" t="n">
        <v>0</v>
      </c>
      <c r="R94" s="131" t="n">
        <v>0</v>
      </c>
      <c r="S94" s="131" t="n">
        <v>0</v>
      </c>
      <c r="T94" s="132" t="n">
        <v>0</v>
      </c>
      <c r="V94" s="130" t="n">
        <v>0</v>
      </c>
      <c r="W94" s="131" t="n">
        <v>0</v>
      </c>
      <c r="X94" s="131" t="n">
        <v>0</v>
      </c>
      <c r="Y94" s="131" t="n">
        <v>0</v>
      </c>
      <c r="Z94" s="132" t="n">
        <v>0</v>
      </c>
    </row>
    <row r="95">
      <c r="B95" s="64" t="inlineStr">
        <is>
          <t>LDD</t>
        </is>
      </c>
      <c r="D95" s="130" t="n">
        <v>0</v>
      </c>
      <c r="E95" s="131" t="n">
        <v>0</v>
      </c>
      <c r="F95" s="131" t="n">
        <v>0</v>
      </c>
      <c r="G95" s="131" t="n">
        <v>0</v>
      </c>
      <c r="H95" s="132" t="n">
        <v>0</v>
      </c>
      <c r="J95" s="130" t="n">
        <v>0</v>
      </c>
      <c r="K95" s="131" t="n">
        <v>0</v>
      </c>
      <c r="L95" s="131" t="n">
        <v>0</v>
      </c>
      <c r="M95" s="131" t="n">
        <v>0</v>
      </c>
      <c r="N95" s="132" t="n">
        <v>0</v>
      </c>
      <c r="P95" s="130" t="n">
        <v>0</v>
      </c>
      <c r="Q95" s="131" t="n">
        <v>0</v>
      </c>
      <c r="R95" s="131" t="n">
        <v>0</v>
      </c>
      <c r="S95" s="131" t="n">
        <v>0</v>
      </c>
      <c r="T95" s="132" t="n">
        <v>0</v>
      </c>
      <c r="V95" s="130" t="n">
        <v>0</v>
      </c>
      <c r="W95" s="131" t="n">
        <v>0</v>
      </c>
      <c r="X95" s="131" t="n">
        <v>0</v>
      </c>
      <c r="Y95" s="131" t="n">
        <v>0</v>
      </c>
      <c r="Z95" s="132" t="n">
        <v>0</v>
      </c>
    </row>
    <row r="96">
      <c r="B96" s="64" t="inlineStr">
        <is>
          <t>Institutional NDCs</t>
        </is>
      </c>
      <c r="D96" s="130" t="n">
        <v>0</v>
      </c>
      <c r="E96" s="131" t="n">
        <v>0</v>
      </c>
      <c r="F96" s="131" t="n">
        <v>0</v>
      </c>
      <c r="G96" s="131" t="n">
        <v>0</v>
      </c>
      <c r="H96" s="132" t="n">
        <v>0</v>
      </c>
      <c r="J96" s="130" t="n">
        <v>0</v>
      </c>
      <c r="K96" s="131" t="n">
        <v>0</v>
      </c>
      <c r="L96" s="131" t="n">
        <v>0</v>
      </c>
      <c r="M96" s="131" t="n">
        <v>0</v>
      </c>
      <c r="N96" s="132" t="n">
        <v>0</v>
      </c>
      <c r="P96" s="130" t="n">
        <v>0</v>
      </c>
      <c r="Q96" s="131" t="n">
        <v>0</v>
      </c>
      <c r="R96" s="131" t="n">
        <v>0</v>
      </c>
      <c r="S96" s="131" t="n">
        <v>0</v>
      </c>
      <c r="T96" s="132" t="n">
        <v>0</v>
      </c>
      <c r="V96" s="130" t="n">
        <v>0</v>
      </c>
      <c r="W96" s="131" t="n">
        <v>0</v>
      </c>
      <c r="X96" s="131" t="n">
        <v>0</v>
      </c>
      <c r="Y96" s="131" t="n">
        <v>0</v>
      </c>
      <c r="Z96" s="132" t="n">
        <v>0</v>
      </c>
    </row>
    <row r="97">
      <c r="B97" s="64" t="inlineStr">
        <is>
          <t>Formulary Exclusions</t>
        </is>
      </c>
      <c r="D97" s="130" t="n">
        <v>0</v>
      </c>
      <c r="E97" s="131" t="n">
        <v>0</v>
      </c>
      <c r="F97" s="131" t="n">
        <v>0</v>
      </c>
      <c r="G97" s="131" t="n">
        <v>0</v>
      </c>
      <c r="H97" s="132" t="n">
        <v>0</v>
      </c>
      <c r="J97" s="130" t="n">
        <v>0</v>
      </c>
      <c r="K97" s="131" t="n">
        <v>0</v>
      </c>
      <c r="L97" s="131" t="n">
        <v>0</v>
      </c>
      <c r="M97" s="131" t="n">
        <v>0</v>
      </c>
      <c r="N97" s="132" t="n">
        <v>0</v>
      </c>
      <c r="P97" s="130" t="n">
        <v>0</v>
      </c>
      <c r="Q97" s="131" t="n">
        <v>0</v>
      </c>
      <c r="R97" s="131" t="n">
        <v>0</v>
      </c>
      <c r="S97" s="131" t="n">
        <v>0</v>
      </c>
      <c r="T97" s="132" t="n">
        <v>0</v>
      </c>
      <c r="V97" s="130" t="n">
        <v>0</v>
      </c>
      <c r="W97" s="131" t="n">
        <v>0</v>
      </c>
      <c r="X97" s="131" t="n">
        <v>0</v>
      </c>
      <c r="Y97" s="131" t="n">
        <v>0</v>
      </c>
      <c r="Z97" s="132" t="n">
        <v>0</v>
      </c>
    </row>
    <row r="98">
      <c r="B98" s="64" t="inlineStr">
        <is>
          <t>Synthroid</t>
        </is>
      </c>
      <c r="D98" s="130" t="n">
        <v>0</v>
      </c>
      <c r="E98" s="131" t="n">
        <v>0</v>
      </c>
      <c r="F98" s="131" t="n">
        <v>0</v>
      </c>
      <c r="G98" s="131" t="n">
        <v>0</v>
      </c>
      <c r="H98" s="132" t="n">
        <v>0</v>
      </c>
      <c r="J98" s="130" t="n">
        <v>0</v>
      </c>
      <c r="K98" s="131" t="n">
        <v>0</v>
      </c>
      <c r="L98" s="131" t="n">
        <v>0</v>
      </c>
      <c r="M98" s="131" t="n">
        <v>0</v>
      </c>
      <c r="N98" s="132" t="n">
        <v>0</v>
      </c>
      <c r="P98" s="130" t="n">
        <v>0</v>
      </c>
      <c r="Q98" s="131" t="n">
        <v>0</v>
      </c>
      <c r="R98" s="131" t="n">
        <v>0</v>
      </c>
      <c r="S98" s="131" t="n">
        <v>0</v>
      </c>
      <c r="T98" s="132" t="n">
        <v>0</v>
      </c>
      <c r="V98" s="130" t="n">
        <v>0</v>
      </c>
      <c r="W98" s="131" t="n">
        <v>0</v>
      </c>
      <c r="X98" s="131" t="n">
        <v>0</v>
      </c>
      <c r="Y98" s="131" t="n">
        <v>0</v>
      </c>
      <c r="Z98" s="132" t="n">
        <v>0</v>
      </c>
    </row>
    <row r="99">
      <c r="B99" s="64" t="inlineStr">
        <is>
          <t>Misc</t>
        </is>
      </c>
      <c r="D99" s="130" t="n">
        <v>0</v>
      </c>
      <c r="E99" s="131" t="n">
        <v>0</v>
      </c>
      <c r="F99" s="131" t="n">
        <v>0</v>
      </c>
      <c r="G99" s="131" t="n">
        <v>0</v>
      </c>
      <c r="H99" s="132" t="n">
        <v>0</v>
      </c>
      <c r="J99" s="130" t="n">
        <v>1964.875071784408</v>
      </c>
      <c r="K99" s="131" t="n">
        <v>347.8756485030455</v>
      </c>
      <c r="L99" s="131" t="n">
        <v>130.6682137649017</v>
      </c>
      <c r="M99" s="131" t="n">
        <v>663.9327169755762</v>
      </c>
      <c r="N99" s="132" t="n">
        <v>3107.351651027931</v>
      </c>
      <c r="P99" s="130" t="n">
        <v>2163.155319482375</v>
      </c>
      <c r="Q99" s="131" t="n">
        <v>372.0859813343213</v>
      </c>
      <c r="R99" s="131" t="n">
        <v>143.0165673943964</v>
      </c>
      <c r="S99" s="131" t="n">
        <v>753.6182474419381</v>
      </c>
      <c r="T99" s="132" t="n">
        <v>3431.876115653031</v>
      </c>
      <c r="V99" s="130" t="n">
        <v>2378.866087308556</v>
      </c>
      <c r="W99" s="131" t="n">
        <v>407.7078036315903</v>
      </c>
      <c r="X99" s="131" t="n">
        <v>157.7761316534636</v>
      </c>
      <c r="Y99" s="131" t="n">
        <v>854.1693686244977</v>
      </c>
      <c r="Z99" s="132" t="n">
        <v>3798.519391218107</v>
      </c>
    </row>
    <row r="100">
      <c r="B100" s="64" t="inlineStr">
        <is>
          <t>Specialty</t>
        </is>
      </c>
      <c r="D100" s="133" t="n">
        <v>0</v>
      </c>
      <c r="E100" s="134" t="n">
        <v>0</v>
      </c>
      <c r="F100" s="134" t="n">
        <v>0</v>
      </c>
      <c r="G100" s="134" t="n">
        <v>0</v>
      </c>
      <c r="H100" s="135" t="n">
        <v>0</v>
      </c>
      <c r="J100" s="133" t="n">
        <v>0</v>
      </c>
      <c r="K100" s="134" t="n">
        <v>0</v>
      </c>
      <c r="L100" s="134" t="n">
        <v>0</v>
      </c>
      <c r="M100" s="134" t="n">
        <v>0</v>
      </c>
      <c r="N100" s="135" t="n">
        <v>0</v>
      </c>
      <c r="P100" s="133" t="n">
        <v>0</v>
      </c>
      <c r="Q100" s="134" t="n">
        <v>0</v>
      </c>
      <c r="R100" s="134" t="n">
        <v>0</v>
      </c>
      <c r="S100" s="134" t="n">
        <v>0</v>
      </c>
      <c r="T100" s="135" t="n">
        <v>0</v>
      </c>
      <c r="V100" s="133" t="n">
        <v>0</v>
      </c>
      <c r="W100" s="134" t="n">
        <v>0</v>
      </c>
      <c r="X100" s="134" t="n">
        <v>0</v>
      </c>
      <c r="Y100" s="134" t="n">
        <v>0</v>
      </c>
      <c r="Z100" s="135" t="n">
        <v>0</v>
      </c>
    </row>
    <row r="101">
      <c r="A101" s="98" t="inlineStr">
        <is>
          <t>Added MFP row but needs adjusting for non-CY</t>
        </is>
      </c>
      <c r="B101" s="64" t="inlineStr">
        <is>
          <t>MFP</t>
        </is>
      </c>
      <c r="D101" s="133" t="n">
        <v>0</v>
      </c>
      <c r="E101" s="134" t="n">
        <v>0</v>
      </c>
      <c r="F101" s="134" t="n">
        <v>0</v>
      </c>
      <c r="G101" s="134" t="n">
        <v>0</v>
      </c>
      <c r="H101" s="135" t="n">
        <v>0</v>
      </c>
      <c r="J101" s="133" t="n">
        <v>0</v>
      </c>
      <c r="K101" s="134" t="n">
        <v>0</v>
      </c>
      <c r="L101" s="134" t="n">
        <v>0</v>
      </c>
      <c r="M101" s="134" t="n">
        <v>0</v>
      </c>
      <c r="N101" s="135" t="n">
        <v>0</v>
      </c>
      <c r="P101" s="133" t="n">
        <v>0</v>
      </c>
      <c r="Q101" s="134" t="n">
        <v>0</v>
      </c>
      <c r="R101" s="134" t="n">
        <v>0</v>
      </c>
      <c r="S101" s="134" t="n">
        <v>0</v>
      </c>
      <c r="T101" s="135" t="n">
        <v>0</v>
      </c>
      <c r="V101" s="133" t="n">
        <v>0</v>
      </c>
      <c r="W101" s="134" t="n">
        <v>0</v>
      </c>
      <c r="X101" s="134" t="n">
        <v>0</v>
      </c>
      <c r="Y101" s="134" t="n">
        <v>0</v>
      </c>
      <c r="Z101" s="135" t="n">
        <v>0</v>
      </c>
    </row>
    <row r="102">
      <c r="B102" s="100">
        <f>$B$66</f>
        <v/>
      </c>
      <c r="D102" s="133" t="n">
        <v>0</v>
      </c>
      <c r="E102" s="134" t="n">
        <v>0</v>
      </c>
      <c r="F102" s="134" t="n">
        <v>0</v>
      </c>
      <c r="G102" s="134" t="n">
        <v>0</v>
      </c>
      <c r="H102" s="135" t="n">
        <v>0</v>
      </c>
      <c r="J102" s="133" t="n">
        <v>0</v>
      </c>
      <c r="K102" s="134" t="n">
        <v>0</v>
      </c>
      <c r="L102" s="134" t="n">
        <v>0</v>
      </c>
      <c r="M102" s="134" t="n">
        <v>0</v>
      </c>
      <c r="N102" s="135" t="n">
        <v>0</v>
      </c>
      <c r="P102" s="133" t="n">
        <v>0</v>
      </c>
      <c r="Q102" s="134" t="n">
        <v>0</v>
      </c>
      <c r="R102" s="134" t="n">
        <v>0</v>
      </c>
      <c r="S102" s="134" t="n">
        <v>0</v>
      </c>
      <c r="T102" s="135" t="n">
        <v>0</v>
      </c>
      <c r="V102" s="133" t="n">
        <v>0</v>
      </c>
      <c r="W102" s="134" t="n">
        <v>0</v>
      </c>
      <c r="X102" s="134" t="n">
        <v>0</v>
      </c>
      <c r="Y102" s="134" t="n">
        <v>0</v>
      </c>
      <c r="Z102" s="135" t="n">
        <v>0</v>
      </c>
    </row>
    <row r="103" ht="15" customHeight="1" thickBot="1">
      <c r="B103" s="59" t="inlineStr">
        <is>
          <t>Non-Rebatable</t>
        </is>
      </c>
      <c r="D103" s="136" t="n">
        <v>0</v>
      </c>
      <c r="E103" s="137" t="n">
        <v>0</v>
      </c>
      <c r="F103" s="137" t="n">
        <v>0</v>
      </c>
      <c r="G103" s="137" t="n">
        <v>0</v>
      </c>
      <c r="H103" s="138" t="n">
        <v>0</v>
      </c>
      <c r="J103" s="139" t="n">
        <v>0</v>
      </c>
      <c r="K103" s="140" t="n">
        <v>0</v>
      </c>
      <c r="L103" s="140" t="n">
        <v>0</v>
      </c>
      <c r="M103" s="140" t="n">
        <v>0</v>
      </c>
      <c r="N103" s="141" t="n">
        <v>0</v>
      </c>
      <c r="P103" s="139" t="n">
        <v>0</v>
      </c>
      <c r="Q103" s="140" t="n">
        <v>0</v>
      </c>
      <c r="R103" s="140" t="n">
        <v>0</v>
      </c>
      <c r="S103" s="140" t="n">
        <v>0</v>
      </c>
      <c r="T103" s="141" t="n">
        <v>0</v>
      </c>
      <c r="V103" s="139" t="n">
        <v>0</v>
      </c>
      <c r="W103" s="140" t="n">
        <v>0</v>
      </c>
      <c r="X103" s="140" t="n">
        <v>0</v>
      </c>
      <c r="Y103" s="140" t="n">
        <v>0</v>
      </c>
      <c r="Z103" s="141" t="n">
        <v>0</v>
      </c>
    </row>
    <row r="104" ht="15.6" customHeight="1" thickBot="1" thickTop="1">
      <c r="B104" s="69" t="inlineStr">
        <is>
          <t>Total</t>
        </is>
      </c>
      <c r="D104" s="142" t="n">
        <v>0</v>
      </c>
      <c r="E104" s="143" t="n">
        <v>0</v>
      </c>
      <c r="F104" s="143" t="n">
        <v>0</v>
      </c>
      <c r="G104" s="143" t="n">
        <v>0</v>
      </c>
      <c r="H104" s="144" t="n">
        <v>0</v>
      </c>
      <c r="J104" s="142" t="n">
        <v>1964.875071784408</v>
      </c>
      <c r="K104" s="143" t="n">
        <v>347.8756485030455</v>
      </c>
      <c r="L104" s="143" t="n">
        <v>130.6682137649017</v>
      </c>
      <c r="M104" s="143" t="n">
        <v>663.9327169755762</v>
      </c>
      <c r="N104" s="144" t="n">
        <v>3107.351651027931</v>
      </c>
      <c r="P104" s="142" t="n">
        <v>2163.155319482375</v>
      </c>
      <c r="Q104" s="143" t="n">
        <v>372.0859813343213</v>
      </c>
      <c r="R104" s="143" t="n">
        <v>143.0165673943964</v>
      </c>
      <c r="S104" s="143" t="n">
        <v>753.6182474419381</v>
      </c>
      <c r="T104" s="144" t="n">
        <v>3431.876115653031</v>
      </c>
      <c r="V104" s="142" t="n">
        <v>2378.866087308556</v>
      </c>
      <c r="W104" s="143" t="n">
        <v>407.7078036315903</v>
      </c>
      <c r="X104" s="143" t="n">
        <v>157.7761316534636</v>
      </c>
      <c r="Y104" s="143" t="n">
        <v>854.1693686244977</v>
      </c>
      <c r="Z104" s="144" t="n">
        <v>3798.519391218107</v>
      </c>
    </row>
    <row r="105" ht="30.3" customHeight="1" thickBot="1"/>
    <row r="106" ht="15" customHeight="1" thickBot="1">
      <c r="B106" s="110" t="inlineStr">
        <is>
          <t>Removed Claims</t>
        </is>
      </c>
      <c r="H106" s="111" t="n">
        <v>0</v>
      </c>
    </row>
    <row r="107" ht="15" customHeight="1" thickBot="1"/>
    <row r="108" ht="15" customHeight="1" thickBot="1">
      <c r="B108" s="112" t="inlineStr">
        <is>
          <t>Total</t>
        </is>
      </c>
      <c r="H108" s="113" t="n">
        <v>1576682</v>
      </c>
    </row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 ht="30.3" customHeight="1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 ht="30.3" customHeight="1"/>
    <row r="154">
      <c r="AM154" s="117" t="n"/>
      <c r="AN154" s="117" t="n"/>
    </row>
    <row r="155">
      <c r="AM155" s="117" t="n"/>
      <c r="AN155" s="117" t="n"/>
    </row>
    <row r="156">
      <c r="AM156" s="117" t="n"/>
      <c r="AN156" s="117" t="n"/>
    </row>
    <row r="157">
      <c r="AM157" s="117" t="n"/>
      <c r="AN157" s="117" t="n"/>
    </row>
    <row r="158">
      <c r="AM158" s="117" t="n"/>
      <c r="AN158" s="117" t="n"/>
    </row>
    <row r="159">
      <c r="AM159" s="117" t="n"/>
      <c r="AN159" s="117" t="n"/>
    </row>
    <row r="160">
      <c r="AM160" s="117" t="n"/>
      <c r="AN160" s="117" t="n"/>
    </row>
    <row r="161">
      <c r="AM161" s="117" t="n"/>
      <c r="AN161" s="117" t="n"/>
    </row>
    <row r="162">
      <c r="AM162" s="117" t="n"/>
      <c r="AN162" s="117" t="n"/>
    </row>
    <row r="163">
      <c r="AM163" s="117" t="n"/>
      <c r="AN163" s="117" t="n"/>
    </row>
    <row r="164">
      <c r="AM164" s="117" t="n"/>
      <c r="AN164" s="117" t="n"/>
    </row>
    <row r="165">
      <c r="AM165" s="117" t="n"/>
      <c r="AN165" s="117" t="n"/>
    </row>
    <row r="166">
      <c r="AM166" s="117" t="n"/>
      <c r="AN166" s="117" t="n"/>
    </row>
    <row r="167">
      <c r="AM167" s="117" t="n"/>
      <c r="AN167" s="117" t="n"/>
    </row>
    <row r="168">
      <c r="AM168" s="117" t="n"/>
      <c r="AN168" s="117" t="n"/>
    </row>
    <row r="169">
      <c r="AM169" s="117" t="n"/>
      <c r="AN169" s="117" t="n"/>
    </row>
    <row r="170">
      <c r="AM170" s="117" t="n"/>
      <c r="AN170" s="117" t="n"/>
    </row>
    <row r="171">
      <c r="AM171" s="117" t="n"/>
      <c r="AN171" s="117" t="n"/>
    </row>
    <row r="172">
      <c r="AM172" s="117" t="n"/>
      <c r="AN172" s="117" t="n"/>
    </row>
    <row r="173">
      <c r="AM173" s="117" t="n"/>
      <c r="AN173" s="117" t="n"/>
    </row>
    <row r="174">
      <c r="AM174" s="117" t="n"/>
      <c r="AN174" s="117" t="n"/>
    </row>
    <row r="175">
      <c r="AM175" s="117" t="n"/>
      <c r="AN175" s="117" t="n"/>
    </row>
    <row r="176">
      <c r="AM176" s="117" t="n"/>
      <c r="AN176" s="117" t="n"/>
    </row>
    <row r="177">
      <c r="AM177" s="117" t="n"/>
      <c r="AN177" s="117" t="n"/>
    </row>
    <row r="178">
      <c r="AM178" s="117" t="n"/>
      <c r="AN178" s="117" t="n"/>
    </row>
    <row r="179">
      <c r="AM179" s="117" t="n"/>
      <c r="AN179" s="117" t="n"/>
    </row>
    <row r="180">
      <c r="AM180" s="117" t="n"/>
      <c r="AN180" s="117" t="n"/>
    </row>
    <row r="181">
      <c r="AM181" s="117" t="n"/>
      <c r="AN181" s="117" t="n"/>
    </row>
    <row r="182">
      <c r="AM182" s="117" t="n"/>
      <c r="AN182" s="117" t="n"/>
    </row>
    <row r="183">
      <c r="AM183" s="117" t="n"/>
      <c r="AN183" s="117" t="n"/>
    </row>
    <row r="184">
      <c r="AM184" s="117" t="n"/>
      <c r="AN184" s="117" t="n"/>
    </row>
    <row r="185">
      <c r="AM185" s="117" t="n"/>
      <c r="AN185" s="117" t="n"/>
    </row>
    <row r="186">
      <c r="AM186" s="117" t="n"/>
      <c r="AN186" s="117" t="n"/>
    </row>
    <row r="187">
      <c r="AM187" s="117" t="n"/>
      <c r="AN187" s="117" t="n"/>
    </row>
    <row r="188">
      <c r="AM188" s="117" t="n"/>
      <c r="AN188" s="117" t="n"/>
    </row>
    <row r="189">
      <c r="AM189" s="117" t="n"/>
      <c r="AN189" s="117" t="n"/>
    </row>
    <row r="190">
      <c r="AM190" s="117" t="n"/>
      <c r="AN190" s="117" t="n"/>
    </row>
    <row r="191">
      <c r="AM191" s="117" t="n"/>
      <c r="AN191" s="117" t="n"/>
    </row>
    <row r="192">
      <c r="AM192" s="117" t="n"/>
      <c r="AN192" s="117" t="n"/>
    </row>
    <row r="193">
      <c r="AM193" s="117" t="n"/>
      <c r="AN193" s="117" t="n"/>
    </row>
    <row r="194">
      <c r="AM194" s="117" t="n"/>
      <c r="AN194" s="117" t="n"/>
    </row>
    <row r="195">
      <c r="AM195" s="117" t="n"/>
      <c r="AN195" s="117" t="n"/>
    </row>
    <row r="196">
      <c r="AM196" s="117" t="n"/>
      <c r="AN196" s="117" t="n"/>
    </row>
    <row r="197">
      <c r="AM197" s="117" t="n"/>
      <c r="AN197" s="117" t="n"/>
    </row>
    <row r="198">
      <c r="AM198" s="117" t="n"/>
      <c r="AN198" s="117" t="n"/>
    </row>
    <row r="199">
      <c r="AM199" s="117" t="n"/>
      <c r="AN199" s="117" t="n"/>
    </row>
    <row r="200">
      <c r="AM200" s="117" t="n"/>
      <c r="AN200" s="117" t="n"/>
    </row>
    <row r="201">
      <c r="AM201" s="117" t="n"/>
      <c r="AN201" s="117" t="n"/>
    </row>
    <row r="202">
      <c r="AM202" s="117" t="n"/>
      <c r="AN202" s="117" t="n"/>
    </row>
    <row r="203">
      <c r="AM203" s="117" t="n"/>
      <c r="AN203" s="117" t="n"/>
    </row>
    <row r="204">
      <c r="AM204" s="117" t="n"/>
      <c r="AN204" s="117" t="n"/>
    </row>
    <row r="205">
      <c r="AM205" s="117" t="n"/>
      <c r="AN205" s="117" t="n"/>
    </row>
    <row r="206">
      <c r="AM206" s="117" t="n"/>
      <c r="AN206" s="117" t="n"/>
    </row>
    <row r="207">
      <c r="AM207" s="117" t="n"/>
      <c r="AN207" s="117" t="n"/>
    </row>
    <row r="208">
      <c r="AM208" s="117" t="n"/>
      <c r="AN208" s="117" t="n"/>
    </row>
    <row r="209">
      <c r="AM209" s="117" t="n"/>
      <c r="AN209" s="117" t="n"/>
    </row>
    <row r="210">
      <c r="AM210" s="117" t="n"/>
      <c r="AN210" s="117" t="n"/>
    </row>
    <row r="211">
      <c r="AM211" s="117" t="n"/>
      <c r="AN211" s="117" t="n"/>
    </row>
    <row r="212">
      <c r="AM212" s="117" t="n"/>
      <c r="AN212" s="117" t="n"/>
    </row>
    <row r="213">
      <c r="AM213" s="117" t="n"/>
      <c r="AN213" s="117" t="n"/>
    </row>
    <row r="214">
      <c r="AM214" s="117" t="n"/>
      <c r="AN214" s="117" t="n"/>
    </row>
    <row r="215">
      <c r="AM215" s="117" t="n"/>
      <c r="AN215" s="117" t="n"/>
    </row>
    <row r="216">
      <c r="AM216" s="117" t="n"/>
      <c r="AN216" s="117" t="n"/>
    </row>
    <row r="217">
      <c r="AM217" s="117" t="n"/>
      <c r="AN217" s="117" t="n"/>
    </row>
    <row r="218">
      <c r="AM218" s="117" t="n"/>
      <c r="AN218" s="117" t="n"/>
    </row>
    <row r="219">
      <c r="AM219" s="117" t="n"/>
      <c r="AN219" s="117" t="n"/>
    </row>
    <row r="220">
      <c r="AM220" s="117" t="n"/>
      <c r="AN220" s="117" t="n"/>
    </row>
    <row r="221">
      <c r="AM221" s="117" t="n"/>
      <c r="AN221" s="117" t="n"/>
    </row>
    <row r="222">
      <c r="AM222" s="117" t="n"/>
      <c r="AN222" s="117" t="n"/>
    </row>
    <row r="223">
      <c r="AM223" s="117" t="n"/>
      <c r="AN223" s="117" t="n"/>
    </row>
    <row r="224">
      <c r="AM224" s="117" t="n"/>
      <c r="AN224" s="117" t="n"/>
    </row>
    <row r="225">
      <c r="AM225" s="117" t="n"/>
      <c r="AN225" s="117" t="n"/>
    </row>
    <row r="226">
      <c r="AM226" s="117" t="n"/>
      <c r="AN226" s="117" t="n"/>
    </row>
    <row r="227">
      <c r="AM227" s="117" t="n"/>
      <c r="AN227" s="117" t="n"/>
    </row>
    <row r="228">
      <c r="AM228" s="117" t="n"/>
      <c r="AN228" s="117" t="n"/>
    </row>
    <row r="229">
      <c r="AM229" s="117" t="n"/>
      <c r="AN229" s="117" t="n"/>
    </row>
    <row r="230">
      <c r="AM230" s="117" t="n"/>
      <c r="AN230" s="117" t="n"/>
    </row>
    <row r="231">
      <c r="AM231" s="117" t="n"/>
      <c r="AN231" s="117" t="n"/>
    </row>
    <row r="232">
      <c r="AM232" s="117" t="n"/>
      <c r="AN232" s="117" t="n"/>
    </row>
    <row r="233">
      <c r="AM233" s="117" t="n"/>
      <c r="AN233" s="117" t="n"/>
    </row>
    <row r="234">
      <c r="AM234" s="117" t="n"/>
      <c r="AN234" s="117" t="n"/>
    </row>
    <row r="235">
      <c r="AM235" s="117" t="n"/>
      <c r="AN235" s="117" t="n"/>
    </row>
    <row r="236">
      <c r="AM236" s="117" t="n"/>
      <c r="AN236" s="117" t="n"/>
    </row>
    <row r="237">
      <c r="AM237" s="117" t="n"/>
      <c r="AN237" s="117" t="n"/>
    </row>
    <row r="238">
      <c r="AM238" s="117" t="n"/>
      <c r="AN238" s="117" t="n"/>
    </row>
    <row r="239">
      <c r="AM239" s="117" t="n"/>
      <c r="AN239" s="117" t="n"/>
    </row>
    <row r="240">
      <c r="AM240" s="117" t="n"/>
      <c r="AN240" s="117" t="n"/>
    </row>
    <row r="241">
      <c r="AM241" s="117" t="n"/>
      <c r="AN241" s="117" t="n"/>
    </row>
    <row r="242">
      <c r="AM242" s="117" t="n"/>
      <c r="AN242" s="117" t="n"/>
    </row>
    <row r="243">
      <c r="AM243" s="117" t="n"/>
      <c r="AN243" s="117" t="n"/>
    </row>
    <row r="244">
      <c r="AM244" s="117" t="n"/>
      <c r="AN244" s="117" t="n"/>
    </row>
    <row r="245">
      <c r="AM245" s="117" t="n"/>
      <c r="AN245" s="117" t="n"/>
    </row>
    <row r="246">
      <c r="AM246" s="117" t="n"/>
      <c r="AN246" s="117" t="n"/>
    </row>
    <row r="247">
      <c r="AM247" s="117" t="n"/>
      <c r="AN247" s="117" t="n"/>
    </row>
    <row r="248">
      <c r="AM248" s="117" t="n"/>
      <c r="AN248" s="117" t="n"/>
    </row>
    <row r="249">
      <c r="AM249" s="117" t="n"/>
      <c r="AN249" s="117" t="n"/>
    </row>
    <row r="250">
      <c r="AM250" s="117" t="n"/>
      <c r="AN250" s="117" t="n"/>
    </row>
    <row r="251">
      <c r="AM251" s="117" t="n"/>
      <c r="AN251" s="117" t="n"/>
    </row>
    <row r="252">
      <c r="AM252" s="117" t="n"/>
      <c r="AN252" s="117" t="n"/>
    </row>
    <row r="253">
      <c r="AM253" s="117" t="n"/>
      <c r="AN253" s="117" t="n"/>
    </row>
    <row r="254">
      <c r="AM254" s="117" t="n"/>
      <c r="AN254" s="117" t="n"/>
    </row>
    <row r="255">
      <c r="AM255" s="117" t="n"/>
      <c r="AN255" s="117" t="n"/>
    </row>
    <row r="256">
      <c r="AM256" s="117" t="n"/>
      <c r="AN256" s="117" t="n"/>
    </row>
    <row r="257">
      <c r="AM257" s="117" t="n"/>
      <c r="AN257" s="117" t="n"/>
    </row>
    <row r="258">
      <c r="AM258" s="117" t="n"/>
      <c r="AN258" s="117" t="n"/>
    </row>
    <row r="259">
      <c r="AM259" s="117" t="n"/>
      <c r="AN259" s="117" t="n"/>
    </row>
    <row r="260">
      <c r="AM260" s="117" t="n"/>
      <c r="AN260" s="117" t="n"/>
    </row>
    <row r="261">
      <c r="AM261" s="117" t="n"/>
      <c r="AN261" s="117" t="n"/>
    </row>
    <row r="262">
      <c r="AM262" s="117" t="n"/>
      <c r="AN262" s="117" t="n"/>
    </row>
    <row r="263">
      <c r="AM263" s="117" t="n"/>
      <c r="AN263" s="117" t="n"/>
    </row>
    <row r="264">
      <c r="AM264" s="117" t="n"/>
      <c r="AN264" s="117" t="n"/>
    </row>
    <row r="265">
      <c r="AM265" s="117" t="n"/>
      <c r="AN265" s="117" t="n"/>
    </row>
    <row r="266">
      <c r="AM266" s="117" t="n"/>
      <c r="AN266" s="117" t="n"/>
    </row>
    <row r="267">
      <c r="AM267" s="117" t="n"/>
      <c r="AN267" s="117" t="n"/>
    </row>
    <row r="268">
      <c r="AM268" s="117" t="n"/>
      <c r="AN268" s="117" t="n"/>
    </row>
    <row r="269">
      <c r="AM269" s="117" t="n"/>
      <c r="AN269" s="117" t="n"/>
    </row>
    <row r="270">
      <c r="AM270" s="117" t="n"/>
      <c r="AN270" s="117" t="n"/>
    </row>
    <row r="271">
      <c r="AM271" s="117" t="n"/>
      <c r="AN271" s="117" t="n"/>
    </row>
    <row r="272">
      <c r="AM272" s="117" t="n"/>
      <c r="AN272" s="117" t="n"/>
    </row>
    <row r="273">
      <c r="AM273" s="117" t="n"/>
      <c r="AN273" s="117" t="n"/>
    </row>
    <row r="274">
      <c r="AM274" s="117" t="n"/>
      <c r="AN274" s="117" t="n"/>
    </row>
    <row r="275">
      <c r="AM275" s="117" t="n"/>
      <c r="AN275" s="117" t="n"/>
    </row>
    <row r="276">
      <c r="AM276" s="117" t="n"/>
      <c r="AN276" s="117" t="n"/>
    </row>
    <row r="277">
      <c r="AM277" s="117" t="n"/>
      <c r="AN277" s="117" t="n"/>
    </row>
    <row r="278">
      <c r="AM278" s="117" t="n"/>
      <c r="AN278" s="117" t="n"/>
    </row>
    <row r="279">
      <c r="AM279" s="117" t="n"/>
      <c r="AN279" s="117" t="n"/>
    </row>
    <row r="280">
      <c r="AM280" s="117" t="n"/>
      <c r="AN280" s="117" t="n"/>
    </row>
    <row r="281">
      <c r="AM281" s="117" t="n"/>
      <c r="AN281" s="117" t="n"/>
    </row>
    <row r="282">
      <c r="AM282" s="117" t="n"/>
      <c r="AN282" s="117" t="n"/>
    </row>
    <row r="283">
      <c r="AM283" s="117" t="n"/>
      <c r="AN283" s="117" t="n"/>
    </row>
    <row r="284">
      <c r="AM284" s="117" t="n"/>
      <c r="AN284" s="117" t="n"/>
    </row>
    <row r="285">
      <c r="AM285" s="117" t="n"/>
      <c r="AN285" s="117" t="n"/>
    </row>
    <row r="286">
      <c r="AM286" s="117" t="n"/>
      <c r="AN286" s="117" t="n"/>
    </row>
    <row r="287">
      <c r="AM287" s="117" t="n"/>
      <c r="AN287" s="117" t="n"/>
    </row>
    <row r="288">
      <c r="AM288" s="117" t="n"/>
      <c r="AN288" s="117" t="n"/>
    </row>
    <row r="289">
      <c r="AM289" s="117" t="n"/>
      <c r="AN289" s="117" t="n"/>
    </row>
    <row r="290">
      <c r="AM290" s="117" t="n"/>
      <c r="AN290" s="117" t="n"/>
    </row>
    <row r="291">
      <c r="AM291" s="117" t="n"/>
      <c r="AN291" s="117" t="n"/>
    </row>
    <row r="292">
      <c r="AM292" s="117" t="n"/>
      <c r="AN292" s="117" t="n"/>
    </row>
    <row r="293">
      <c r="AM293" s="117" t="n"/>
      <c r="AN293" s="117" t="n"/>
    </row>
    <row r="294">
      <c r="AM294" s="117" t="n"/>
      <c r="AN294" s="117" t="n"/>
    </row>
    <row r="295">
      <c r="AM295" s="117" t="n"/>
      <c r="AN295" s="117" t="n"/>
    </row>
    <row r="296">
      <c r="AM296" s="117" t="n"/>
      <c r="AN296" s="117" t="n"/>
    </row>
    <row r="297">
      <c r="AM297" s="117" t="n"/>
      <c r="AN297" s="117" t="n"/>
    </row>
    <row r="298">
      <c r="AM298" s="117" t="n"/>
      <c r="AN298" s="117" t="n"/>
    </row>
    <row r="299">
      <c r="AM299" s="117" t="n"/>
      <c r="AN299" s="117" t="n"/>
    </row>
    <row r="300">
      <c r="AM300" s="117" t="n"/>
      <c r="AN300" s="117" t="n"/>
    </row>
    <row r="301">
      <c r="AM301" s="117" t="n"/>
      <c r="AN301" s="117" t="n"/>
    </row>
    <row r="302">
      <c r="AM302" s="117" t="n"/>
      <c r="AN302" s="117" t="n"/>
    </row>
    <row r="303">
      <c r="AM303" s="117" t="n"/>
      <c r="AN303" s="117" t="n"/>
    </row>
  </sheetData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 codeName="wrk_DStats_EX1">
    <outlinePr summaryBelow="1" summaryRight="1"/>
    <pageSetUpPr/>
  </sheetPr>
  <dimension ref="A1:AZ303"/>
  <sheetViews>
    <sheetView showGridLines="0" workbookViewId="0">
      <selection activeCell="A1" sqref="A1"/>
    </sheetView>
  </sheetViews>
  <sheetFormatPr baseColWidth="8" defaultColWidth="8.77734375" defaultRowHeight="14.4"/>
  <cols>
    <col width="20.6640625" customWidth="1" min="2" max="2"/>
    <col width="2.6640625" customWidth="1" min="3" max="3"/>
    <col width="15.6640625" customWidth="1" min="4" max="8"/>
    <col width="2.6640625" customWidth="1" min="9" max="9"/>
    <col width="15.6640625" customWidth="1" min="10" max="14"/>
    <col width="2.6640625" customWidth="1" min="15" max="15"/>
    <col width="15.6640625" customWidth="1" min="16" max="20"/>
    <col width="2.6640625" customWidth="1" min="21" max="21"/>
    <col width="15.6640625" customWidth="1" min="22" max="26"/>
    <col width="2.6640625" customWidth="1" min="27" max="27"/>
    <col width="8.6640625" customWidth="1" min="31" max="31"/>
    <col width="37.44140625" customWidth="1" min="32" max="32"/>
    <col width="46.6640625" bestFit="1" customWidth="1" min="33" max="33"/>
    <col width="15.6640625" customWidth="1" min="34" max="35"/>
    <col width="5.6640625" customWidth="1" min="36" max="36"/>
    <col width="8.6640625" customWidth="1" min="37" max="37"/>
    <col width="36.6640625" customWidth="1" min="38" max="38"/>
    <col width="46.6640625" customWidth="1" min="39" max="39"/>
    <col width="15.6640625" customWidth="1" min="40" max="40"/>
    <col width="5.6640625" customWidth="1" min="41" max="41"/>
    <col width="8.6640625" customWidth="1" min="42" max="42"/>
    <col width="30.6640625" customWidth="1" min="43" max="44"/>
    <col width="12.6640625" customWidth="1" min="45" max="47"/>
    <col width="15.6640625" customWidth="1" min="49" max="54"/>
  </cols>
  <sheetData>
    <row r="1" hidden="1"/>
    <row r="2" hidden="1"/>
    <row r="3" hidden="1"/>
    <row r="4" hidden="1"/>
    <row r="5" hidden="1"/>
    <row r="6" hidden="1"/>
    <row r="7" hidden="1"/>
    <row r="8" hidden="1"/>
    <row r="9" hidden="1"/>
    <row r="10" hidden="1"/>
    <row r="11" hidden="1"/>
    <row r="12" hidden="1"/>
    <row r="13" hidden="1"/>
    <row r="14" ht="15" customHeight="1" thickBot="1"/>
    <row r="15" ht="18.6" customHeight="1" thickBot="1">
      <c r="B15" s="1" t="n"/>
      <c r="C15" s="2" t="n"/>
      <c r="D15" s="114" t="inlineStr">
        <is>
          <t>General Dynamics</t>
        </is>
      </c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  <c r="AA15" s="2" t="n"/>
      <c r="AB15" s="2" t="n"/>
      <c r="AC15" s="2" t="n"/>
      <c r="AD15" s="2" t="n"/>
      <c r="AE15" s="2" t="n"/>
      <c r="AF15" s="2" t="n"/>
      <c r="AG15" s="2" t="n"/>
      <c r="AH15" s="2" t="n"/>
      <c r="AI15" s="2" t="n"/>
      <c r="AJ15" s="2" t="n"/>
      <c r="AK15" s="2" t="n"/>
      <c r="AL15" s="2" t="n"/>
      <c r="AM15" s="2" t="n"/>
      <c r="AN15" s="3" t="n"/>
    </row>
    <row r="16" ht="15" customHeight="1" thickBot="1"/>
    <row r="17" ht="15" customHeight="1" thickBot="1">
      <c r="B17" s="4" t="n"/>
      <c r="C17" s="4" t="inlineStr">
        <is>
          <t>Start Date:</t>
        </is>
      </c>
      <c r="D17" s="115" t="inlineStr">
        <is>
          <t>09/01/2024</t>
        </is>
      </c>
      <c r="AD17" s="4" t="n"/>
      <c r="AE17" s="4" t="n"/>
      <c r="AF17" s="6" t="n">
        <v>2028</v>
      </c>
    </row>
    <row r="18">
      <c r="B18" s="4" t="n"/>
      <c r="C18" s="4" t="inlineStr">
        <is>
          <t>End Date:</t>
        </is>
      </c>
      <c r="D18" s="116" t="inlineStr">
        <is>
          <t>08/31/2025</t>
        </is>
      </c>
      <c r="AJ18" s="117" t="n"/>
    </row>
    <row r="19" ht="15" customHeight="1" thickBot="1">
      <c r="B19" s="4" t="n"/>
      <c r="C19" s="4" t="inlineStr">
        <is>
          <t>Total Months:</t>
        </is>
      </c>
      <c r="D19" s="9" t="n">
        <v>12</v>
      </c>
    </row>
    <row r="20" ht="15" customHeight="1" thickBot="1"/>
    <row r="21" ht="15" customHeight="1" thickBot="1">
      <c r="B21" s="10" t="n"/>
      <c r="C21" s="10" t="n"/>
      <c r="D21" s="11" t="inlineStr">
        <is>
          <t xml:space="preserve">Base Yr Claims </t>
        </is>
      </c>
      <c r="E21" s="12" t="n"/>
      <c r="F21" s="12" t="n"/>
      <c r="G21" s="13" t="n"/>
      <c r="H21" s="14" t="n"/>
      <c r="AE21" s="11" t="inlineStr">
        <is>
          <t>Forecast based on time period: 2028</t>
        </is>
      </c>
      <c r="AF21" s="12" t="n"/>
      <c r="AG21" s="12" t="n"/>
      <c r="AH21" s="12" t="n"/>
      <c r="AI21" s="12" t="n"/>
      <c r="AJ21" s="12" t="n"/>
      <c r="AK21" s="12" t="n"/>
      <c r="AL21" s="12" t="n"/>
      <c r="AM21" s="15" t="n"/>
      <c r="AN21" s="15" t="n"/>
    </row>
    <row r="22" ht="15" customHeight="1" thickBot="1">
      <c r="B22" s="10" t="n"/>
      <c r="C22" s="10" t="n"/>
      <c r="D22" s="16" t="n"/>
      <c r="E22" s="16" t="n"/>
      <c r="F22" s="16" t="n"/>
      <c r="G22" s="17" t="n"/>
      <c r="H22" s="18" t="n"/>
    </row>
    <row r="23" ht="15" customHeight="1" thickBot="1">
      <c r="B23" s="19" t="n"/>
      <c r="C23" s="10" t="n"/>
      <c r="D23" s="20" t="inlineStr">
        <is>
          <t>w Exclusions</t>
        </is>
      </c>
      <c r="E23" s="21" t="n"/>
      <c r="F23" s="21" t="n"/>
      <c r="G23" s="21" t="n"/>
      <c r="H23" s="22" t="n"/>
      <c r="AE23" s="20" t="inlineStr">
        <is>
          <t>Overall - Rebatable</t>
        </is>
      </c>
      <c r="AF23" s="21" t="n"/>
      <c r="AG23" s="21" t="n"/>
      <c r="AH23" s="23" t="n"/>
      <c r="AI23" s="23" t="n"/>
      <c r="AK23" s="24" t="inlineStr">
        <is>
          <t>Overall - Non Rebatable (Brand Only)</t>
        </is>
      </c>
      <c r="AL23" s="25" t="n"/>
      <c r="AM23" s="25" t="n"/>
      <c r="AN23" s="26" t="n"/>
    </row>
    <row r="24" ht="30.3" customHeight="1" thickBot="1">
      <c r="B24" s="27" t="inlineStr">
        <is>
          <t>Brand</t>
        </is>
      </c>
      <c r="C24" s="10" t="n"/>
      <c r="D24" s="28" t="inlineStr">
        <is>
          <t>Rx Count</t>
        </is>
      </c>
      <c r="E24" s="29" t="inlineStr">
        <is>
          <t>Quantity</t>
        </is>
      </c>
      <c r="F24" s="29" t="inlineStr">
        <is>
          <t>Days Supply</t>
        </is>
      </c>
      <c r="G24" s="29" t="inlineStr">
        <is>
          <t>Avg Qnty</t>
        </is>
      </c>
      <c r="H24" s="30" t="inlineStr">
        <is>
          <t>Avg DS</t>
        </is>
      </c>
      <c r="I24" s="31" t="n"/>
      <c r="J24" s="31" t="n"/>
      <c r="K24" s="31" t="n"/>
      <c r="L24" s="31" t="n"/>
      <c r="M24" s="31" t="n"/>
      <c r="N24" s="31" t="n"/>
      <c r="O24" s="31" t="n"/>
      <c r="P24" s="31" t="n"/>
      <c r="Q24" s="31" t="n"/>
      <c r="R24" s="31" t="n"/>
      <c r="S24" s="31" t="n"/>
      <c r="T24" s="31" t="n"/>
      <c r="U24" s="31" t="n"/>
      <c r="V24" s="31" t="n"/>
      <c r="W24" s="31" t="n"/>
      <c r="X24" s="31" t="n"/>
      <c r="Y24" s="31" t="n"/>
      <c r="Z24" s="31" t="n"/>
      <c r="AA24" s="31" t="n"/>
      <c r="AE24" s="32" t="inlineStr">
        <is>
          <t>Rank</t>
        </is>
      </c>
      <c r="AF24" s="33" t="inlineStr">
        <is>
          <t>Drug Name</t>
        </is>
      </c>
      <c r="AG24" s="33" t="inlineStr">
        <is>
          <t>Therapeutic Class</t>
        </is>
      </c>
      <c r="AH24" s="33" t="inlineStr">
        <is>
          <t>Total Rebates</t>
        </is>
      </c>
      <c r="AI24" s="34" t="inlineStr">
        <is>
          <t>Scripts</t>
        </is>
      </c>
      <c r="AK24" s="35" t="inlineStr">
        <is>
          <t>Rank</t>
        </is>
      </c>
      <c r="AL24" s="36" t="inlineStr">
        <is>
          <t>Drug Name</t>
        </is>
      </c>
      <c r="AM24" s="36" t="inlineStr">
        <is>
          <t>Therapeutic Class</t>
        </is>
      </c>
      <c r="AN24" s="37" t="inlineStr">
        <is>
          <t>Scripts</t>
        </is>
      </c>
    </row>
    <row r="25">
      <c r="B25" s="38" t="inlineStr">
        <is>
          <t>Retail 30</t>
        </is>
      </c>
      <c r="C25" s="10" t="n"/>
      <c r="D25" s="39" t="n">
        <v>141238</v>
      </c>
      <c r="E25" s="40" t="n">
        <v>3797425.715195745</v>
      </c>
      <c r="F25" s="40" t="n">
        <v>3617119</v>
      </c>
      <c r="G25" s="41" t="n">
        <v>26.88671402310812</v>
      </c>
      <c r="H25" s="42" t="n">
        <v>25.6100978490208</v>
      </c>
      <c r="I25" s="31" t="n"/>
      <c r="J25" s="31" t="n"/>
      <c r="K25" s="31" t="n"/>
      <c r="L25" s="31" t="n"/>
      <c r="M25" s="31" t="n"/>
      <c r="N25" s="31" t="n"/>
      <c r="O25" s="31" t="n"/>
      <c r="P25" s="31" t="n"/>
      <c r="Q25" s="31" t="n"/>
      <c r="R25" s="31" t="n"/>
      <c r="S25" s="31" t="n"/>
      <c r="T25" s="31" t="n"/>
      <c r="U25" s="31" t="n"/>
      <c r="V25" s="31" t="n"/>
      <c r="W25" s="31" t="n"/>
      <c r="X25" s="31" t="n"/>
      <c r="Y25" s="31" t="n"/>
      <c r="Z25" s="31" t="n"/>
      <c r="AA25" s="31" t="n"/>
      <c r="AE25" s="118" t="n">
        <v>1</v>
      </c>
      <c r="AF25" s="44" t="inlineStr">
        <is>
          <t>MOUNJARO</t>
        </is>
      </c>
      <c r="AG25" s="44" t="inlineStr">
        <is>
          <t>GLUCAGON-LIKE PEPTIDE-1 AGONISTS (GLP1)</t>
        </is>
      </c>
      <c r="AH25" s="119" t="n">
        <v>31735416.09662874</v>
      </c>
      <c r="AI25" s="46" t="n">
        <v>47681.18725356002</v>
      </c>
      <c r="AK25" s="120" t="n">
        <v>1</v>
      </c>
      <c r="AL25" s="44" t="inlineStr">
        <is>
          <t>TRIKAFTA</t>
        </is>
      </c>
      <c r="AM25" s="44" t="inlineStr">
        <is>
          <t>CYSTIC FIBROSIS</t>
        </is>
      </c>
      <c r="AN25" s="48" t="n">
        <v>98.91374267056</v>
      </c>
    </row>
    <row r="26">
      <c r="B26" s="49" t="inlineStr">
        <is>
          <t>Retail 90</t>
        </is>
      </c>
      <c r="C26" s="10" t="n"/>
      <c r="D26" s="50" t="n">
        <v>31427</v>
      </c>
      <c r="E26" s="51" t="n">
        <v>2338263.499864668</v>
      </c>
      <c r="F26" s="51" t="n">
        <v>2793930</v>
      </c>
      <c r="G26" s="52" t="n">
        <v>74.40301332817856</v>
      </c>
      <c r="H26" s="53" t="n">
        <v>88.90221783816463</v>
      </c>
      <c r="I26" s="31" t="n"/>
      <c r="J26" s="31" t="n"/>
      <c r="K26" s="31" t="n"/>
      <c r="L26" s="31" t="n"/>
      <c r="M26" s="31" t="n"/>
      <c r="N26" s="31" t="n"/>
      <c r="O26" s="31" t="n"/>
      <c r="P26" s="31" t="n"/>
      <c r="Q26" s="31" t="n"/>
      <c r="R26" s="31" t="n"/>
      <c r="S26" s="31" t="n"/>
      <c r="T26" s="31" t="n"/>
      <c r="U26" s="31" t="n"/>
      <c r="V26" s="31" t="n"/>
      <c r="W26" s="31" t="n"/>
      <c r="X26" s="31" t="n"/>
      <c r="Y26" s="31" t="n"/>
      <c r="Z26" s="31" t="n"/>
      <c r="AA26" s="31" t="n"/>
      <c r="AE26" s="121" t="n">
        <v>2</v>
      </c>
      <c r="AF26" t="inlineStr">
        <is>
          <t>SKYRIZI PEN</t>
        </is>
      </c>
      <c r="AG26" t="inlineStr">
        <is>
          <t>IMMUNOMODULATORS</t>
        </is>
      </c>
      <c r="AH26" s="122" t="n">
        <v>13696166.13392816</v>
      </c>
      <c r="AI26" s="56" t="n">
        <v>1224.14004681</v>
      </c>
      <c r="AK26" s="123" t="n">
        <v>2</v>
      </c>
      <c r="AL26" t="inlineStr">
        <is>
          <t>BIKTARVY</t>
        </is>
      </c>
      <c r="AM26" t="inlineStr">
        <is>
          <t>HIV-MULTICLASS COMBO</t>
        </is>
      </c>
      <c r="AN26" s="58" t="n">
        <v>621.8799802253999</v>
      </c>
    </row>
    <row r="27" ht="15" customHeight="1" thickBot="1">
      <c r="B27" s="59" t="inlineStr">
        <is>
          <t>Mail</t>
        </is>
      </c>
      <c r="C27" s="10" t="n"/>
      <c r="D27" s="60" t="n">
        <v>10741</v>
      </c>
      <c r="E27" s="61" t="n">
        <v>805466.9249405116</v>
      </c>
      <c r="F27" s="61" t="n">
        <v>760053</v>
      </c>
      <c r="G27" s="62" t="n">
        <v>74.98993808216289</v>
      </c>
      <c r="H27" s="63" t="n">
        <v>70.76184712782795</v>
      </c>
      <c r="I27" s="31" t="n"/>
      <c r="J27" s="31" t="n"/>
      <c r="K27" s="31" t="n"/>
      <c r="L27" s="31" t="n"/>
      <c r="M27" s="31" t="n"/>
      <c r="N27" s="31" t="n"/>
      <c r="O27" s="31" t="n"/>
      <c r="P27" s="31" t="n"/>
      <c r="Q27" s="31" t="n"/>
      <c r="R27" s="31" t="n"/>
      <c r="S27" s="31" t="n"/>
      <c r="T27" s="31" t="n"/>
      <c r="U27" s="31" t="n"/>
      <c r="V27" s="31" t="n"/>
      <c r="W27" s="31" t="n"/>
      <c r="X27" s="31" t="n"/>
      <c r="Y27" s="31" t="n"/>
      <c r="Z27" s="31" t="n"/>
      <c r="AA27" s="31" t="n"/>
      <c r="AE27" s="121" t="n">
        <v>3</v>
      </c>
      <c r="AF27" t="inlineStr">
        <is>
          <t>OZEMPIC</t>
        </is>
      </c>
      <c r="AG27" t="inlineStr">
        <is>
          <t>GLUCAGON-LIKE PEPTIDE-1 AGONISTS (GLP1)</t>
        </is>
      </c>
      <c r="AH27" s="122" t="n">
        <v>9602962.557628859</v>
      </c>
      <c r="AI27" s="56" t="n">
        <v>14231.5137696</v>
      </c>
      <c r="AK27" s="123" t="n">
        <v>3</v>
      </c>
      <c r="AL27" t="inlineStr">
        <is>
          <t>DESCOVY</t>
        </is>
      </c>
      <c r="AM27" t="inlineStr">
        <is>
          <t>HIV-MULTICLASS COMBO</t>
        </is>
      </c>
      <c r="AN27" s="58" t="n">
        <v>891.3613049897398</v>
      </c>
    </row>
    <row r="28" ht="15" customHeight="1" thickTop="1">
      <c r="B28" s="64" t="inlineStr">
        <is>
          <t>Non-Specialty</t>
        </is>
      </c>
      <c r="C28" s="10" t="n"/>
      <c r="D28" s="65" t="n">
        <v>183406</v>
      </c>
      <c r="E28" s="66" t="n">
        <v>6941156.140000924</v>
      </c>
      <c r="F28" s="66" t="n">
        <v>7171102</v>
      </c>
      <c r="G28" s="67" t="n">
        <v>37.84585095362706</v>
      </c>
      <c r="H28" s="68" t="n">
        <v>39.09960415689781</v>
      </c>
      <c r="I28" s="31" t="n"/>
      <c r="J28" s="31" t="n"/>
      <c r="K28" s="31" t="n"/>
      <c r="L28" s="31" t="n"/>
      <c r="M28" s="31" t="n"/>
      <c r="N28" s="31" t="n"/>
      <c r="O28" s="31" t="n"/>
      <c r="P28" s="31" t="n"/>
      <c r="Q28" s="31" t="n"/>
      <c r="R28" s="31" t="n"/>
      <c r="S28" s="31" t="n"/>
      <c r="T28" s="31" t="n"/>
      <c r="U28" s="31" t="n"/>
      <c r="V28" s="31" t="n"/>
      <c r="W28" s="31" t="n"/>
      <c r="X28" s="31" t="n"/>
      <c r="Y28" s="31" t="n"/>
      <c r="Z28" s="31" t="n"/>
      <c r="AA28" s="31" t="n"/>
      <c r="AE28" s="121" t="n">
        <v>4</v>
      </c>
      <c r="AF28" t="inlineStr">
        <is>
          <t>STELARA</t>
        </is>
      </c>
      <c r="AG28" t="inlineStr">
        <is>
          <t>IMMUNOMODULATORS</t>
        </is>
      </c>
      <c r="AH28" s="122" t="n">
        <v>8652596.083964711</v>
      </c>
      <c r="AI28" s="56" t="n">
        <v>495.2368213257</v>
      </c>
      <c r="AK28" s="123" t="n">
        <v>4</v>
      </c>
      <c r="AL28" t="inlineStr">
        <is>
          <t>GONAL-F RFF REDIJECT</t>
        </is>
      </c>
      <c r="AM28" t="inlineStr">
        <is>
          <t>FERTILITY MEDICATIONS</t>
        </is>
      </c>
      <c r="AN28" s="58" t="n">
        <v>233.03176060086</v>
      </c>
    </row>
    <row r="29" ht="15" customHeight="1" thickBot="1">
      <c r="B29" s="59" t="inlineStr">
        <is>
          <t>Specialty</t>
        </is>
      </c>
      <c r="C29" s="10" t="n"/>
      <c r="D29" s="60" t="n">
        <v>17682</v>
      </c>
      <c r="E29" s="61" t="n">
        <v>1276137.360008448</v>
      </c>
      <c r="F29" s="61" t="n">
        <v>729525</v>
      </c>
      <c r="G29" s="62" t="n">
        <v>72.17155073003327</v>
      </c>
      <c r="H29" s="63" t="n">
        <v>41.25805904309468</v>
      </c>
      <c r="I29" s="31" t="n"/>
      <c r="J29" s="31" t="n"/>
      <c r="K29" s="31" t="n"/>
      <c r="L29" s="31" t="n"/>
      <c r="M29" s="31" t="n"/>
      <c r="N29" s="31" t="n"/>
      <c r="O29" s="31" t="n"/>
      <c r="P29" s="31" t="n"/>
      <c r="Q29" s="31" t="n"/>
      <c r="R29" s="31" t="n"/>
      <c r="S29" s="31" t="n"/>
      <c r="T29" s="31" t="n"/>
      <c r="U29" s="31" t="n"/>
      <c r="V29" s="31" t="n"/>
      <c r="W29" s="31" t="n"/>
      <c r="X29" s="31" t="n"/>
      <c r="Y29" s="31" t="n"/>
      <c r="Z29" s="31" t="n"/>
      <c r="AA29" s="31" t="n"/>
      <c r="AE29" s="121" t="n">
        <v>5</v>
      </c>
      <c r="AF29" t="inlineStr">
        <is>
          <t>SKYRIZI</t>
        </is>
      </c>
      <c r="AG29" t="inlineStr">
        <is>
          <t>IMMUNOMODULATORS</t>
        </is>
      </c>
      <c r="AH29" s="122" t="n">
        <v>8197733.56521294</v>
      </c>
      <c r="AI29" s="56" t="n">
        <v>683.1908359837498</v>
      </c>
      <c r="AK29" s="123" t="n">
        <v>5</v>
      </c>
      <c r="AL29" t="inlineStr">
        <is>
          <t>JAKAFI</t>
        </is>
      </c>
      <c r="AM29" t="inlineStr">
        <is>
          <t>ONCOLOGY</t>
        </is>
      </c>
      <c r="AN29" s="58" t="n">
        <v>96.20517858146468</v>
      </c>
    </row>
    <row r="30" ht="15.6" customHeight="1" thickBot="1" thickTop="1">
      <c r="B30" s="69" t="inlineStr">
        <is>
          <t>Total</t>
        </is>
      </c>
      <c r="C30" s="10" t="n"/>
      <c r="D30" s="70" t="n">
        <v>201088</v>
      </c>
      <c r="E30" s="71" t="n">
        <v>8217293.500009373</v>
      </c>
      <c r="F30" s="71" t="n">
        <v>7900627</v>
      </c>
      <c r="G30" s="72" t="n">
        <v>40.86416643464241</v>
      </c>
      <c r="H30" s="73" t="n">
        <v>39.28940066040738</v>
      </c>
      <c r="I30" s="31" t="n"/>
      <c r="J30" s="31" t="n"/>
      <c r="K30" s="31" t="n"/>
      <c r="L30" s="31" t="n"/>
      <c r="M30" s="31" t="n"/>
      <c r="N30" s="31" t="n"/>
      <c r="O30" s="31" t="n"/>
      <c r="P30" s="31" t="n"/>
      <c r="Q30" s="31" t="n"/>
      <c r="R30" s="31" t="n"/>
      <c r="S30" s="31" t="n"/>
      <c r="T30" s="31" t="n"/>
      <c r="U30" s="31" t="n"/>
      <c r="V30" s="31" t="n"/>
      <c r="W30" s="31" t="n"/>
      <c r="X30" s="31" t="n"/>
      <c r="Y30" s="31" t="n"/>
      <c r="Z30" s="31" t="n"/>
      <c r="AA30" s="31" t="n"/>
      <c r="AE30" s="121" t="n">
        <v>6</v>
      </c>
      <c r="AF30" t="inlineStr">
        <is>
          <t>HUMIRA PEN</t>
        </is>
      </c>
      <c r="AG30" t="inlineStr">
        <is>
          <t>IMMUNOMODULATORS</t>
        </is>
      </c>
      <c r="AH30" s="122" t="n">
        <v>7478594.340393441</v>
      </c>
      <c r="AI30" s="56" t="n">
        <v>666.045182694</v>
      </c>
      <c r="AK30" s="123" t="n">
        <v>6</v>
      </c>
      <c r="AL30" t="inlineStr">
        <is>
          <t>COSENTYX UNOREADY</t>
        </is>
      </c>
      <c r="AM30" t="inlineStr">
        <is>
          <t>IMMUNOMODULATORS</t>
        </is>
      </c>
      <c r="AN30" s="58" t="n">
        <v>158.9914307076</v>
      </c>
    </row>
    <row r="31">
      <c r="B31" s="10" t="n"/>
      <c r="C31" s="10" t="n"/>
      <c r="D31" s="74" t="n"/>
      <c r="E31" s="74" t="n"/>
      <c r="F31" s="74" t="n"/>
      <c r="G31" s="75" t="n"/>
      <c r="H31" s="76" t="n"/>
      <c r="I31" s="31" t="n"/>
      <c r="J31" s="31" t="n"/>
      <c r="K31" s="31" t="n"/>
      <c r="L31" s="31" t="n"/>
      <c r="M31" s="31" t="n"/>
      <c r="N31" s="31" t="n"/>
      <c r="O31" s="31" t="n"/>
      <c r="P31" s="31" t="n"/>
      <c r="Q31" s="31" t="n"/>
      <c r="R31" s="31" t="n"/>
      <c r="S31" s="31" t="n"/>
      <c r="T31" s="31" t="n"/>
      <c r="U31" s="31" t="n"/>
      <c r="V31" s="31" t="n"/>
      <c r="W31" s="31" t="n"/>
      <c r="X31" s="31" t="n"/>
      <c r="Y31" s="31" t="n"/>
      <c r="Z31" s="31" t="n"/>
      <c r="AA31" s="31" t="n"/>
      <c r="AE31" s="121" t="n">
        <v>7</v>
      </c>
      <c r="AF31" t="inlineStr">
        <is>
          <t>DUPIXENT</t>
        </is>
      </c>
      <c r="AG31" t="inlineStr">
        <is>
          <t>CHRONIC INFLAMMATORY DISEASE</t>
        </is>
      </c>
      <c r="AH31" s="122" t="n">
        <v>6937563.135543061</v>
      </c>
      <c r="AI31" s="56" t="n">
        <v>4224.614475448639</v>
      </c>
      <c r="AK31" s="123" t="n">
        <v>7</v>
      </c>
      <c r="AL31" t="inlineStr">
        <is>
          <t>COSENTYX SENSOREADY PEN</t>
        </is>
      </c>
      <c r="AM31" t="inlineStr">
        <is>
          <t>IMMUNOMODULATORS</t>
        </is>
      </c>
      <c r="AN31" s="58" t="n">
        <v>203.0363540793</v>
      </c>
      <c r="AW31" s="77" t="n"/>
      <c r="AX31" s="78" t="n"/>
      <c r="AY31" s="78" t="n"/>
      <c r="AZ31" s="78" t="n"/>
    </row>
    <row r="32" ht="15" customHeight="1" thickBot="1">
      <c r="B32" s="27" t="inlineStr">
        <is>
          <t>Generic</t>
        </is>
      </c>
      <c r="C32" s="10" t="n"/>
      <c r="D32" s="79" t="n"/>
      <c r="E32" s="79" t="n"/>
      <c r="F32" s="79" t="n"/>
      <c r="G32" s="79" t="n"/>
      <c r="H32" s="80" t="n"/>
      <c r="I32" s="31" t="n"/>
      <c r="J32" s="31" t="n"/>
      <c r="K32" s="31" t="n"/>
      <c r="L32" s="31" t="n"/>
      <c r="M32" s="31" t="n"/>
      <c r="N32" s="31" t="n"/>
      <c r="O32" s="31" t="n"/>
      <c r="P32" s="31" t="n"/>
      <c r="Q32" s="31" t="n"/>
      <c r="R32" s="31" t="n"/>
      <c r="S32" s="31" t="n"/>
      <c r="T32" s="31" t="n"/>
      <c r="U32" s="31" t="n"/>
      <c r="V32" s="31" t="n"/>
      <c r="W32" s="31" t="n"/>
      <c r="X32" s="31" t="n"/>
      <c r="Y32" s="31" t="n"/>
      <c r="Z32" s="31" t="n"/>
      <c r="AA32" s="31" t="n"/>
      <c r="AE32" s="121" t="n">
        <v>8</v>
      </c>
      <c r="AF32" t="inlineStr">
        <is>
          <t>RINVOQ</t>
        </is>
      </c>
      <c r="AG32" t="inlineStr">
        <is>
          <t>IMMUNOMODULATORS</t>
        </is>
      </c>
      <c r="AH32" s="122" t="n">
        <v>6215494.324796574</v>
      </c>
      <c r="AI32" s="56" t="n">
        <v>911.6395066912501</v>
      </c>
      <c r="AK32" s="123" t="n">
        <v>8</v>
      </c>
      <c r="AL32" t="inlineStr">
        <is>
          <t>OXERVATE</t>
        </is>
      </c>
      <c r="AM32" t="inlineStr">
        <is>
          <t>OPHTHALMIC NERVE GROWTH FACTORS</t>
        </is>
      </c>
      <c r="AN32" s="58" t="n">
        <v>40.61617571087999</v>
      </c>
    </row>
    <row r="33">
      <c r="B33" s="38" t="inlineStr">
        <is>
          <t>Retail 30</t>
        </is>
      </c>
      <c r="C33" s="10" t="n"/>
      <c r="D33" s="39" t="n">
        <v>1070496</v>
      </c>
      <c r="E33" s="40" t="n">
        <v>47379914.577124</v>
      </c>
      <c r="F33" s="40" t="n">
        <v>25884807</v>
      </c>
      <c r="G33" s="41" t="n">
        <v>44.25977731549114</v>
      </c>
      <c r="H33" s="42" t="n">
        <v>24.18019964577168</v>
      </c>
      <c r="I33" s="31" t="n"/>
      <c r="J33" s="31" t="n"/>
      <c r="K33" s="31" t="n"/>
      <c r="L33" s="31" t="n"/>
      <c r="M33" s="31" t="n"/>
      <c r="N33" s="31" t="n"/>
      <c r="O33" s="31" t="n"/>
      <c r="P33" s="31" t="n"/>
      <c r="Q33" s="31" t="n"/>
      <c r="R33" s="31" t="n"/>
      <c r="S33" s="31" t="n"/>
      <c r="T33" s="31" t="n"/>
      <c r="U33" s="31" t="n"/>
      <c r="V33" s="31" t="n"/>
      <c r="W33" s="31" t="n"/>
      <c r="X33" s="31" t="n"/>
      <c r="Y33" s="31" t="n"/>
      <c r="Z33" s="31" t="n"/>
      <c r="AA33" s="31" t="n"/>
      <c r="AE33" s="121" t="n">
        <v>9</v>
      </c>
      <c r="AF33" t="inlineStr">
        <is>
          <t>JARDIANCE</t>
        </is>
      </c>
      <c r="AG33" t="inlineStr">
        <is>
          <t>SGLT-2 INHIBITORS &amp; COMBOS</t>
        </is>
      </c>
      <c r="AH33" s="122" t="n">
        <v>3480371.810622171</v>
      </c>
      <c r="AI33" s="56" t="n">
        <v>13968.60739906405</v>
      </c>
      <c r="AK33" s="123" t="n">
        <v>9</v>
      </c>
      <c r="AL33" t="inlineStr">
        <is>
          <t>HEMLIBRA</t>
        </is>
      </c>
      <c r="AM33" t="inlineStr">
        <is>
          <t>ANTIHEMOPHILIC PRODUCTS</t>
        </is>
      </c>
      <c r="AN33" s="58" t="n">
        <v>29.808135677</v>
      </c>
    </row>
    <row r="34">
      <c r="B34" s="49" t="inlineStr">
        <is>
          <t>Retail 90</t>
        </is>
      </c>
      <c r="C34" s="10" t="n"/>
      <c r="D34" s="50" t="n">
        <v>247394</v>
      </c>
      <c r="E34" s="51" t="n">
        <v>26440402.58003044</v>
      </c>
      <c r="F34" s="51" t="n">
        <v>22189170</v>
      </c>
      <c r="G34" s="52" t="n">
        <v>106.8756824338118</v>
      </c>
      <c r="H34" s="53" t="n">
        <v>89.69162550425636</v>
      </c>
      <c r="I34" s="31" t="n"/>
      <c r="J34" s="31" t="n"/>
      <c r="K34" s="31" t="n"/>
      <c r="L34" s="31" t="n"/>
      <c r="M34" s="31" t="n"/>
      <c r="N34" s="31" t="n"/>
      <c r="O34" s="31" t="n"/>
      <c r="P34" s="31" t="n"/>
      <c r="Q34" s="31" t="n"/>
      <c r="R34" s="31" t="n"/>
      <c r="S34" s="31" t="n"/>
      <c r="T34" s="31" t="n"/>
      <c r="U34" s="31" t="n"/>
      <c r="V34" s="31" t="n"/>
      <c r="W34" s="31" t="n"/>
      <c r="X34" s="31" t="n"/>
      <c r="Y34" s="31" t="n"/>
      <c r="Z34" s="31" t="n"/>
      <c r="AA34" s="31" t="n"/>
      <c r="AE34" s="121" t="n">
        <v>10</v>
      </c>
      <c r="AF34" t="inlineStr">
        <is>
          <t>TALTZ</t>
        </is>
      </c>
      <c r="AG34" t="inlineStr">
        <is>
          <t>IMMUNOMODULATORS</t>
        </is>
      </c>
      <c r="AH34" s="122" t="n">
        <v>3080173.237277076</v>
      </c>
      <c r="AI34" s="56" t="n">
        <v>487.7169563598</v>
      </c>
      <c r="AK34" s="123" t="n">
        <v>10</v>
      </c>
      <c r="AL34" t="inlineStr">
        <is>
          <t>FREESTYLE LIBRE 3 PLUS/SENSOR/GLUCOSE MONITORING SYSTEM</t>
        </is>
      </c>
      <c r="AM34" t="inlineStr">
        <is>
          <t>DIABETES MONITORING AND TESTING SUPPLIES</t>
        </is>
      </c>
      <c r="AN34" s="58" t="n">
        <v>4214.04076808376</v>
      </c>
    </row>
    <row r="35" ht="15" customHeight="1" thickBot="1">
      <c r="B35" s="59" t="inlineStr">
        <is>
          <t>Mail</t>
        </is>
      </c>
      <c r="C35" s="10" t="n"/>
      <c r="D35" s="60" t="n">
        <v>55194</v>
      </c>
      <c r="E35" s="61" t="n">
        <v>5556804.190032244</v>
      </c>
      <c r="F35" s="61" t="n">
        <v>4384361</v>
      </c>
      <c r="G35" s="62" t="n">
        <v>100.6776857997653</v>
      </c>
      <c r="H35" s="63" t="n">
        <v>79.43546399971011</v>
      </c>
      <c r="I35" s="31" t="n"/>
      <c r="J35" s="31" t="n"/>
      <c r="K35" s="31" t="n"/>
      <c r="L35" s="31" t="n"/>
      <c r="M35" s="31" t="n"/>
      <c r="N35" s="31" t="n"/>
      <c r="O35" s="31" t="n"/>
      <c r="P35" s="31" t="n"/>
      <c r="Q35" s="31" t="n"/>
      <c r="R35" s="31" t="n"/>
      <c r="S35" s="31" t="n"/>
      <c r="T35" s="31" t="n"/>
      <c r="U35" s="31" t="n"/>
      <c r="V35" s="31" t="n"/>
      <c r="W35" s="31" t="n"/>
      <c r="X35" s="31" t="n"/>
      <c r="Y35" s="31" t="n"/>
      <c r="Z35" s="31" t="n"/>
      <c r="AA35" s="31" t="n"/>
      <c r="AE35" s="121" t="n">
        <v>11</v>
      </c>
      <c r="AF35" t="inlineStr">
        <is>
          <t>NURTEC</t>
        </is>
      </c>
      <c r="AG35" t="inlineStr">
        <is>
          <t>MIGRAINE PRODUCTS</t>
        </is>
      </c>
      <c r="AH35" s="122" t="n">
        <v>2790386.486507541</v>
      </c>
      <c r="AI35" s="56" t="n">
        <v>3203.748551548079</v>
      </c>
      <c r="AK35" s="123" t="n">
        <v>11</v>
      </c>
      <c r="AL35" t="inlineStr">
        <is>
          <t>GENOTROPIN</t>
        </is>
      </c>
      <c r="AM35" t="inlineStr">
        <is>
          <t>GROWTH HORMONES</t>
        </is>
      </c>
      <c r="AN35" s="58" t="n">
        <v>169.82362532772</v>
      </c>
    </row>
    <row r="36" ht="15" customHeight="1" thickTop="1">
      <c r="B36" s="64" t="inlineStr">
        <is>
          <t>Non-Specialty</t>
        </is>
      </c>
      <c r="C36" s="10" t="n"/>
      <c r="D36" s="65" t="n">
        <v>1373084</v>
      </c>
      <c r="E36" s="66" t="n">
        <v>79377121.34718668</v>
      </c>
      <c r="F36" s="66" t="n">
        <v>52458338</v>
      </c>
      <c r="G36" s="67" t="n">
        <v>57.80937025497835</v>
      </c>
      <c r="H36" s="68" t="n">
        <v>38.20475513515561</v>
      </c>
      <c r="I36" s="31" t="n"/>
      <c r="J36" s="31" t="n"/>
      <c r="K36" s="31" t="n"/>
      <c r="L36" s="31" t="n"/>
      <c r="M36" s="31" t="n"/>
      <c r="N36" s="31" t="n"/>
      <c r="O36" s="31" t="n"/>
      <c r="P36" s="31" t="n"/>
      <c r="Q36" s="31" t="n"/>
      <c r="R36" s="31" t="n"/>
      <c r="S36" s="31" t="n"/>
      <c r="T36" s="31" t="n"/>
      <c r="U36" s="31" t="n"/>
      <c r="V36" s="31" t="n"/>
      <c r="W36" s="31" t="n"/>
      <c r="X36" s="31" t="n"/>
      <c r="Y36" s="31" t="n"/>
      <c r="Z36" s="31" t="n"/>
      <c r="AA36" s="31" t="n"/>
      <c r="AE36" s="121" t="n">
        <v>12</v>
      </c>
      <c r="AF36" t="inlineStr">
        <is>
          <t>TREMFYA</t>
        </is>
      </c>
      <c r="AG36" t="inlineStr">
        <is>
          <t>IMMUNOMODULATORS</t>
        </is>
      </c>
      <c r="AH36" s="122" t="n">
        <v>2576052.589228084</v>
      </c>
      <c r="AI36" s="56" t="n">
        <v>346.9880548551</v>
      </c>
      <c r="AK36" s="123" t="n">
        <v>12</v>
      </c>
      <c r="AL36" t="inlineStr">
        <is>
          <t>VYNDAMAX</t>
        </is>
      </c>
      <c r="AM36" t="inlineStr">
        <is>
          <t>TRANSTHYRETIN STABILIZERS</t>
        </is>
      </c>
      <c r="AN36" s="58" t="n">
        <v>19.6529882472</v>
      </c>
    </row>
    <row r="37" ht="15" customHeight="1" thickBot="1">
      <c r="B37" s="59" t="inlineStr">
        <is>
          <t>Specialty</t>
        </is>
      </c>
      <c r="C37" s="10" t="n"/>
      <c r="D37" s="60" t="n">
        <v>2510</v>
      </c>
      <c r="E37" s="61" t="n">
        <v>94070.66000258923</v>
      </c>
      <c r="F37" s="61" t="n">
        <v>107685</v>
      </c>
      <c r="G37" s="62" t="n">
        <v>37.47835059864113</v>
      </c>
      <c r="H37" s="63" t="n">
        <v>42.90239043824701</v>
      </c>
      <c r="I37" s="31" t="n"/>
      <c r="J37" s="31" t="n"/>
      <c r="K37" s="31" t="n"/>
      <c r="L37" s="31" t="n"/>
      <c r="M37" s="31" t="n"/>
      <c r="N37" s="31" t="n"/>
      <c r="O37" s="31" t="n"/>
      <c r="P37" s="31" t="n"/>
      <c r="Q37" s="31" t="n"/>
      <c r="R37" s="31" t="n"/>
      <c r="S37" s="31" t="n"/>
      <c r="T37" s="31" t="n"/>
      <c r="U37" s="31" t="n"/>
      <c r="V37" s="31" t="n"/>
      <c r="W37" s="31" t="n"/>
      <c r="X37" s="31" t="n"/>
      <c r="Y37" s="31" t="n"/>
      <c r="Z37" s="31" t="n"/>
      <c r="AA37" s="31" t="n"/>
      <c r="AE37" s="121" t="n">
        <v>13</v>
      </c>
      <c r="AF37" t="inlineStr">
        <is>
          <t>DEXCOM G7 SENSOR</t>
        </is>
      </c>
      <c r="AG37" t="inlineStr">
        <is>
          <t>DIABETES MONITORING AND TESTING SUPPLIES</t>
        </is>
      </c>
      <c r="AH37" s="122" t="n">
        <v>2525864.873110363</v>
      </c>
      <c r="AI37" s="56" t="n">
        <v>6422.6437833936</v>
      </c>
      <c r="AK37" s="123" t="n">
        <v>13</v>
      </c>
      <c r="AL37" t="inlineStr">
        <is>
          <t>PROCYSBI</t>
        </is>
      </c>
      <c r="AM37" t="inlineStr">
        <is>
          <t>ENDOCRINE DISORDERS</t>
        </is>
      </c>
      <c r="AN37" s="58" t="n">
        <v>15.6064146112</v>
      </c>
    </row>
    <row r="38" ht="15.6" customHeight="1" thickBot="1" thickTop="1">
      <c r="B38" s="69" t="inlineStr">
        <is>
          <t>Total</t>
        </is>
      </c>
      <c r="C38" s="10" t="n"/>
      <c r="D38" s="70" t="n">
        <v>1375594</v>
      </c>
      <c r="E38" s="71" t="n">
        <v>79471192.00718927</v>
      </c>
      <c r="F38" s="71" t="n">
        <v>52566023</v>
      </c>
      <c r="G38" s="72" t="n">
        <v>57.77227292877787</v>
      </c>
      <c r="H38" s="73" t="n">
        <v>38.21332675193408</v>
      </c>
      <c r="I38" s="31" t="n"/>
      <c r="J38" s="31" t="n"/>
      <c r="K38" s="31" t="n"/>
      <c r="L38" s="31" t="n"/>
      <c r="M38" s="31" t="n"/>
      <c r="N38" s="31" t="n"/>
      <c r="O38" s="31" t="n"/>
      <c r="P38" s="31" t="n"/>
      <c r="Q38" s="31" t="n"/>
      <c r="R38" s="31" t="n"/>
      <c r="S38" s="31" t="n"/>
      <c r="T38" s="31" t="n"/>
      <c r="U38" s="31" t="n"/>
      <c r="V38" s="31" t="n"/>
      <c r="W38" s="31" t="n"/>
      <c r="X38" s="31" t="n"/>
      <c r="Y38" s="31" t="n"/>
      <c r="Z38" s="31" t="n"/>
      <c r="AA38" s="31" t="n"/>
      <c r="AE38" s="121" t="n">
        <v>14</v>
      </c>
      <c r="AF38" t="inlineStr">
        <is>
          <t>QULIPTA</t>
        </is>
      </c>
      <c r="AG38" t="inlineStr">
        <is>
          <t>MIGRAINE PRODUCTS</t>
        </is>
      </c>
      <c r="AH38" s="122" t="n">
        <v>1940472.700173932</v>
      </c>
      <c r="AI38" s="56" t="n">
        <v>2223.40933748808</v>
      </c>
      <c r="AK38" s="123" t="n">
        <v>14</v>
      </c>
      <c r="AL38" t="inlineStr">
        <is>
          <t>EVRYSDI</t>
        </is>
      </c>
      <c r="AM38" t="inlineStr">
        <is>
          <t>SPINAL MUSCULAR ATROPHY (SMA) AGENT</t>
        </is>
      </c>
      <c r="AN38" s="58" t="n">
        <v>41.92637492735999</v>
      </c>
    </row>
    <row r="39">
      <c r="B39" s="10" t="n"/>
      <c r="C39" s="10" t="n"/>
      <c r="D39" s="74" t="n"/>
      <c r="E39" s="74" t="n"/>
      <c r="F39" s="74" t="n"/>
      <c r="G39" s="75" t="n"/>
      <c r="H39" s="76" t="n"/>
      <c r="I39" s="31" t="n"/>
      <c r="J39" s="31" t="n"/>
      <c r="K39" s="31" t="n"/>
      <c r="L39" s="31" t="n"/>
      <c r="M39" s="31" t="n"/>
      <c r="N39" s="31" t="n"/>
      <c r="O39" s="31" t="n"/>
      <c r="P39" s="31" t="n"/>
      <c r="Q39" s="31" t="n"/>
      <c r="R39" s="31" t="n"/>
      <c r="S39" s="31" t="n"/>
      <c r="T39" s="31" t="n"/>
      <c r="U39" s="31" t="n"/>
      <c r="V39" s="31" t="n"/>
      <c r="W39" s="31" t="n"/>
      <c r="X39" s="31" t="n"/>
      <c r="Y39" s="31" t="n"/>
      <c r="Z39" s="31" t="n"/>
      <c r="AA39" s="31" t="n"/>
      <c r="AE39" s="121" t="n">
        <v>15</v>
      </c>
      <c r="AF39" t="inlineStr">
        <is>
          <t>ENBREL SURECLICK</t>
        </is>
      </c>
      <c r="AG39" t="inlineStr">
        <is>
          <t>IMMUNOMODULATORS</t>
        </is>
      </c>
      <c r="AH39" s="122" t="n">
        <v>1767693.475707591</v>
      </c>
      <c r="AI39" s="56" t="n">
        <v>386.735912532</v>
      </c>
      <c r="AK39" s="123" t="n">
        <v>15</v>
      </c>
      <c r="AL39" t="inlineStr">
        <is>
          <t>ELIQUIS</t>
        </is>
      </c>
      <c r="AM39" t="inlineStr">
        <is>
          <t>ORAL ANTICOAGULANTS</t>
        </is>
      </c>
      <c r="AN39" s="58" t="n">
        <v>2276.578560453788</v>
      </c>
    </row>
    <row r="40" ht="15" customHeight="1" thickBot="1">
      <c r="B40" s="27" t="inlineStr">
        <is>
          <t>Total</t>
        </is>
      </c>
      <c r="C40" s="10" t="n"/>
      <c r="D40" s="79" t="n"/>
      <c r="E40" s="79" t="n"/>
      <c r="F40" s="79" t="n"/>
      <c r="G40" s="79" t="n"/>
      <c r="H40" s="80" t="n"/>
      <c r="I40" s="31" t="n"/>
      <c r="J40" s="31" t="n"/>
      <c r="K40" s="31" t="n"/>
      <c r="L40" s="31" t="n"/>
      <c r="M40" s="31" t="n"/>
      <c r="N40" s="31" t="n"/>
      <c r="O40" s="31" t="n"/>
      <c r="P40" s="31" t="n"/>
      <c r="Q40" s="31" t="n"/>
      <c r="R40" s="31" t="n"/>
      <c r="S40" s="31" t="n"/>
      <c r="T40" s="31" t="n"/>
      <c r="U40" s="31" t="n"/>
      <c r="V40" s="31" t="n"/>
      <c r="W40" s="31" t="n"/>
      <c r="X40" s="31" t="n"/>
      <c r="Y40" s="31" t="n"/>
      <c r="Z40" s="31" t="n"/>
      <c r="AA40" s="31" t="n"/>
      <c r="AE40" s="121" t="n">
        <v>16</v>
      </c>
      <c r="AF40" t="inlineStr">
        <is>
          <t>XYWAV</t>
        </is>
      </c>
      <c r="AG40" t="inlineStr">
        <is>
          <t>NARCOLEPSY</t>
        </is>
      </c>
      <c r="AH40" s="122" t="n">
        <v>1682667.126475263</v>
      </c>
      <c r="AI40" s="56" t="n">
        <v>318.39566753376</v>
      </c>
      <c r="AK40" s="123" t="n">
        <v>16</v>
      </c>
      <c r="AL40" t="inlineStr">
        <is>
          <t>SPRAVATO 84MG DOSE</t>
        </is>
      </c>
      <c r="AM40" t="inlineStr">
        <is>
          <t>ANTIDEPRESSANTS</t>
        </is>
      </c>
      <c r="AN40" s="58" t="n">
        <v>708.8177761156797</v>
      </c>
    </row>
    <row r="41">
      <c r="B41" s="38" t="inlineStr">
        <is>
          <t>Retail 30</t>
        </is>
      </c>
      <c r="C41" s="10" t="n"/>
      <c r="D41" s="39" t="n">
        <v>1211734</v>
      </c>
      <c r="E41" s="40" t="n">
        <v>51177340.29231974</v>
      </c>
      <c r="F41" s="40" t="n">
        <v>29501926</v>
      </c>
      <c r="G41" s="41" t="n">
        <v>42.23479764727221</v>
      </c>
      <c r="H41" s="42" t="n">
        <v>24.34686655652148</v>
      </c>
      <c r="I41" s="31" t="n"/>
      <c r="J41" s="31" t="n"/>
      <c r="K41" s="31" t="n"/>
      <c r="L41" s="31" t="n"/>
      <c r="M41" s="31" t="n"/>
      <c r="N41" s="31" t="n"/>
      <c r="O41" s="31" t="n"/>
      <c r="P41" s="31" t="n"/>
      <c r="Q41" s="31" t="n"/>
      <c r="R41" s="31" t="n"/>
      <c r="S41" s="31" t="n"/>
      <c r="T41" s="31" t="n"/>
      <c r="U41" s="31" t="n"/>
      <c r="V41" s="31" t="n"/>
      <c r="W41" s="31" t="n"/>
      <c r="X41" s="31" t="n"/>
      <c r="Y41" s="31" t="n"/>
      <c r="Z41" s="31" t="n"/>
      <c r="AA41" s="31" t="n"/>
      <c r="AE41" s="121" t="n">
        <v>17</v>
      </c>
      <c r="AF41" t="inlineStr">
        <is>
          <t>OMNIPOD 5 DEXCOM G7G6 PODS (GEN 5)</t>
        </is>
      </c>
      <c r="AG41" t="inlineStr">
        <is>
          <t>INSULIN ADMINISTRATION SUPPLIES</t>
        </is>
      </c>
      <c r="AH41" s="122" t="n">
        <v>1558453.188900565</v>
      </c>
      <c r="AI41" s="56" t="n">
        <v>5750.841219200001</v>
      </c>
      <c r="AK41" s="123" t="n">
        <v>17</v>
      </c>
      <c r="AL41" t="inlineStr">
        <is>
          <t>ZILBRYSQ</t>
        </is>
      </c>
      <c r="AM41" t="inlineStr">
        <is>
          <t>COMPLEMENT INHIBITORS</t>
        </is>
      </c>
      <c r="AN41" s="58" t="n">
        <v>24.40691136026</v>
      </c>
    </row>
    <row r="42">
      <c r="B42" s="49" t="inlineStr">
        <is>
          <t>Retail 90</t>
        </is>
      </c>
      <c r="C42" s="10" t="n"/>
      <c r="D42" s="50" t="n">
        <v>278821</v>
      </c>
      <c r="E42" s="51" t="n">
        <v>28778666.07989511</v>
      </c>
      <c r="F42" s="51" t="n">
        <v>24983100</v>
      </c>
      <c r="G42" s="52" t="n">
        <v>103.21556152476</v>
      </c>
      <c r="H42" s="53" t="n">
        <v>89.6026482940668</v>
      </c>
      <c r="I42" s="31" t="n"/>
      <c r="J42" s="31" t="n"/>
      <c r="K42" s="31" t="n"/>
      <c r="L42" s="31" t="n"/>
      <c r="M42" s="31" t="n"/>
      <c r="N42" s="31" t="n"/>
      <c r="O42" s="31" t="n"/>
      <c r="P42" s="31" t="n"/>
      <c r="Q42" s="31" t="n"/>
      <c r="R42" s="31" t="n"/>
      <c r="S42" s="31" t="n"/>
      <c r="T42" s="31" t="n"/>
      <c r="U42" s="31" t="n"/>
      <c r="V42" s="31" t="n"/>
      <c r="W42" s="31" t="n"/>
      <c r="X42" s="31" t="n"/>
      <c r="Y42" s="31" t="n"/>
      <c r="Z42" s="31" t="n"/>
      <c r="AA42" s="31" t="n"/>
      <c r="AE42" s="121" t="n">
        <v>18</v>
      </c>
      <c r="AF42" t="inlineStr">
        <is>
          <t>TRULICITY</t>
        </is>
      </c>
      <c r="AG42" t="inlineStr">
        <is>
          <t>GLUCAGON-LIKE PEPTIDE-1 AGONISTS (GLP1)</t>
        </is>
      </c>
      <c r="AH42" s="122" t="n">
        <v>1523910.253495579</v>
      </c>
      <c r="AI42" s="56" t="n">
        <v>2220.59944992</v>
      </c>
      <c r="AK42" s="123" t="n">
        <v>18</v>
      </c>
      <c r="AL42" t="inlineStr">
        <is>
          <t>BENLYSTA</t>
        </is>
      </c>
      <c r="AM42" t="inlineStr">
        <is>
          <t>LUPUS AGENT</t>
        </is>
      </c>
      <c r="AN42" s="58" t="n">
        <v>129.70972243152</v>
      </c>
    </row>
    <row r="43" ht="15" customHeight="1" thickBot="1">
      <c r="B43" s="59" t="inlineStr">
        <is>
          <t>Mail</t>
        </is>
      </c>
      <c r="C43" s="10" t="n"/>
      <c r="D43" s="60" t="n">
        <v>65935</v>
      </c>
      <c r="E43" s="61" t="n">
        <v>6362271.114972755</v>
      </c>
      <c r="F43" s="61" t="n">
        <v>5144414</v>
      </c>
      <c r="G43" s="62" t="n">
        <v>96.49307825847812</v>
      </c>
      <c r="H43" s="63" t="n">
        <v>78.02250701448396</v>
      </c>
      <c r="I43" s="31" t="n"/>
      <c r="J43" s="31" t="n"/>
      <c r="K43" s="31" t="n"/>
      <c r="L43" s="31" t="n"/>
      <c r="M43" s="31" t="n"/>
      <c r="N43" s="31" t="n"/>
      <c r="O43" s="31" t="n"/>
      <c r="P43" s="31" t="n"/>
      <c r="Q43" s="31" t="n"/>
      <c r="R43" s="31" t="n"/>
      <c r="S43" s="31" t="n"/>
      <c r="T43" s="31" t="n"/>
      <c r="U43" s="31" t="n"/>
      <c r="V43" s="31" t="n"/>
      <c r="W43" s="31" t="n"/>
      <c r="X43" s="31" t="n"/>
      <c r="Y43" s="31" t="n"/>
      <c r="Z43" s="31" t="n"/>
      <c r="AA43" s="31" t="n"/>
      <c r="AE43" s="121" t="n">
        <v>19</v>
      </c>
      <c r="AF43" t="inlineStr">
        <is>
          <t>TRELEGY ELLIPTA</t>
        </is>
      </c>
      <c r="AG43" t="inlineStr">
        <is>
          <t>LABA LAMA COMBO</t>
        </is>
      </c>
      <c r="AH43" s="122" t="n">
        <v>1459148.984937764</v>
      </c>
      <c r="AI43" s="56" t="n">
        <v>3262.522261530561</v>
      </c>
      <c r="AK43" s="123" t="n">
        <v>19</v>
      </c>
      <c r="AL43" t="inlineStr">
        <is>
          <t>SEMGLEE</t>
        </is>
      </c>
      <c r="AM43" t="inlineStr">
        <is>
          <t>BASAL INSULIN</t>
        </is>
      </c>
      <c r="AN43" s="58" t="n">
        <v>1744.07782971912</v>
      </c>
    </row>
    <row r="44" ht="15.6" customHeight="1" thickBot="1" thickTop="1">
      <c r="B44" s="64" t="inlineStr">
        <is>
          <t>Non-Specialty</t>
        </is>
      </c>
      <c r="C44" s="10" t="n"/>
      <c r="D44" s="65" t="n">
        <v>1556490</v>
      </c>
      <c r="E44" s="66" t="n">
        <v>86318277.48718761</v>
      </c>
      <c r="F44" s="66" t="n">
        <v>59629440</v>
      </c>
      <c r="G44" s="67" t="n">
        <v>55.45700742516021</v>
      </c>
      <c r="H44" s="68" t="n">
        <v>38.3101979453771</v>
      </c>
      <c r="I44" s="31" t="n"/>
      <c r="J44" s="31" t="n"/>
      <c r="K44" s="31" t="n"/>
      <c r="L44" s="31" t="n"/>
      <c r="M44" s="31" t="n"/>
      <c r="N44" s="31" t="n"/>
      <c r="O44" s="31" t="n"/>
      <c r="P44" s="31" t="n"/>
      <c r="Q44" s="31" t="n"/>
      <c r="R44" s="31" t="n"/>
      <c r="S44" s="31" t="n"/>
      <c r="T44" s="31" t="n"/>
      <c r="U44" s="31" t="n"/>
      <c r="V44" s="31" t="n"/>
      <c r="W44" s="31" t="n"/>
      <c r="X44" s="31" t="n"/>
      <c r="Y44" s="31" t="n"/>
      <c r="Z44" s="31" t="n"/>
      <c r="AA44" s="31" t="n"/>
      <c r="AE44" s="124" t="n">
        <v>20</v>
      </c>
      <c r="AF44" s="82" t="inlineStr">
        <is>
          <t>UBRELVY</t>
        </is>
      </c>
      <c r="AG44" s="82" t="inlineStr">
        <is>
          <t>MIGRAINE PRODUCTS</t>
        </is>
      </c>
      <c r="AH44" s="125" t="n">
        <v>1278157.380662739</v>
      </c>
      <c r="AI44" s="84" t="n">
        <v>2376.34225488144</v>
      </c>
      <c r="AK44" s="126" t="n">
        <v>20</v>
      </c>
      <c r="AL44" s="86" t="inlineStr">
        <is>
          <t>REVLIMID</t>
        </is>
      </c>
      <c r="AM44" s="86" t="inlineStr">
        <is>
          <t>ONCOLOGY</t>
        </is>
      </c>
      <c r="AN44" s="87" t="n">
        <v>56.67463693994513</v>
      </c>
    </row>
    <row r="45" ht="15" customHeight="1" thickBot="1">
      <c r="B45" s="59" t="inlineStr">
        <is>
          <t>Specialty</t>
        </is>
      </c>
      <c r="C45" s="10" t="n"/>
      <c r="D45" s="60" t="n">
        <v>20192</v>
      </c>
      <c r="E45" s="61" t="n">
        <v>1370208.020011038</v>
      </c>
      <c r="F45" s="61" t="n">
        <v>837210</v>
      </c>
      <c r="G45" s="62" t="n">
        <v>67.85895503224235</v>
      </c>
      <c r="H45" s="63" t="n">
        <v>41.46246038034865</v>
      </c>
      <c r="I45" s="31" t="n"/>
      <c r="J45" s="31" t="n"/>
      <c r="K45" s="31" t="n"/>
      <c r="L45" s="31" t="n"/>
      <c r="M45" s="31" t="n"/>
      <c r="N45" s="31" t="n"/>
      <c r="O45" s="31" t="n"/>
      <c r="P45" s="31" t="n"/>
      <c r="Q45" s="31" t="n"/>
      <c r="R45" s="31" t="n"/>
      <c r="S45" s="31" t="n"/>
      <c r="T45" s="31" t="n"/>
      <c r="U45" s="31" t="n"/>
      <c r="V45" s="31" t="n"/>
      <c r="W45" s="31" t="n"/>
      <c r="X45" s="31" t="n"/>
      <c r="Y45" s="31" t="n"/>
      <c r="Z45" s="31" t="n"/>
      <c r="AA45" s="31" t="n"/>
    </row>
    <row r="46" ht="15.6" customHeight="1" thickBot="1" thickTop="1">
      <c r="B46" s="69" t="inlineStr">
        <is>
          <t>Total</t>
        </is>
      </c>
      <c r="C46" s="10" t="n"/>
      <c r="D46" s="70" t="n">
        <v>1576682</v>
      </c>
      <c r="E46" s="71" t="n">
        <v>87688485.50719865</v>
      </c>
      <c r="F46" s="71" t="n">
        <v>60466650</v>
      </c>
      <c r="G46" s="72" t="n">
        <v>55.61583471314992</v>
      </c>
      <c r="H46" s="73" t="n">
        <v>38.35056783802948</v>
      </c>
      <c r="I46" s="31" t="n"/>
      <c r="J46" s="31" t="n"/>
      <c r="K46" s="31" t="n"/>
      <c r="L46" s="31" t="n"/>
      <c r="M46" s="31" t="n"/>
      <c r="N46" s="31" t="n"/>
      <c r="O46" s="31" t="n"/>
      <c r="P46" s="31" t="n"/>
      <c r="Q46" s="31" t="n"/>
      <c r="R46" s="31" t="n"/>
      <c r="S46" s="31" t="n"/>
      <c r="T46" s="31" t="n"/>
      <c r="U46" s="31" t="n"/>
      <c r="V46" s="31" t="n"/>
      <c r="W46" s="31" t="n"/>
      <c r="X46" s="31" t="n"/>
      <c r="Y46" s="31" t="n"/>
      <c r="Z46" s="31" t="n"/>
      <c r="AA46" s="31" t="n"/>
    </row>
    <row r="47" ht="15" customHeight="1" thickBot="1">
      <c r="AE47" s="20" t="inlineStr">
        <is>
          <t>Overall - Brand Only</t>
        </is>
      </c>
      <c r="AF47" s="21" t="n"/>
      <c r="AG47" s="23" t="n"/>
      <c r="AH47" s="23" t="n"/>
    </row>
    <row r="48" ht="34.95" customHeight="1" thickBot="1">
      <c r="B48" s="88" t="n"/>
      <c r="C48" s="88" t="n"/>
      <c r="D48" s="88" t="n"/>
      <c r="E48" s="88" t="n"/>
      <c r="F48" s="88" t="n"/>
      <c r="G48" s="88" t="n"/>
      <c r="H48" s="88" t="n"/>
      <c r="I48" s="88" t="n"/>
      <c r="J48" s="88" t="n"/>
      <c r="K48" s="88" t="n"/>
      <c r="L48" s="88" t="n"/>
      <c r="M48" s="88" t="n"/>
      <c r="N48" s="88" t="n"/>
      <c r="O48" s="88" t="n"/>
      <c r="P48" s="88" t="n"/>
      <c r="Q48" s="88" t="n"/>
      <c r="R48" s="88" t="n"/>
      <c r="S48" s="88" t="n"/>
      <c r="T48" s="88" t="n"/>
      <c r="U48" s="88" t="n"/>
      <c r="V48" s="88" t="n"/>
      <c r="W48" s="88" t="n"/>
      <c r="X48" s="88" t="n"/>
      <c r="Y48" s="88" t="n"/>
      <c r="Z48" s="88" t="n"/>
      <c r="AA48" s="88" t="n"/>
      <c r="AE48" s="32" t="inlineStr">
        <is>
          <t>Rank</t>
        </is>
      </c>
      <c r="AF48" s="33" t="inlineStr">
        <is>
          <t>Therapeutic Class</t>
        </is>
      </c>
      <c r="AG48" s="33" t="inlineStr">
        <is>
          <t>Total Rebates</t>
        </is>
      </c>
      <c r="AH48" s="34" t="inlineStr">
        <is>
          <t>Brand Scripts</t>
        </is>
      </c>
    </row>
    <row r="49" ht="15" customHeight="1" thickTop="1">
      <c r="AE49" s="118" t="n">
        <v>1</v>
      </c>
      <c r="AF49" s="44" t="inlineStr">
        <is>
          <t>IMMUNOMODULATORS</t>
        </is>
      </c>
      <c r="AG49" s="119" t="n">
        <v>54635372.06385779</v>
      </c>
      <c r="AH49" s="46" t="n">
        <v>6596.229291898628</v>
      </c>
    </row>
    <row r="50" ht="15" customHeight="1" thickBot="1">
      <c r="AE50" s="121" t="n">
        <v>2</v>
      </c>
      <c r="AF50" t="inlineStr">
        <is>
          <t>GLUCAGON-LIKE PEPTIDE-1 AGONISTS (GLP1)</t>
        </is>
      </c>
      <c r="AG50" s="122" t="n">
        <v>43919023.43186639</v>
      </c>
      <c r="AH50" s="56" t="n">
        <v>65432.22815324086</v>
      </c>
    </row>
    <row r="51" ht="15" customHeight="1" thickBot="1">
      <c r="D51" s="11" t="inlineStr">
        <is>
          <t>Base Yr</t>
        </is>
      </c>
      <c r="E51" s="12" t="n"/>
      <c r="F51" s="12" t="n"/>
      <c r="G51" s="13" t="n"/>
      <c r="H51" s="14" t="n"/>
      <c r="J51" s="11" t="n">
        <v>2028</v>
      </c>
      <c r="K51" s="12" t="n"/>
      <c r="L51" s="12" t="n"/>
      <c r="M51" s="13" t="n"/>
      <c r="N51" s="14" t="n"/>
      <c r="P51" s="11" t="n">
        <v>2028</v>
      </c>
      <c r="Q51" s="12" t="n"/>
      <c r="R51" s="12" t="n"/>
      <c r="S51" s="13" t="n"/>
      <c r="T51" s="14" t="n"/>
      <c r="V51" s="11" t="n">
        <v>2029</v>
      </c>
      <c r="W51" s="12" t="n"/>
      <c r="X51" s="12" t="n"/>
      <c r="Y51" s="13" t="n"/>
      <c r="Z51" s="14" t="n"/>
      <c r="AE51" s="121" t="n">
        <v>3</v>
      </c>
      <c r="AF51" t="inlineStr">
        <is>
          <t>CHRONIC INFLAMMATORY DISEASE</t>
        </is>
      </c>
      <c r="AG51" s="122" t="n">
        <v>8469505.215599423</v>
      </c>
      <c r="AH51" s="56" t="n">
        <v>5005.6285081715</v>
      </c>
    </row>
    <row r="52" ht="15" customHeight="1" thickBot="1">
      <c r="B52" s="27" t="inlineStr">
        <is>
          <t>Excl - Brand</t>
        </is>
      </c>
      <c r="D52" s="28" t="inlineStr">
        <is>
          <t>R30</t>
        </is>
      </c>
      <c r="E52" s="29" t="inlineStr">
        <is>
          <t>R90</t>
        </is>
      </c>
      <c r="F52" s="29" t="inlineStr">
        <is>
          <t>Mail</t>
        </is>
      </c>
      <c r="G52" s="29" t="inlineStr">
        <is>
          <t>Specialty</t>
        </is>
      </c>
      <c r="H52" s="30" t="inlineStr">
        <is>
          <t>Total</t>
        </is>
      </c>
      <c r="J52" s="28" t="inlineStr">
        <is>
          <t>R30</t>
        </is>
      </c>
      <c r="K52" s="29" t="inlineStr">
        <is>
          <t>R90</t>
        </is>
      </c>
      <c r="L52" s="29" t="inlineStr">
        <is>
          <t>Mail</t>
        </is>
      </c>
      <c r="M52" s="29" t="inlineStr">
        <is>
          <t>Specialty</t>
        </is>
      </c>
      <c r="N52" s="30" t="inlineStr">
        <is>
          <t>Total</t>
        </is>
      </c>
      <c r="P52" s="28" t="inlineStr">
        <is>
          <t>R30</t>
        </is>
      </c>
      <c r="Q52" s="29" t="inlineStr">
        <is>
          <t>R90</t>
        </is>
      </c>
      <c r="R52" s="29" t="inlineStr">
        <is>
          <t>Mail</t>
        </is>
      </c>
      <c r="S52" s="29" t="inlineStr">
        <is>
          <t>Specialty</t>
        </is>
      </c>
      <c r="T52" s="30" t="inlineStr">
        <is>
          <t>Total</t>
        </is>
      </c>
      <c r="V52" s="28" t="inlineStr">
        <is>
          <t>R30</t>
        </is>
      </c>
      <c r="W52" s="29" t="inlineStr">
        <is>
          <t>R90</t>
        </is>
      </c>
      <c r="X52" s="29" t="inlineStr">
        <is>
          <t>Mail</t>
        </is>
      </c>
      <c r="Y52" s="29" t="inlineStr">
        <is>
          <t>Specialty</t>
        </is>
      </c>
      <c r="Z52" s="30" t="inlineStr">
        <is>
          <t>Total</t>
        </is>
      </c>
      <c r="AE52" s="121" t="n">
        <v>4</v>
      </c>
      <c r="AF52" t="inlineStr">
        <is>
          <t>MIGRAINE PRODUCTS</t>
        </is>
      </c>
      <c r="AG52" s="122" t="n">
        <v>7565057.758171883</v>
      </c>
      <c r="AH52" s="56" t="n">
        <v>11889.58138282826</v>
      </c>
    </row>
    <row r="53">
      <c r="B53" s="38" t="inlineStr">
        <is>
          <t>OTCs</t>
        </is>
      </c>
      <c r="D53" s="127" t="n">
        <v>0</v>
      </c>
      <c r="E53" s="128" t="n">
        <v>0</v>
      </c>
      <c r="F53" s="128" t="n">
        <v>0</v>
      </c>
      <c r="G53" s="128" t="n">
        <v>0</v>
      </c>
      <c r="H53" s="129" t="n">
        <v>0</v>
      </c>
      <c r="J53" s="127" t="n">
        <v>0</v>
      </c>
      <c r="K53" s="128" t="n">
        <v>0</v>
      </c>
      <c r="L53" s="128" t="n">
        <v>0</v>
      </c>
      <c r="M53" s="128" t="n">
        <v>0</v>
      </c>
      <c r="N53" s="129" t="n">
        <v>0</v>
      </c>
      <c r="P53" s="127" t="n">
        <v>0</v>
      </c>
      <c r="Q53" s="128" t="n">
        <v>0</v>
      </c>
      <c r="R53" s="128" t="n">
        <v>0</v>
      </c>
      <c r="S53" s="128" t="n">
        <v>0</v>
      </c>
      <c r="T53" s="129" t="n">
        <v>0</v>
      </c>
      <c r="V53" s="127" t="n">
        <v>0</v>
      </c>
      <c r="W53" s="128" t="n">
        <v>0</v>
      </c>
      <c r="X53" s="128" t="n">
        <v>0</v>
      </c>
      <c r="Y53" s="128" t="n">
        <v>0</v>
      </c>
      <c r="Z53" s="129" t="n">
        <v>0</v>
      </c>
      <c r="AE53" s="121" t="n">
        <v>5</v>
      </c>
      <c r="AF53" t="inlineStr">
        <is>
          <t>DIABETES MONITORING AND TESTING SUPPLIES</t>
        </is>
      </c>
      <c r="AG53" s="122" t="n">
        <v>4069379.593436714</v>
      </c>
      <c r="AH53" s="56" t="n">
        <v>23454.66495932156</v>
      </c>
    </row>
    <row r="54">
      <c r="B54" s="49" t="inlineStr">
        <is>
          <t>Devices</t>
        </is>
      </c>
      <c r="D54" s="130" t="n">
        <v>0</v>
      </c>
      <c r="E54" s="131" t="n">
        <v>0</v>
      </c>
      <c r="F54" s="131" t="n">
        <v>0</v>
      </c>
      <c r="G54" s="131" t="n">
        <v>0</v>
      </c>
      <c r="H54" s="132" t="n">
        <v>0</v>
      </c>
      <c r="J54" s="130" t="n">
        <v>0</v>
      </c>
      <c r="K54" s="131" t="n">
        <v>0</v>
      </c>
      <c r="L54" s="131" t="n">
        <v>0</v>
      </c>
      <c r="M54" s="131" t="n">
        <v>0</v>
      </c>
      <c r="N54" s="132" t="n">
        <v>0</v>
      </c>
      <c r="P54" s="130" t="n">
        <v>0</v>
      </c>
      <c r="Q54" s="131" t="n">
        <v>0</v>
      </c>
      <c r="R54" s="131" t="n">
        <v>0</v>
      </c>
      <c r="S54" s="131" t="n">
        <v>0</v>
      </c>
      <c r="T54" s="132" t="n">
        <v>0</v>
      </c>
      <c r="V54" s="130" t="n">
        <v>0</v>
      </c>
      <c r="W54" s="131" t="n">
        <v>0</v>
      </c>
      <c r="X54" s="131" t="n">
        <v>0</v>
      </c>
      <c r="Y54" s="131" t="n">
        <v>0</v>
      </c>
      <c r="Z54" s="132" t="n">
        <v>0</v>
      </c>
      <c r="AE54" s="121" t="n">
        <v>6</v>
      </c>
      <c r="AF54" t="inlineStr">
        <is>
          <t>SGLT-2 INHIBITORS &amp; COMBOS</t>
        </is>
      </c>
      <c r="AG54" s="122" t="n">
        <v>3757546.768692</v>
      </c>
      <c r="AH54" s="56" t="n">
        <v>15397.00541642565</v>
      </c>
    </row>
    <row r="55">
      <c r="B55" s="64" t="inlineStr">
        <is>
          <t>Vaccines</t>
        </is>
      </c>
      <c r="D55" s="130" t="n">
        <v>0</v>
      </c>
      <c r="E55" s="131" t="n">
        <v>0</v>
      </c>
      <c r="F55" s="131" t="n">
        <v>0</v>
      </c>
      <c r="G55" s="131" t="n">
        <v>0</v>
      </c>
      <c r="H55" s="132" t="n">
        <v>0</v>
      </c>
      <c r="J55" s="130" t="n">
        <v>0</v>
      </c>
      <c r="K55" s="131" t="n">
        <v>0</v>
      </c>
      <c r="L55" s="131" t="n">
        <v>0</v>
      </c>
      <c r="M55" s="131" t="n">
        <v>0</v>
      </c>
      <c r="N55" s="132" t="n">
        <v>0</v>
      </c>
      <c r="P55" s="130" t="n">
        <v>0</v>
      </c>
      <c r="Q55" s="131" t="n">
        <v>0</v>
      </c>
      <c r="R55" s="131" t="n">
        <v>0</v>
      </c>
      <c r="S55" s="131" t="n">
        <v>0</v>
      </c>
      <c r="T55" s="132" t="n">
        <v>0</v>
      </c>
      <c r="V55" s="130" t="n">
        <v>0</v>
      </c>
      <c r="W55" s="131" t="n">
        <v>0</v>
      </c>
      <c r="X55" s="131" t="n">
        <v>0</v>
      </c>
      <c r="Y55" s="131" t="n">
        <v>0</v>
      </c>
      <c r="Z55" s="132" t="n">
        <v>0</v>
      </c>
      <c r="AE55" s="121" t="n">
        <v>7</v>
      </c>
      <c r="AF55" t="inlineStr">
        <is>
          <t>LABA LAMA COMBO</t>
        </is>
      </c>
      <c r="AG55" s="122" t="n">
        <v>3197973.61078015</v>
      </c>
      <c r="AH55" s="56" t="n">
        <v>9074.172376879247</v>
      </c>
    </row>
    <row r="56">
      <c r="B56" s="64" t="inlineStr">
        <is>
          <t>Repackaged</t>
        </is>
      </c>
      <c r="D56" s="130" t="n">
        <v>0</v>
      </c>
      <c r="E56" s="131" t="n">
        <v>0</v>
      </c>
      <c r="F56" s="131" t="n">
        <v>0</v>
      </c>
      <c r="G56" s="131" t="n">
        <v>0</v>
      </c>
      <c r="H56" s="132" t="n">
        <v>0</v>
      </c>
      <c r="J56" s="130" t="n">
        <v>0</v>
      </c>
      <c r="K56" s="131" t="n">
        <v>0</v>
      </c>
      <c r="L56" s="131" t="n">
        <v>0</v>
      </c>
      <c r="M56" s="131" t="n">
        <v>0</v>
      </c>
      <c r="N56" s="132" t="n">
        <v>0</v>
      </c>
      <c r="P56" s="130" t="n">
        <v>0</v>
      </c>
      <c r="Q56" s="131" t="n">
        <v>0</v>
      </c>
      <c r="R56" s="131" t="n">
        <v>0</v>
      </c>
      <c r="S56" s="131" t="n">
        <v>0</v>
      </c>
      <c r="T56" s="132" t="n">
        <v>0</v>
      </c>
      <c r="V56" s="130" t="n">
        <v>0</v>
      </c>
      <c r="W56" s="131" t="n">
        <v>0</v>
      </c>
      <c r="X56" s="131" t="n">
        <v>0</v>
      </c>
      <c r="Y56" s="131" t="n">
        <v>0</v>
      </c>
      <c r="Z56" s="132" t="n">
        <v>0</v>
      </c>
      <c r="AE56" s="121" t="n">
        <v>8</v>
      </c>
      <c r="AF56" t="inlineStr">
        <is>
          <t>NARCOLEPSY</t>
        </is>
      </c>
      <c r="AG56" s="122" t="n">
        <v>2395089.70579707</v>
      </c>
      <c r="AH56" s="56" t="n">
        <v>714.9946921332023</v>
      </c>
    </row>
    <row r="57">
      <c r="B57" s="64" t="inlineStr">
        <is>
          <t>MSBs</t>
        </is>
      </c>
      <c r="D57" s="130" t="n">
        <v>0</v>
      </c>
      <c r="E57" s="131" t="n">
        <v>0</v>
      </c>
      <c r="F57" s="131" t="n">
        <v>0</v>
      </c>
      <c r="G57" s="131" t="n">
        <v>0</v>
      </c>
      <c r="H57" s="132" t="n">
        <v>0</v>
      </c>
      <c r="J57" s="130" t="n">
        <v>0</v>
      </c>
      <c r="K57" s="131" t="n">
        <v>0</v>
      </c>
      <c r="L57" s="131" t="n">
        <v>0</v>
      </c>
      <c r="M57" s="131" t="n">
        <v>0</v>
      </c>
      <c r="N57" s="132" t="n">
        <v>0</v>
      </c>
      <c r="P57" s="130" t="n">
        <v>0</v>
      </c>
      <c r="Q57" s="131" t="n">
        <v>0</v>
      </c>
      <c r="R57" s="131" t="n">
        <v>0</v>
      </c>
      <c r="S57" s="131" t="n">
        <v>0</v>
      </c>
      <c r="T57" s="132" t="n">
        <v>0</v>
      </c>
      <c r="V57" s="130" t="n">
        <v>0</v>
      </c>
      <c r="W57" s="131" t="n">
        <v>0</v>
      </c>
      <c r="X57" s="131" t="n">
        <v>0</v>
      </c>
      <c r="Y57" s="131" t="n">
        <v>0</v>
      </c>
      <c r="Z57" s="132" t="n">
        <v>0</v>
      </c>
      <c r="AE57" s="121" t="n">
        <v>9</v>
      </c>
      <c r="AF57" t="inlineStr">
        <is>
          <t>INSULIN ADMINISTRATION SUPPLIES</t>
        </is>
      </c>
      <c r="AG57" s="122" t="n">
        <v>1692811.574705483</v>
      </c>
      <c r="AH57" s="56" t="n">
        <v>6395.623203200001</v>
      </c>
    </row>
    <row r="58">
      <c r="B58" s="64" t="inlineStr">
        <is>
          <t>Non FDA Approved</t>
        </is>
      </c>
      <c r="D58" s="130" t="n">
        <v>0</v>
      </c>
      <c r="E58" s="131" t="n">
        <v>0</v>
      </c>
      <c r="F58" s="131" t="n">
        <v>0</v>
      </c>
      <c r="G58" s="131" t="n">
        <v>0</v>
      </c>
      <c r="H58" s="132" t="n">
        <v>0</v>
      </c>
      <c r="J58" s="130" t="n">
        <v>0</v>
      </c>
      <c r="K58" s="131" t="n">
        <v>0</v>
      </c>
      <c r="L58" s="131" t="n">
        <v>0</v>
      </c>
      <c r="M58" s="131" t="n">
        <v>0</v>
      </c>
      <c r="N58" s="132" t="n">
        <v>0</v>
      </c>
      <c r="P58" s="130" t="n">
        <v>0</v>
      </c>
      <c r="Q58" s="131" t="n">
        <v>0</v>
      </c>
      <c r="R58" s="131" t="n">
        <v>0</v>
      </c>
      <c r="S58" s="131" t="n">
        <v>0</v>
      </c>
      <c r="T58" s="132" t="n">
        <v>0</v>
      </c>
      <c r="V58" s="130" t="n">
        <v>0</v>
      </c>
      <c r="W58" s="131" t="n">
        <v>0</v>
      </c>
      <c r="X58" s="131" t="n">
        <v>0</v>
      </c>
      <c r="Y58" s="131" t="n">
        <v>0</v>
      </c>
      <c r="Z58" s="132" t="n">
        <v>0</v>
      </c>
      <c r="AE58" s="121" t="n">
        <v>10</v>
      </c>
      <c r="AF58" t="inlineStr">
        <is>
          <t>ASTHMA</t>
        </is>
      </c>
      <c r="AG58" s="122" t="n">
        <v>1464953.969406672</v>
      </c>
      <c r="AH58" s="56" t="n">
        <v>1526.26578714816</v>
      </c>
    </row>
    <row r="59">
      <c r="B59" s="64" t="inlineStr">
        <is>
          <t>LDD</t>
        </is>
      </c>
      <c r="D59" s="130" t="n">
        <v>0</v>
      </c>
      <c r="E59" s="131" t="n">
        <v>0</v>
      </c>
      <c r="F59" s="131" t="n">
        <v>0</v>
      </c>
      <c r="G59" s="131" t="n">
        <v>0</v>
      </c>
      <c r="H59" s="132" t="n">
        <v>0</v>
      </c>
      <c r="J59" s="130" t="n">
        <v>0</v>
      </c>
      <c r="K59" s="131" t="n">
        <v>0</v>
      </c>
      <c r="L59" s="131" t="n">
        <v>0</v>
      </c>
      <c r="M59" s="131" t="n">
        <v>0</v>
      </c>
      <c r="N59" s="132" t="n">
        <v>0</v>
      </c>
      <c r="P59" s="130" t="n">
        <v>0</v>
      </c>
      <c r="Q59" s="131" t="n">
        <v>0</v>
      </c>
      <c r="R59" s="131" t="n">
        <v>0</v>
      </c>
      <c r="S59" s="131" t="n">
        <v>0</v>
      </c>
      <c r="T59" s="132" t="n">
        <v>0</v>
      </c>
      <c r="V59" s="130" t="n">
        <v>0</v>
      </c>
      <c r="W59" s="131" t="n">
        <v>0</v>
      </c>
      <c r="X59" s="131" t="n">
        <v>0</v>
      </c>
      <c r="Y59" s="131" t="n">
        <v>0</v>
      </c>
      <c r="Z59" s="132" t="n">
        <v>0</v>
      </c>
      <c r="AE59" s="121" t="n">
        <v>11</v>
      </c>
      <c r="AF59" t="inlineStr">
        <is>
          <t>GROWTH HORMONES</t>
        </is>
      </c>
      <c r="AG59" s="122" t="n">
        <v>1379543.259210915</v>
      </c>
      <c r="AH59" s="56" t="n">
        <v>420.2046113878201</v>
      </c>
    </row>
    <row r="60">
      <c r="B60" s="64" t="inlineStr">
        <is>
          <t>Institutional NDCs</t>
        </is>
      </c>
      <c r="D60" s="130" t="n">
        <v>0</v>
      </c>
      <c r="E60" s="131" t="n">
        <v>0</v>
      </c>
      <c r="F60" s="131" t="n">
        <v>0</v>
      </c>
      <c r="G60" s="131" t="n">
        <v>0</v>
      </c>
      <c r="H60" s="132" t="n">
        <v>0</v>
      </c>
      <c r="J60" s="130" t="n">
        <v>0</v>
      </c>
      <c r="K60" s="131" t="n">
        <v>0</v>
      </c>
      <c r="L60" s="131" t="n">
        <v>0</v>
      </c>
      <c r="M60" s="131" t="n">
        <v>0</v>
      </c>
      <c r="N60" s="132" t="n">
        <v>0</v>
      </c>
      <c r="P60" s="130" t="n">
        <v>0</v>
      </c>
      <c r="Q60" s="131" t="n">
        <v>0</v>
      </c>
      <c r="R60" s="131" t="n">
        <v>0</v>
      </c>
      <c r="S60" s="131" t="n">
        <v>0</v>
      </c>
      <c r="T60" s="132" t="n">
        <v>0</v>
      </c>
      <c r="V60" s="130" t="n">
        <v>0</v>
      </c>
      <c r="W60" s="131" t="n">
        <v>0</v>
      </c>
      <c r="X60" s="131" t="n">
        <v>0</v>
      </c>
      <c r="Y60" s="131" t="n">
        <v>0</v>
      </c>
      <c r="Z60" s="132" t="n">
        <v>0</v>
      </c>
      <c r="AE60" s="121" t="n">
        <v>12</v>
      </c>
      <c r="AF60" t="inlineStr">
        <is>
          <t>PCSK9 INHIBITORS</t>
        </is>
      </c>
      <c r="AG60" s="122" t="n">
        <v>1239296.095222451</v>
      </c>
      <c r="AH60" s="56" t="n">
        <v>3677.498421479999</v>
      </c>
    </row>
    <row r="61">
      <c r="B61" s="64" t="inlineStr">
        <is>
          <t>Formulary Exclusions</t>
        </is>
      </c>
      <c r="D61" s="130" t="n">
        <v>0</v>
      </c>
      <c r="E61" s="131" t="n">
        <v>0</v>
      </c>
      <c r="F61" s="131" t="n">
        <v>0</v>
      </c>
      <c r="G61" s="131" t="n">
        <v>0</v>
      </c>
      <c r="H61" s="132" t="n">
        <v>0</v>
      </c>
      <c r="J61" s="130" t="n">
        <v>0</v>
      </c>
      <c r="K61" s="131" t="n">
        <v>0</v>
      </c>
      <c r="L61" s="131" t="n">
        <v>0</v>
      </c>
      <c r="M61" s="131" t="n">
        <v>0</v>
      </c>
      <c r="N61" s="132" t="n">
        <v>0</v>
      </c>
      <c r="P61" s="130" t="n">
        <v>0</v>
      </c>
      <c r="Q61" s="131" t="n">
        <v>0</v>
      </c>
      <c r="R61" s="131" t="n">
        <v>0</v>
      </c>
      <c r="S61" s="131" t="n">
        <v>0</v>
      </c>
      <c r="T61" s="132" t="n">
        <v>0</v>
      </c>
      <c r="V61" s="130" t="n">
        <v>0</v>
      </c>
      <c r="W61" s="131" t="n">
        <v>0</v>
      </c>
      <c r="X61" s="131" t="n">
        <v>0</v>
      </c>
      <c r="Y61" s="131" t="n">
        <v>0</v>
      </c>
      <c r="Z61" s="132" t="n">
        <v>0</v>
      </c>
      <c r="AE61" s="121" t="n">
        <v>13</v>
      </c>
      <c r="AF61" t="inlineStr">
        <is>
          <t>MS</t>
        </is>
      </c>
      <c r="AG61" s="122" t="n">
        <v>1087601.431510492</v>
      </c>
      <c r="AH61" s="56" t="n">
        <v>340.076453072452</v>
      </c>
    </row>
    <row r="62">
      <c r="B62" s="64" t="inlineStr">
        <is>
          <t>Synthroid</t>
        </is>
      </c>
      <c r="D62" s="130" t="n">
        <v>0</v>
      </c>
      <c r="E62" s="131" t="n">
        <v>0</v>
      </c>
      <c r="F62" s="131" t="n">
        <v>0</v>
      </c>
      <c r="G62" s="131" t="n">
        <v>0</v>
      </c>
      <c r="H62" s="132" t="n">
        <v>0</v>
      </c>
      <c r="J62" s="130" t="n">
        <v>0</v>
      </c>
      <c r="K62" s="131" t="n">
        <v>0</v>
      </c>
      <c r="L62" s="131" t="n">
        <v>0</v>
      </c>
      <c r="M62" s="131" t="n">
        <v>0</v>
      </c>
      <c r="N62" s="132" t="n">
        <v>0</v>
      </c>
      <c r="P62" s="130" t="n">
        <v>0</v>
      </c>
      <c r="Q62" s="131" t="n">
        <v>0</v>
      </c>
      <c r="R62" s="131" t="n">
        <v>0</v>
      </c>
      <c r="S62" s="131" t="n">
        <v>0</v>
      </c>
      <c r="T62" s="132" t="n">
        <v>0</v>
      </c>
      <c r="V62" s="130" t="n">
        <v>0</v>
      </c>
      <c r="W62" s="131" t="n">
        <v>0</v>
      </c>
      <c r="X62" s="131" t="n">
        <v>0</v>
      </c>
      <c r="Y62" s="131" t="n">
        <v>0</v>
      </c>
      <c r="Z62" s="132" t="n">
        <v>0</v>
      </c>
      <c r="AE62" s="121" t="n">
        <v>14</v>
      </c>
      <c r="AF62" t="inlineStr">
        <is>
          <t>ONCOLOGY</t>
        </is>
      </c>
      <c r="AG62" s="122" t="n">
        <v>1015352.460948401</v>
      </c>
      <c r="AH62" s="56" t="n">
        <v>1331.685307452391</v>
      </c>
    </row>
    <row r="63">
      <c r="B63" s="64" t="inlineStr">
        <is>
          <t>Misc</t>
        </is>
      </c>
      <c r="D63" s="130" t="n">
        <v>0</v>
      </c>
      <c r="E63" s="131" t="n">
        <v>0</v>
      </c>
      <c r="F63" s="131" t="n">
        <v>0</v>
      </c>
      <c r="G63" s="131" t="n">
        <v>0</v>
      </c>
      <c r="H63" s="132" t="n">
        <v>0</v>
      </c>
      <c r="J63" s="130" t="n">
        <v>1964.875071784408</v>
      </c>
      <c r="K63" s="131" t="n">
        <v>347.8756485030455</v>
      </c>
      <c r="L63" s="131" t="n">
        <v>130.6682137649017</v>
      </c>
      <c r="M63" s="131" t="n">
        <v>663.9327169755762</v>
      </c>
      <c r="N63" s="132" t="n">
        <v>3107.351651027931</v>
      </c>
      <c r="P63" s="130" t="n">
        <v>2163.155319482375</v>
      </c>
      <c r="Q63" s="131" t="n">
        <v>372.0859813343213</v>
      </c>
      <c r="R63" s="131" t="n">
        <v>143.0165673943964</v>
      </c>
      <c r="S63" s="131" t="n">
        <v>753.6182474419381</v>
      </c>
      <c r="T63" s="132" t="n">
        <v>3431.876115653031</v>
      </c>
      <c r="V63" s="130" t="n">
        <v>2378.866087308556</v>
      </c>
      <c r="W63" s="131" t="n">
        <v>407.7078036315903</v>
      </c>
      <c r="X63" s="131" t="n">
        <v>157.7761316534636</v>
      </c>
      <c r="Y63" s="131" t="n">
        <v>854.1693686244977</v>
      </c>
      <c r="Z63" s="132" t="n">
        <v>3798.519391218107</v>
      </c>
      <c r="AE63" s="121" t="n">
        <v>15</v>
      </c>
      <c r="AF63" t="inlineStr">
        <is>
          <t>ATYPICAL ANTIPSYCHOTICS</t>
        </is>
      </c>
      <c r="AG63" s="122" t="n">
        <v>962458.7187318605</v>
      </c>
      <c r="AH63" s="56" t="n">
        <v>2947.497985345487</v>
      </c>
    </row>
    <row r="64">
      <c r="B64" s="64" t="inlineStr">
        <is>
          <t>Specialty</t>
        </is>
      </c>
      <c r="D64" s="133" t="n">
        <v>0</v>
      </c>
      <c r="E64" s="134" t="n">
        <v>0</v>
      </c>
      <c r="F64" s="134" t="n">
        <v>0</v>
      </c>
      <c r="G64" s="134" t="n">
        <v>0</v>
      </c>
      <c r="H64" s="135" t="n">
        <v>0</v>
      </c>
      <c r="J64" s="133" t="n">
        <v>0</v>
      </c>
      <c r="K64" s="134" t="n">
        <v>0</v>
      </c>
      <c r="L64" s="134" t="n">
        <v>0</v>
      </c>
      <c r="M64" s="134" t="n">
        <v>0</v>
      </c>
      <c r="N64" s="135" t="n">
        <v>0</v>
      </c>
      <c r="P64" s="133" t="n">
        <v>0</v>
      </c>
      <c r="Q64" s="134" t="n">
        <v>0</v>
      </c>
      <c r="R64" s="134" t="n">
        <v>0</v>
      </c>
      <c r="S64" s="134" t="n">
        <v>0</v>
      </c>
      <c r="T64" s="135" t="n">
        <v>0</v>
      </c>
      <c r="V64" s="133" t="n">
        <v>0</v>
      </c>
      <c r="W64" s="134" t="n">
        <v>0</v>
      </c>
      <c r="X64" s="134" t="n">
        <v>0</v>
      </c>
      <c r="Y64" s="134" t="n">
        <v>0</v>
      </c>
      <c r="Z64" s="135" t="n">
        <v>0</v>
      </c>
      <c r="AE64" s="121" t="n">
        <v>16</v>
      </c>
      <c r="AF64" t="inlineStr">
        <is>
          <t>BASAL INSULIN</t>
        </is>
      </c>
      <c r="AG64" s="122" t="n">
        <v>848636.8204313753</v>
      </c>
      <c r="AH64" s="56" t="n">
        <v>5010.38405876256</v>
      </c>
    </row>
    <row r="65">
      <c r="A65" s="98" t="inlineStr">
        <is>
          <t>Added MFP row but needs adjusting for non-CY(Should just need adjustment in Exclusion Summary)</t>
        </is>
      </c>
      <c r="B65" s="64" t="inlineStr">
        <is>
          <t>MFP</t>
        </is>
      </c>
      <c r="D65" s="133" t="n">
        <v>0</v>
      </c>
      <c r="E65" s="134" t="n">
        <v>0</v>
      </c>
      <c r="F65" s="134" t="n">
        <v>0</v>
      </c>
      <c r="G65" s="134" t="n">
        <v>0</v>
      </c>
      <c r="H65" s="135" t="n">
        <v>0</v>
      </c>
      <c r="J65" s="133" t="n">
        <v>0</v>
      </c>
      <c r="K65" s="134" t="n">
        <v>0</v>
      </c>
      <c r="L65" s="134" t="n">
        <v>0</v>
      </c>
      <c r="M65" s="134" t="n">
        <v>0</v>
      </c>
      <c r="N65" s="135" t="n">
        <v>0</v>
      </c>
      <c r="P65" s="133" t="n">
        <v>0</v>
      </c>
      <c r="Q65" s="134" t="n">
        <v>0</v>
      </c>
      <c r="R65" s="134" t="n">
        <v>0</v>
      </c>
      <c r="S65" s="134" t="n">
        <v>0</v>
      </c>
      <c r="T65" s="135" t="n">
        <v>0</v>
      </c>
      <c r="V65" s="133" t="n">
        <v>0</v>
      </c>
      <c r="W65" s="134" t="n">
        <v>0</v>
      </c>
      <c r="X65" s="134" t="n">
        <v>0</v>
      </c>
      <c r="Y65" s="134" t="n">
        <v>0</v>
      </c>
      <c r="Z65" s="135" t="n">
        <v>0</v>
      </c>
      <c r="AE65" s="121" t="n">
        <v>17</v>
      </c>
      <c r="AF65" t="inlineStr">
        <is>
          <t>RAPID ACTING</t>
        </is>
      </c>
      <c r="AG65" s="122" t="n">
        <v>707007.4124032578</v>
      </c>
      <c r="AH65" s="56" t="n">
        <v>2531.64330762066</v>
      </c>
    </row>
    <row r="66">
      <c r="A66" s="99" t="n"/>
      <c r="B66" s="100" t="inlineStr">
        <is>
          <t>ENTER DESC</t>
        </is>
      </c>
      <c r="D66" s="133" t="n">
        <v>0</v>
      </c>
      <c r="E66" s="134" t="n">
        <v>0</v>
      </c>
      <c r="F66" s="134" t="n">
        <v>0</v>
      </c>
      <c r="G66" s="134" t="n">
        <v>0</v>
      </c>
      <c r="H66" s="135" t="n">
        <v>0</v>
      </c>
      <c r="J66" s="133" t="n">
        <v>0</v>
      </c>
      <c r="K66" s="134" t="n">
        <v>0</v>
      </c>
      <c r="L66" s="134" t="n">
        <v>0</v>
      </c>
      <c r="M66" s="134" t="n">
        <v>0</v>
      </c>
      <c r="N66" s="135" t="n">
        <v>0</v>
      </c>
      <c r="P66" s="133" t="n">
        <v>0</v>
      </c>
      <c r="Q66" s="134" t="n">
        <v>0</v>
      </c>
      <c r="R66" s="134" t="n">
        <v>0</v>
      </c>
      <c r="S66" s="134" t="n">
        <v>0</v>
      </c>
      <c r="T66" s="135" t="n">
        <v>0</v>
      </c>
      <c r="V66" s="133" t="n">
        <v>0</v>
      </c>
      <c r="W66" s="134" t="n">
        <v>0</v>
      </c>
      <c r="X66" s="134" t="n">
        <v>0</v>
      </c>
      <c r="Y66" s="134" t="n">
        <v>0</v>
      </c>
      <c r="Z66" s="135" t="n">
        <v>0</v>
      </c>
      <c r="AE66" s="121" t="n">
        <v>18</v>
      </c>
      <c r="AF66" t="inlineStr">
        <is>
          <t>DIGESTIVE ENZYMES</t>
        </is>
      </c>
      <c r="AG66" s="122" t="n">
        <v>629593.6760628172</v>
      </c>
      <c r="AH66" s="56" t="n">
        <v>537.67613711196</v>
      </c>
    </row>
    <row r="67" ht="15" customHeight="1" thickBot="1">
      <c r="B67" s="59" t="inlineStr">
        <is>
          <t>Non-Rebatable</t>
        </is>
      </c>
      <c r="D67" s="136" t="n">
        <v>0</v>
      </c>
      <c r="E67" s="137" t="n">
        <v>0</v>
      </c>
      <c r="F67" s="137" t="n">
        <v>0</v>
      </c>
      <c r="G67" s="137" t="n">
        <v>0</v>
      </c>
      <c r="H67" s="138" t="n">
        <v>0</v>
      </c>
      <c r="J67" s="139" t="n">
        <v>0</v>
      </c>
      <c r="K67" s="140" t="n">
        <v>0</v>
      </c>
      <c r="L67" s="140" t="n">
        <v>0</v>
      </c>
      <c r="M67" s="140" t="n">
        <v>0</v>
      </c>
      <c r="N67" s="141" t="n">
        <v>0</v>
      </c>
      <c r="P67" s="139" t="n">
        <v>0</v>
      </c>
      <c r="Q67" s="140" t="n">
        <v>0</v>
      </c>
      <c r="R67" s="140" t="n">
        <v>0</v>
      </c>
      <c r="S67" s="140" t="n">
        <v>0</v>
      </c>
      <c r="T67" s="141" t="n">
        <v>0</v>
      </c>
      <c r="V67" s="139" t="n">
        <v>0</v>
      </c>
      <c r="W67" s="140" t="n">
        <v>0</v>
      </c>
      <c r="X67" s="140" t="n">
        <v>0</v>
      </c>
      <c r="Y67" s="140" t="n">
        <v>0</v>
      </c>
      <c r="Z67" s="141" t="n">
        <v>0</v>
      </c>
      <c r="AE67" s="121" t="n">
        <v>19</v>
      </c>
      <c r="AF67" t="inlineStr">
        <is>
          <t>ADHD &amp; NARCOLEPSY MEDICATIONS</t>
        </is>
      </c>
      <c r="AG67" s="122" t="n">
        <v>364919.8012419043</v>
      </c>
      <c r="AH67" s="56" t="n">
        <v>3573.328306204676</v>
      </c>
    </row>
    <row r="68" ht="15.6" customHeight="1" thickBot="1" thickTop="1">
      <c r="B68" s="69" t="inlineStr">
        <is>
          <t>Total</t>
        </is>
      </c>
      <c r="D68" s="142" t="n">
        <v>0</v>
      </c>
      <c r="E68" s="143" t="n">
        <v>0</v>
      </c>
      <c r="F68" s="143" t="n">
        <v>0</v>
      </c>
      <c r="G68" s="143" t="n">
        <v>0</v>
      </c>
      <c r="H68" s="144" t="n">
        <v>0</v>
      </c>
      <c r="J68" s="142" t="n">
        <v>1964.875071784408</v>
      </c>
      <c r="K68" s="143" t="n">
        <v>347.8756485030455</v>
      </c>
      <c r="L68" s="143" t="n">
        <v>130.6682137649017</v>
      </c>
      <c r="M68" s="143" t="n">
        <v>663.9327169755762</v>
      </c>
      <c r="N68" s="144" t="n">
        <v>3107.351651027931</v>
      </c>
      <c r="P68" s="142" t="n">
        <v>2163.155319482375</v>
      </c>
      <c r="Q68" s="143" t="n">
        <v>372.0859813343213</v>
      </c>
      <c r="R68" s="143" t="n">
        <v>143.0165673943964</v>
      </c>
      <c r="S68" s="143" t="n">
        <v>753.6182474419381</v>
      </c>
      <c r="T68" s="144" t="n">
        <v>3431.876115653031</v>
      </c>
      <c r="V68" s="142" t="n">
        <v>2378.866087308556</v>
      </c>
      <c r="W68" s="143" t="n">
        <v>407.7078036315903</v>
      </c>
      <c r="X68" s="143" t="n">
        <v>157.7761316534636</v>
      </c>
      <c r="Y68" s="143" t="n">
        <v>854.1693686244977</v>
      </c>
      <c r="Z68" s="144" t="n">
        <v>3798.519391218107</v>
      </c>
      <c r="AE68" s="124" t="n">
        <v>20</v>
      </c>
      <c r="AF68" s="82" t="inlineStr">
        <is>
          <t>ANTIPSORIATICS - TOPICAL</t>
        </is>
      </c>
      <c r="AG68" s="125" t="n">
        <v>326068.133345612</v>
      </c>
      <c r="AH68" s="84" t="n">
        <v>387.2343648800002</v>
      </c>
    </row>
    <row r="69" ht="15" customHeight="1" thickBot="1">
      <c r="D69" s="145" t="n"/>
      <c r="E69" s="145" t="n"/>
      <c r="F69" s="145" t="n"/>
      <c r="G69" s="145" t="n"/>
      <c r="H69" s="145" t="n"/>
      <c r="J69" s="145" t="n"/>
      <c r="K69" s="145" t="n"/>
      <c r="L69" s="145" t="n"/>
      <c r="M69" s="145" t="n"/>
      <c r="N69" s="145" t="n"/>
      <c r="P69" s="145" t="n"/>
      <c r="Q69" s="145" t="n"/>
      <c r="R69" s="145" t="n"/>
      <c r="S69" s="145" t="n"/>
      <c r="T69" s="145" t="n"/>
      <c r="V69" s="145" t="n"/>
      <c r="W69" s="145" t="n"/>
      <c r="X69" s="145" t="n"/>
      <c r="Y69" s="145" t="n"/>
      <c r="Z69" s="145" t="n"/>
    </row>
    <row r="70" ht="15" customHeight="1" thickBot="1">
      <c r="B70" s="27" t="inlineStr">
        <is>
          <t>Excl - Generic</t>
        </is>
      </c>
      <c r="D70" s="28" t="inlineStr">
        <is>
          <t>R30</t>
        </is>
      </c>
      <c r="E70" s="29" t="inlineStr">
        <is>
          <t>R90</t>
        </is>
      </c>
      <c r="F70" s="29" t="inlineStr">
        <is>
          <t>Mail</t>
        </is>
      </c>
      <c r="G70" s="29" t="inlineStr">
        <is>
          <t>Specialty</t>
        </is>
      </c>
      <c r="H70" s="30" t="inlineStr">
        <is>
          <t>Total</t>
        </is>
      </c>
      <c r="J70" s="28" t="inlineStr">
        <is>
          <t>R30</t>
        </is>
      </c>
      <c r="K70" s="29" t="inlineStr">
        <is>
          <t>R90</t>
        </is>
      </c>
      <c r="L70" s="29" t="inlineStr">
        <is>
          <t>Mail</t>
        </is>
      </c>
      <c r="M70" s="29" t="inlineStr">
        <is>
          <t>Specialty</t>
        </is>
      </c>
      <c r="N70" s="30" t="inlineStr">
        <is>
          <t>Total</t>
        </is>
      </c>
      <c r="P70" s="28" t="inlineStr">
        <is>
          <t>R30</t>
        </is>
      </c>
      <c r="Q70" s="29" t="inlineStr">
        <is>
          <t>R90</t>
        </is>
      </c>
      <c r="R70" s="29" t="inlineStr">
        <is>
          <t>Mail</t>
        </is>
      </c>
      <c r="S70" s="29" t="inlineStr">
        <is>
          <t>Specialty</t>
        </is>
      </c>
      <c r="T70" s="30" t="inlineStr">
        <is>
          <t>Total</t>
        </is>
      </c>
      <c r="V70" s="28" t="inlineStr">
        <is>
          <t>R30</t>
        </is>
      </c>
      <c r="W70" s="29" t="inlineStr">
        <is>
          <t>R90</t>
        </is>
      </c>
      <c r="X70" s="29" t="inlineStr">
        <is>
          <t>Mail</t>
        </is>
      </c>
      <c r="Y70" s="29" t="inlineStr">
        <is>
          <t>Specialty</t>
        </is>
      </c>
      <c r="Z70" s="30" t="inlineStr">
        <is>
          <t>Total</t>
        </is>
      </c>
    </row>
    <row r="71">
      <c r="B71" s="38" t="inlineStr">
        <is>
          <t>OTCs</t>
        </is>
      </c>
      <c r="D71" s="127" t="n">
        <v>0</v>
      </c>
      <c r="E71" s="128" t="n">
        <v>0</v>
      </c>
      <c r="F71" s="128" t="n">
        <v>0</v>
      </c>
      <c r="G71" s="128" t="n">
        <v>0</v>
      </c>
      <c r="H71" s="129" t="n">
        <v>0</v>
      </c>
      <c r="J71" s="127" t="n">
        <v>0</v>
      </c>
      <c r="K71" s="128" t="n">
        <v>0</v>
      </c>
      <c r="L71" s="128" t="n">
        <v>0</v>
      </c>
      <c r="M71" s="128" t="n">
        <v>0</v>
      </c>
      <c r="N71" s="129" t="n">
        <v>0</v>
      </c>
      <c r="P71" s="127" t="n">
        <v>0</v>
      </c>
      <c r="Q71" s="128" t="n">
        <v>0</v>
      </c>
      <c r="R71" s="128" t="n">
        <v>0</v>
      </c>
      <c r="S71" s="128" t="n">
        <v>0</v>
      </c>
      <c r="T71" s="129" t="n">
        <v>0</v>
      </c>
      <c r="V71" s="127" t="n">
        <v>0</v>
      </c>
      <c r="W71" s="128" t="n">
        <v>0</v>
      </c>
      <c r="X71" s="128" t="n">
        <v>0</v>
      </c>
      <c r="Y71" s="128" t="n">
        <v>0</v>
      </c>
      <c r="Z71" s="129" t="n">
        <v>0</v>
      </c>
    </row>
    <row r="72">
      <c r="B72" s="49" t="inlineStr">
        <is>
          <t>Devices</t>
        </is>
      </c>
      <c r="D72" s="130" t="n">
        <v>0</v>
      </c>
      <c r="E72" s="131" t="n">
        <v>0</v>
      </c>
      <c r="F72" s="131" t="n">
        <v>0</v>
      </c>
      <c r="G72" s="131" t="n">
        <v>0</v>
      </c>
      <c r="H72" s="132" t="n">
        <v>0</v>
      </c>
      <c r="J72" s="130" t="n">
        <v>0</v>
      </c>
      <c r="K72" s="131" t="n">
        <v>0</v>
      </c>
      <c r="L72" s="131" t="n">
        <v>0</v>
      </c>
      <c r="M72" s="131" t="n">
        <v>0</v>
      </c>
      <c r="N72" s="132" t="n">
        <v>0</v>
      </c>
      <c r="P72" s="130" t="n">
        <v>0</v>
      </c>
      <c r="Q72" s="131" t="n">
        <v>0</v>
      </c>
      <c r="R72" s="131" t="n">
        <v>0</v>
      </c>
      <c r="S72" s="131" t="n">
        <v>0</v>
      </c>
      <c r="T72" s="132" t="n">
        <v>0</v>
      </c>
      <c r="V72" s="130" t="n">
        <v>0</v>
      </c>
      <c r="W72" s="131" t="n">
        <v>0</v>
      </c>
      <c r="X72" s="131" t="n">
        <v>0</v>
      </c>
      <c r="Y72" s="131" t="n">
        <v>0</v>
      </c>
      <c r="Z72" s="132" t="n">
        <v>0</v>
      </c>
    </row>
    <row r="73">
      <c r="B73" s="64" t="inlineStr">
        <is>
          <t>Vaccines</t>
        </is>
      </c>
      <c r="D73" s="130" t="n">
        <v>0</v>
      </c>
      <c r="E73" s="131" t="n">
        <v>0</v>
      </c>
      <c r="F73" s="131" t="n">
        <v>0</v>
      </c>
      <c r="G73" s="131" t="n">
        <v>0</v>
      </c>
      <c r="H73" s="132" t="n">
        <v>0</v>
      </c>
      <c r="J73" s="130" t="n">
        <v>0</v>
      </c>
      <c r="K73" s="131" t="n">
        <v>0</v>
      </c>
      <c r="L73" s="131" t="n">
        <v>0</v>
      </c>
      <c r="M73" s="131" t="n">
        <v>0</v>
      </c>
      <c r="N73" s="132" t="n">
        <v>0</v>
      </c>
      <c r="P73" s="130" t="n">
        <v>0</v>
      </c>
      <c r="Q73" s="131" t="n">
        <v>0</v>
      </c>
      <c r="R73" s="131" t="n">
        <v>0</v>
      </c>
      <c r="S73" s="131" t="n">
        <v>0</v>
      </c>
      <c r="T73" s="132" t="n">
        <v>0</v>
      </c>
      <c r="V73" s="130" t="n">
        <v>0</v>
      </c>
      <c r="W73" s="131" t="n">
        <v>0</v>
      </c>
      <c r="X73" s="131" t="n">
        <v>0</v>
      </c>
      <c r="Y73" s="131" t="n">
        <v>0</v>
      </c>
      <c r="Z73" s="132" t="n">
        <v>0</v>
      </c>
    </row>
    <row r="74">
      <c r="B74" s="64" t="inlineStr">
        <is>
          <t>Repackaged</t>
        </is>
      </c>
      <c r="D74" s="130" t="n">
        <v>0</v>
      </c>
      <c r="E74" s="131" t="n">
        <v>0</v>
      </c>
      <c r="F74" s="131" t="n">
        <v>0</v>
      </c>
      <c r="G74" s="131" t="n">
        <v>0</v>
      </c>
      <c r="H74" s="132" t="n">
        <v>0</v>
      </c>
      <c r="J74" s="130" t="n">
        <v>0</v>
      </c>
      <c r="K74" s="131" t="n">
        <v>0</v>
      </c>
      <c r="L74" s="131" t="n">
        <v>0</v>
      </c>
      <c r="M74" s="131" t="n">
        <v>0</v>
      </c>
      <c r="N74" s="132" t="n">
        <v>0</v>
      </c>
      <c r="P74" s="130" t="n">
        <v>0</v>
      </c>
      <c r="Q74" s="131" t="n">
        <v>0</v>
      </c>
      <c r="R74" s="131" t="n">
        <v>0</v>
      </c>
      <c r="S74" s="131" t="n">
        <v>0</v>
      </c>
      <c r="T74" s="132" t="n">
        <v>0</v>
      </c>
      <c r="V74" s="130" t="n">
        <v>0</v>
      </c>
      <c r="W74" s="131" t="n">
        <v>0</v>
      </c>
      <c r="X74" s="131" t="n">
        <v>0</v>
      </c>
      <c r="Y74" s="131" t="n">
        <v>0</v>
      </c>
      <c r="Z74" s="132" t="n">
        <v>0</v>
      </c>
    </row>
    <row r="75">
      <c r="B75" s="64" t="inlineStr">
        <is>
          <t>MSBs</t>
        </is>
      </c>
      <c r="D75" s="130" t="n">
        <v>0</v>
      </c>
      <c r="E75" s="131" t="n">
        <v>0</v>
      </c>
      <c r="F75" s="131" t="n">
        <v>0</v>
      </c>
      <c r="G75" s="131" t="n">
        <v>0</v>
      </c>
      <c r="H75" s="132" t="n">
        <v>0</v>
      </c>
      <c r="J75" s="130" t="n">
        <v>0</v>
      </c>
      <c r="K75" s="131" t="n">
        <v>0</v>
      </c>
      <c r="L75" s="131" t="n">
        <v>0</v>
      </c>
      <c r="M75" s="131" t="n">
        <v>0</v>
      </c>
      <c r="N75" s="132" t="n">
        <v>0</v>
      </c>
      <c r="P75" s="130" t="n">
        <v>0</v>
      </c>
      <c r="Q75" s="131" t="n">
        <v>0</v>
      </c>
      <c r="R75" s="131" t="n">
        <v>0</v>
      </c>
      <c r="S75" s="131" t="n">
        <v>0</v>
      </c>
      <c r="T75" s="132" t="n">
        <v>0</v>
      </c>
      <c r="V75" s="130" t="n">
        <v>0</v>
      </c>
      <c r="W75" s="131" t="n">
        <v>0</v>
      </c>
      <c r="X75" s="131" t="n">
        <v>0</v>
      </c>
      <c r="Y75" s="131" t="n">
        <v>0</v>
      </c>
      <c r="Z75" s="132" t="n">
        <v>0</v>
      </c>
    </row>
    <row r="76">
      <c r="B76" s="64" t="inlineStr">
        <is>
          <t>Non FDA Approved</t>
        </is>
      </c>
      <c r="D76" s="130" t="n">
        <v>0</v>
      </c>
      <c r="E76" s="131" t="n">
        <v>0</v>
      </c>
      <c r="F76" s="131" t="n">
        <v>0</v>
      </c>
      <c r="G76" s="131" t="n">
        <v>0</v>
      </c>
      <c r="H76" s="132" t="n">
        <v>0</v>
      </c>
      <c r="J76" s="130" t="n">
        <v>0</v>
      </c>
      <c r="K76" s="131" t="n">
        <v>0</v>
      </c>
      <c r="L76" s="131" t="n">
        <v>0</v>
      </c>
      <c r="M76" s="131" t="n">
        <v>0</v>
      </c>
      <c r="N76" s="132" t="n">
        <v>0</v>
      </c>
      <c r="P76" s="130" t="n">
        <v>0</v>
      </c>
      <c r="Q76" s="131" t="n">
        <v>0</v>
      </c>
      <c r="R76" s="131" t="n">
        <v>0</v>
      </c>
      <c r="S76" s="131" t="n">
        <v>0</v>
      </c>
      <c r="T76" s="132" t="n">
        <v>0</v>
      </c>
      <c r="V76" s="130" t="n">
        <v>0</v>
      </c>
      <c r="W76" s="131" t="n">
        <v>0</v>
      </c>
      <c r="X76" s="131" t="n">
        <v>0</v>
      </c>
      <c r="Y76" s="131" t="n">
        <v>0</v>
      </c>
      <c r="Z76" s="132" t="n">
        <v>0</v>
      </c>
    </row>
    <row r="77">
      <c r="B77" s="64" t="inlineStr">
        <is>
          <t>LDD</t>
        </is>
      </c>
      <c r="D77" s="130" t="n">
        <v>0</v>
      </c>
      <c r="E77" s="131" t="n">
        <v>0</v>
      </c>
      <c r="F77" s="131" t="n">
        <v>0</v>
      </c>
      <c r="G77" s="131" t="n">
        <v>0</v>
      </c>
      <c r="H77" s="132" t="n">
        <v>0</v>
      </c>
      <c r="J77" s="130" t="n">
        <v>0</v>
      </c>
      <c r="K77" s="131" t="n">
        <v>0</v>
      </c>
      <c r="L77" s="131" t="n">
        <v>0</v>
      </c>
      <c r="M77" s="131" t="n">
        <v>0</v>
      </c>
      <c r="N77" s="132" t="n">
        <v>0</v>
      </c>
      <c r="P77" s="130" t="n">
        <v>0</v>
      </c>
      <c r="Q77" s="131" t="n">
        <v>0</v>
      </c>
      <c r="R77" s="131" t="n">
        <v>0</v>
      </c>
      <c r="S77" s="131" t="n">
        <v>0</v>
      </c>
      <c r="T77" s="132" t="n">
        <v>0</v>
      </c>
      <c r="V77" s="130" t="n">
        <v>0</v>
      </c>
      <c r="W77" s="131" t="n">
        <v>0</v>
      </c>
      <c r="X77" s="131" t="n">
        <v>0</v>
      </c>
      <c r="Y77" s="131" t="n">
        <v>0</v>
      </c>
      <c r="Z77" s="132" t="n">
        <v>0</v>
      </c>
    </row>
    <row r="78">
      <c r="B78" s="64" t="inlineStr">
        <is>
          <t>Institutional NDCs</t>
        </is>
      </c>
      <c r="D78" s="130" t="n">
        <v>0</v>
      </c>
      <c r="E78" s="131" t="n">
        <v>0</v>
      </c>
      <c r="F78" s="131" t="n">
        <v>0</v>
      </c>
      <c r="G78" s="131" t="n">
        <v>0</v>
      </c>
      <c r="H78" s="132" t="n">
        <v>0</v>
      </c>
      <c r="J78" s="130" t="n">
        <v>0</v>
      </c>
      <c r="K78" s="131" t="n">
        <v>0</v>
      </c>
      <c r="L78" s="131" t="n">
        <v>0</v>
      </c>
      <c r="M78" s="131" t="n">
        <v>0</v>
      </c>
      <c r="N78" s="132" t="n">
        <v>0</v>
      </c>
      <c r="P78" s="130" t="n">
        <v>0</v>
      </c>
      <c r="Q78" s="131" t="n">
        <v>0</v>
      </c>
      <c r="R78" s="131" t="n">
        <v>0</v>
      </c>
      <c r="S78" s="131" t="n">
        <v>0</v>
      </c>
      <c r="T78" s="132" t="n">
        <v>0</v>
      </c>
      <c r="V78" s="130" t="n">
        <v>0</v>
      </c>
      <c r="W78" s="131" t="n">
        <v>0</v>
      </c>
      <c r="X78" s="131" t="n">
        <v>0</v>
      </c>
      <c r="Y78" s="131" t="n">
        <v>0</v>
      </c>
      <c r="Z78" s="132" t="n">
        <v>0</v>
      </c>
    </row>
    <row r="79" ht="15" customHeight="1">
      <c r="B79" s="64" t="inlineStr">
        <is>
          <t>Formulary Exclusions</t>
        </is>
      </c>
      <c r="D79" s="130" t="n">
        <v>0</v>
      </c>
      <c r="E79" s="131" t="n">
        <v>0</v>
      </c>
      <c r="F79" s="131" t="n">
        <v>0</v>
      </c>
      <c r="G79" s="131" t="n">
        <v>0</v>
      </c>
      <c r="H79" s="132" t="n">
        <v>0</v>
      </c>
      <c r="J79" s="130" t="n">
        <v>0</v>
      </c>
      <c r="K79" s="131" t="n">
        <v>0</v>
      </c>
      <c r="L79" s="131" t="n">
        <v>0</v>
      </c>
      <c r="M79" s="131" t="n">
        <v>0</v>
      </c>
      <c r="N79" s="132" t="n">
        <v>0</v>
      </c>
      <c r="P79" s="130" t="n">
        <v>0</v>
      </c>
      <c r="Q79" s="131" t="n">
        <v>0</v>
      </c>
      <c r="R79" s="131" t="n">
        <v>0</v>
      </c>
      <c r="S79" s="131" t="n">
        <v>0</v>
      </c>
      <c r="T79" s="132" t="n">
        <v>0</v>
      </c>
      <c r="V79" s="130" t="n">
        <v>0</v>
      </c>
      <c r="W79" s="131" t="n">
        <v>0</v>
      </c>
      <c r="X79" s="131" t="n">
        <v>0</v>
      </c>
      <c r="Y79" s="131" t="n">
        <v>0</v>
      </c>
      <c r="Z79" s="132" t="n">
        <v>0</v>
      </c>
    </row>
    <row r="80">
      <c r="B80" s="64" t="inlineStr">
        <is>
          <t>Synthroid</t>
        </is>
      </c>
      <c r="D80" s="130" t="n">
        <v>0</v>
      </c>
      <c r="E80" s="131" t="n">
        <v>0</v>
      </c>
      <c r="F80" s="131" t="n">
        <v>0</v>
      </c>
      <c r="G80" s="131" t="n">
        <v>0</v>
      </c>
      <c r="H80" s="132" t="n">
        <v>0</v>
      </c>
      <c r="J80" s="130" t="n">
        <v>0</v>
      </c>
      <c r="K80" s="131" t="n">
        <v>0</v>
      </c>
      <c r="L80" s="131" t="n">
        <v>0</v>
      </c>
      <c r="M80" s="131" t="n">
        <v>0</v>
      </c>
      <c r="N80" s="132" t="n">
        <v>0</v>
      </c>
      <c r="P80" s="130" t="n">
        <v>0</v>
      </c>
      <c r="Q80" s="131" t="n">
        <v>0</v>
      </c>
      <c r="R80" s="131" t="n">
        <v>0</v>
      </c>
      <c r="S80" s="131" t="n">
        <v>0</v>
      </c>
      <c r="T80" s="132" t="n">
        <v>0</v>
      </c>
      <c r="V80" s="130" t="n">
        <v>0</v>
      </c>
      <c r="W80" s="131" t="n">
        <v>0</v>
      </c>
      <c r="X80" s="131" t="n">
        <v>0</v>
      </c>
      <c r="Y80" s="131" t="n">
        <v>0</v>
      </c>
      <c r="Z80" s="132" t="n">
        <v>0</v>
      </c>
    </row>
    <row r="81">
      <c r="B81" s="64" t="inlineStr">
        <is>
          <t>Misc</t>
        </is>
      </c>
      <c r="D81" s="130" t="n">
        <v>0</v>
      </c>
      <c r="E81" s="131" t="n">
        <v>0</v>
      </c>
      <c r="F81" s="131" t="n">
        <v>0</v>
      </c>
      <c r="G81" s="131" t="n">
        <v>0</v>
      </c>
      <c r="H81" s="132" t="n">
        <v>0</v>
      </c>
      <c r="J81" s="130" t="n">
        <v>0</v>
      </c>
      <c r="K81" s="131" t="n">
        <v>0</v>
      </c>
      <c r="L81" s="131" t="n">
        <v>0</v>
      </c>
      <c r="M81" s="131" t="n">
        <v>0</v>
      </c>
      <c r="N81" s="132" t="n">
        <v>0</v>
      </c>
      <c r="P81" s="130" t="n">
        <v>0</v>
      </c>
      <c r="Q81" s="131" t="n">
        <v>0</v>
      </c>
      <c r="R81" s="131" t="n">
        <v>0</v>
      </c>
      <c r="S81" s="131" t="n">
        <v>0</v>
      </c>
      <c r="T81" s="132" t="n">
        <v>0</v>
      </c>
      <c r="V81" s="130" t="n">
        <v>0</v>
      </c>
      <c r="W81" s="131" t="n">
        <v>0</v>
      </c>
      <c r="X81" s="131" t="n">
        <v>0</v>
      </c>
      <c r="Y81" s="131" t="n">
        <v>0</v>
      </c>
      <c r="Z81" s="132" t="n">
        <v>0</v>
      </c>
    </row>
    <row r="82">
      <c r="B82" s="64" t="inlineStr">
        <is>
          <t>Specialty</t>
        </is>
      </c>
      <c r="D82" s="133" t="n">
        <v>0</v>
      </c>
      <c r="E82" s="134" t="n">
        <v>0</v>
      </c>
      <c r="F82" s="134" t="n">
        <v>0</v>
      </c>
      <c r="G82" s="134" t="n">
        <v>0</v>
      </c>
      <c r="H82" s="135" t="n">
        <v>0</v>
      </c>
      <c r="J82" s="133" t="n">
        <v>0</v>
      </c>
      <c r="K82" s="134" t="n">
        <v>0</v>
      </c>
      <c r="L82" s="134" t="n">
        <v>0</v>
      </c>
      <c r="M82" s="134" t="n">
        <v>0</v>
      </c>
      <c r="N82" s="135" t="n">
        <v>0</v>
      </c>
      <c r="P82" s="133" t="n">
        <v>0</v>
      </c>
      <c r="Q82" s="134" t="n">
        <v>0</v>
      </c>
      <c r="R82" s="134" t="n">
        <v>0</v>
      </c>
      <c r="S82" s="134" t="n">
        <v>0</v>
      </c>
      <c r="T82" s="135" t="n">
        <v>0</v>
      </c>
      <c r="V82" s="133" t="n">
        <v>0</v>
      </c>
      <c r="W82" s="134" t="n">
        <v>0</v>
      </c>
      <c r="X82" s="134" t="n">
        <v>0</v>
      </c>
      <c r="Y82" s="134" t="n">
        <v>0</v>
      </c>
      <c r="Z82" s="135" t="n">
        <v>0</v>
      </c>
    </row>
    <row r="83">
      <c r="A83" s="98" t="inlineStr">
        <is>
          <t>Added MFP row but needs adjusting for non-CY</t>
        </is>
      </c>
      <c r="B83" s="64" t="inlineStr">
        <is>
          <t>MFP</t>
        </is>
      </c>
      <c r="D83" s="133" t="n">
        <v>0</v>
      </c>
      <c r="E83" s="134" t="n">
        <v>0</v>
      </c>
      <c r="F83" s="134" t="n">
        <v>0</v>
      </c>
      <c r="G83" s="134" t="n">
        <v>0</v>
      </c>
      <c r="H83" s="135" t="n">
        <v>0</v>
      </c>
      <c r="J83" s="133" t="n">
        <v>0</v>
      </c>
      <c r="K83" s="134" t="n">
        <v>0</v>
      </c>
      <c r="L83" s="134" t="n">
        <v>0</v>
      </c>
      <c r="M83" s="134" t="n">
        <v>0</v>
      </c>
      <c r="N83" s="135" t="n">
        <v>0</v>
      </c>
      <c r="P83" s="133" t="n">
        <v>0</v>
      </c>
      <c r="Q83" s="134" t="n">
        <v>0</v>
      </c>
      <c r="R83" s="134" t="n">
        <v>0</v>
      </c>
      <c r="S83" s="134" t="n">
        <v>0</v>
      </c>
      <c r="T83" s="135" t="n">
        <v>0</v>
      </c>
      <c r="V83" s="133" t="n">
        <v>0</v>
      </c>
      <c r="W83" s="134" t="n">
        <v>0</v>
      </c>
      <c r="X83" s="134" t="n">
        <v>0</v>
      </c>
      <c r="Y83" s="134" t="n">
        <v>0</v>
      </c>
      <c r="Z83" s="135" t="n">
        <v>0</v>
      </c>
    </row>
    <row r="84">
      <c r="B84" s="100">
        <f>$B$66</f>
        <v/>
      </c>
      <c r="D84" s="133" t="n">
        <v>0</v>
      </c>
      <c r="E84" s="134" t="n">
        <v>0</v>
      </c>
      <c r="F84" s="134" t="n">
        <v>0</v>
      </c>
      <c r="G84" s="134" t="n">
        <v>0</v>
      </c>
      <c r="H84" s="135" t="n">
        <v>0</v>
      </c>
      <c r="J84" s="133" t="n">
        <v>0</v>
      </c>
      <c r="K84" s="134" t="n">
        <v>0</v>
      </c>
      <c r="L84" s="134" t="n">
        <v>0</v>
      </c>
      <c r="M84" s="134" t="n">
        <v>0</v>
      </c>
      <c r="N84" s="135" t="n">
        <v>0</v>
      </c>
      <c r="P84" s="133" t="n">
        <v>0</v>
      </c>
      <c r="Q84" s="134" t="n">
        <v>0</v>
      </c>
      <c r="R84" s="134" t="n">
        <v>0</v>
      </c>
      <c r="S84" s="134" t="n">
        <v>0</v>
      </c>
      <c r="T84" s="135" t="n">
        <v>0</v>
      </c>
      <c r="V84" s="133" t="n">
        <v>0</v>
      </c>
      <c r="W84" s="134" t="n">
        <v>0</v>
      </c>
      <c r="X84" s="134" t="n">
        <v>0</v>
      </c>
      <c r="Y84" s="134" t="n">
        <v>0</v>
      </c>
      <c r="Z84" s="135" t="n">
        <v>0</v>
      </c>
    </row>
    <row r="85" ht="15" customHeight="1" thickBot="1">
      <c r="B85" s="59" t="inlineStr">
        <is>
          <t>Non-Rebatable</t>
        </is>
      </c>
      <c r="D85" s="136" t="n">
        <v>0</v>
      </c>
      <c r="E85" s="137" t="n">
        <v>0</v>
      </c>
      <c r="F85" s="137" t="n">
        <v>0</v>
      </c>
      <c r="G85" s="137" t="n">
        <v>0</v>
      </c>
      <c r="H85" s="138" t="n">
        <v>0</v>
      </c>
      <c r="J85" s="139" t="n">
        <v>0</v>
      </c>
      <c r="K85" s="140" t="n">
        <v>0</v>
      </c>
      <c r="L85" s="140" t="n">
        <v>0</v>
      </c>
      <c r="M85" s="140" t="n">
        <v>0</v>
      </c>
      <c r="N85" s="141" t="n">
        <v>0</v>
      </c>
      <c r="P85" s="139" t="n">
        <v>0</v>
      </c>
      <c r="Q85" s="140" t="n">
        <v>0</v>
      </c>
      <c r="R85" s="140" t="n">
        <v>0</v>
      </c>
      <c r="S85" s="140" t="n">
        <v>0</v>
      </c>
      <c r="T85" s="141" t="n">
        <v>0</v>
      </c>
      <c r="V85" s="139" t="n">
        <v>0</v>
      </c>
      <c r="W85" s="140" t="n">
        <v>0</v>
      </c>
      <c r="X85" s="140" t="n">
        <v>0</v>
      </c>
      <c r="Y85" s="140" t="n">
        <v>0</v>
      </c>
      <c r="Z85" s="141" t="n">
        <v>0</v>
      </c>
    </row>
    <row r="86" ht="15.6" customHeight="1" thickBot="1" thickTop="1">
      <c r="B86" s="69" t="inlineStr">
        <is>
          <t>Total</t>
        </is>
      </c>
      <c r="D86" s="142" t="n">
        <v>0</v>
      </c>
      <c r="E86" s="143" t="n">
        <v>0</v>
      </c>
      <c r="F86" s="143" t="n">
        <v>0</v>
      </c>
      <c r="G86" s="143" t="n">
        <v>0</v>
      </c>
      <c r="H86" s="144" t="n">
        <v>0</v>
      </c>
      <c r="J86" s="142" t="n">
        <v>0</v>
      </c>
      <c r="K86" s="143" t="n">
        <v>0</v>
      </c>
      <c r="L86" s="143" t="n">
        <v>0</v>
      </c>
      <c r="M86" s="143" t="n">
        <v>0</v>
      </c>
      <c r="N86" s="144" t="n">
        <v>0</v>
      </c>
      <c r="P86" s="142" t="n">
        <v>0</v>
      </c>
      <c r="Q86" s="143" t="n">
        <v>0</v>
      </c>
      <c r="R86" s="143" t="n">
        <v>0</v>
      </c>
      <c r="S86" s="143" t="n">
        <v>0</v>
      </c>
      <c r="T86" s="144" t="n">
        <v>0</v>
      </c>
      <c r="V86" s="142" t="n">
        <v>0</v>
      </c>
      <c r="W86" s="143" t="n">
        <v>0</v>
      </c>
      <c r="X86" s="143" t="n">
        <v>0</v>
      </c>
      <c r="Y86" s="143" t="n">
        <v>0</v>
      </c>
      <c r="Z86" s="144" t="n">
        <v>0</v>
      </c>
    </row>
    <row r="87" ht="15" customHeight="1" thickBot="1">
      <c r="D87" s="145" t="n"/>
      <c r="E87" s="145" t="n"/>
      <c r="F87" s="145" t="n"/>
      <c r="G87" s="145" t="n"/>
      <c r="H87" s="145" t="n"/>
      <c r="J87" s="145" t="n"/>
      <c r="K87" s="145" t="n"/>
      <c r="L87" s="145" t="n"/>
      <c r="M87" s="145" t="n"/>
      <c r="N87" s="145" t="n"/>
      <c r="P87" s="145" t="n"/>
      <c r="Q87" s="145" t="n"/>
      <c r="R87" s="145" t="n"/>
      <c r="S87" s="145" t="n"/>
      <c r="T87" s="145" t="n"/>
      <c r="V87" s="145" t="n"/>
      <c r="W87" s="145" t="n"/>
      <c r="X87" s="145" t="n"/>
      <c r="Y87" s="145" t="n"/>
      <c r="Z87" s="145" t="n"/>
    </row>
    <row r="88" ht="15" customHeight="1" thickBot="1">
      <c r="B88" s="27" t="inlineStr">
        <is>
          <t>Excl - Total</t>
        </is>
      </c>
      <c r="D88" s="28" t="inlineStr">
        <is>
          <t>R30</t>
        </is>
      </c>
      <c r="E88" s="29" t="inlineStr">
        <is>
          <t>R90</t>
        </is>
      </c>
      <c r="F88" s="29" t="inlineStr">
        <is>
          <t>Mail</t>
        </is>
      </c>
      <c r="G88" s="29" t="inlineStr">
        <is>
          <t>Specialty</t>
        </is>
      </c>
      <c r="H88" s="30" t="inlineStr">
        <is>
          <t>Total</t>
        </is>
      </c>
      <c r="J88" s="28" t="inlineStr">
        <is>
          <t>R30</t>
        </is>
      </c>
      <c r="K88" s="29" t="inlineStr">
        <is>
          <t>R90</t>
        </is>
      </c>
      <c r="L88" s="29" t="inlineStr">
        <is>
          <t>Mail</t>
        </is>
      </c>
      <c r="M88" s="29" t="inlineStr">
        <is>
          <t>Specialty</t>
        </is>
      </c>
      <c r="N88" s="30" t="inlineStr">
        <is>
          <t>Total</t>
        </is>
      </c>
      <c r="P88" s="28" t="inlineStr">
        <is>
          <t>R30</t>
        </is>
      </c>
      <c r="Q88" s="29" t="inlineStr">
        <is>
          <t>R90</t>
        </is>
      </c>
      <c r="R88" s="29" t="inlineStr">
        <is>
          <t>Mail</t>
        </is>
      </c>
      <c r="S88" s="29" t="inlineStr">
        <is>
          <t>Specialty</t>
        </is>
      </c>
      <c r="T88" s="30" t="inlineStr">
        <is>
          <t>Total</t>
        </is>
      </c>
      <c r="V88" s="28" t="inlineStr">
        <is>
          <t>R30</t>
        </is>
      </c>
      <c r="W88" s="29" t="inlineStr">
        <is>
          <t>R90</t>
        </is>
      </c>
      <c r="X88" s="29" t="inlineStr">
        <is>
          <t>Mail</t>
        </is>
      </c>
      <c r="Y88" s="29" t="inlineStr">
        <is>
          <t>Specialty</t>
        </is>
      </c>
      <c r="Z88" s="30" t="inlineStr">
        <is>
          <t>Total</t>
        </is>
      </c>
    </row>
    <row r="89">
      <c r="B89" s="38" t="inlineStr">
        <is>
          <t>OTCs</t>
        </is>
      </c>
      <c r="D89" s="127" t="n">
        <v>0</v>
      </c>
      <c r="E89" s="128" t="n">
        <v>0</v>
      </c>
      <c r="F89" s="128" t="n">
        <v>0</v>
      </c>
      <c r="G89" s="128" t="n">
        <v>0</v>
      </c>
      <c r="H89" s="129" t="n">
        <v>0</v>
      </c>
      <c r="J89" s="127" t="n">
        <v>0</v>
      </c>
      <c r="K89" s="128" t="n">
        <v>0</v>
      </c>
      <c r="L89" s="128" t="n">
        <v>0</v>
      </c>
      <c r="M89" s="128" t="n">
        <v>0</v>
      </c>
      <c r="N89" s="129" t="n">
        <v>0</v>
      </c>
      <c r="P89" s="127" t="n">
        <v>0</v>
      </c>
      <c r="Q89" s="128" t="n">
        <v>0</v>
      </c>
      <c r="R89" s="128" t="n">
        <v>0</v>
      </c>
      <c r="S89" s="128" t="n">
        <v>0</v>
      </c>
      <c r="T89" s="129" t="n">
        <v>0</v>
      </c>
      <c r="V89" s="127" t="n">
        <v>0</v>
      </c>
      <c r="W89" s="128" t="n">
        <v>0</v>
      </c>
      <c r="X89" s="128" t="n">
        <v>0</v>
      </c>
      <c r="Y89" s="128" t="n">
        <v>0</v>
      </c>
      <c r="Z89" s="129" t="n">
        <v>0</v>
      </c>
    </row>
    <row r="90">
      <c r="B90" s="49" t="inlineStr">
        <is>
          <t>Devices</t>
        </is>
      </c>
      <c r="D90" s="130" t="n">
        <v>0</v>
      </c>
      <c r="E90" s="131" t="n">
        <v>0</v>
      </c>
      <c r="F90" s="131" t="n">
        <v>0</v>
      </c>
      <c r="G90" s="131" t="n">
        <v>0</v>
      </c>
      <c r="H90" s="132" t="n">
        <v>0</v>
      </c>
      <c r="J90" s="130" t="n">
        <v>0</v>
      </c>
      <c r="K90" s="131" t="n">
        <v>0</v>
      </c>
      <c r="L90" s="131" t="n">
        <v>0</v>
      </c>
      <c r="M90" s="131" t="n">
        <v>0</v>
      </c>
      <c r="N90" s="132" t="n">
        <v>0</v>
      </c>
      <c r="P90" s="130" t="n">
        <v>0</v>
      </c>
      <c r="Q90" s="131" t="n">
        <v>0</v>
      </c>
      <c r="R90" s="131" t="n">
        <v>0</v>
      </c>
      <c r="S90" s="131" t="n">
        <v>0</v>
      </c>
      <c r="T90" s="132" t="n">
        <v>0</v>
      </c>
      <c r="V90" s="130" t="n">
        <v>0</v>
      </c>
      <c r="W90" s="131" t="n">
        <v>0</v>
      </c>
      <c r="X90" s="131" t="n">
        <v>0</v>
      </c>
      <c r="Y90" s="131" t="n">
        <v>0</v>
      </c>
      <c r="Z90" s="132" t="n">
        <v>0</v>
      </c>
    </row>
    <row r="91">
      <c r="B91" s="64" t="inlineStr">
        <is>
          <t>Vaccines</t>
        </is>
      </c>
      <c r="D91" s="130" t="n">
        <v>0</v>
      </c>
      <c r="E91" s="131" t="n">
        <v>0</v>
      </c>
      <c r="F91" s="131" t="n">
        <v>0</v>
      </c>
      <c r="G91" s="131" t="n">
        <v>0</v>
      </c>
      <c r="H91" s="132" t="n">
        <v>0</v>
      </c>
      <c r="J91" s="130" t="n">
        <v>0</v>
      </c>
      <c r="K91" s="131" t="n">
        <v>0</v>
      </c>
      <c r="L91" s="131" t="n">
        <v>0</v>
      </c>
      <c r="M91" s="131" t="n">
        <v>0</v>
      </c>
      <c r="N91" s="132" t="n">
        <v>0</v>
      </c>
      <c r="P91" s="130" t="n">
        <v>0</v>
      </c>
      <c r="Q91" s="131" t="n">
        <v>0</v>
      </c>
      <c r="R91" s="131" t="n">
        <v>0</v>
      </c>
      <c r="S91" s="131" t="n">
        <v>0</v>
      </c>
      <c r="T91" s="132" t="n">
        <v>0</v>
      </c>
      <c r="V91" s="130" t="n">
        <v>0</v>
      </c>
      <c r="W91" s="131" t="n">
        <v>0</v>
      </c>
      <c r="X91" s="131" t="n">
        <v>0</v>
      </c>
      <c r="Y91" s="131" t="n">
        <v>0</v>
      </c>
      <c r="Z91" s="132" t="n">
        <v>0</v>
      </c>
    </row>
    <row r="92">
      <c r="B92" s="64" t="inlineStr">
        <is>
          <t>Repackaged</t>
        </is>
      </c>
      <c r="D92" s="130" t="n">
        <v>0</v>
      </c>
      <c r="E92" s="131" t="n">
        <v>0</v>
      </c>
      <c r="F92" s="131" t="n">
        <v>0</v>
      </c>
      <c r="G92" s="131" t="n">
        <v>0</v>
      </c>
      <c r="H92" s="132" t="n">
        <v>0</v>
      </c>
      <c r="J92" s="130" t="n">
        <v>0</v>
      </c>
      <c r="K92" s="131" t="n">
        <v>0</v>
      </c>
      <c r="L92" s="131" t="n">
        <v>0</v>
      </c>
      <c r="M92" s="131" t="n">
        <v>0</v>
      </c>
      <c r="N92" s="132" t="n">
        <v>0</v>
      </c>
      <c r="P92" s="130" t="n">
        <v>0</v>
      </c>
      <c r="Q92" s="131" t="n">
        <v>0</v>
      </c>
      <c r="R92" s="131" t="n">
        <v>0</v>
      </c>
      <c r="S92" s="131" t="n">
        <v>0</v>
      </c>
      <c r="T92" s="132" t="n">
        <v>0</v>
      </c>
      <c r="V92" s="130" t="n">
        <v>0</v>
      </c>
      <c r="W92" s="131" t="n">
        <v>0</v>
      </c>
      <c r="X92" s="131" t="n">
        <v>0</v>
      </c>
      <c r="Y92" s="131" t="n">
        <v>0</v>
      </c>
      <c r="Z92" s="132" t="n">
        <v>0</v>
      </c>
    </row>
    <row r="93">
      <c r="B93" s="64" t="inlineStr">
        <is>
          <t>MSBs</t>
        </is>
      </c>
      <c r="D93" s="130" t="n">
        <v>0</v>
      </c>
      <c r="E93" s="131" t="n">
        <v>0</v>
      </c>
      <c r="F93" s="131" t="n">
        <v>0</v>
      </c>
      <c r="G93" s="131" t="n">
        <v>0</v>
      </c>
      <c r="H93" s="132" t="n">
        <v>0</v>
      </c>
      <c r="J93" s="130" t="n">
        <v>0</v>
      </c>
      <c r="K93" s="131" t="n">
        <v>0</v>
      </c>
      <c r="L93" s="131" t="n">
        <v>0</v>
      </c>
      <c r="M93" s="131" t="n">
        <v>0</v>
      </c>
      <c r="N93" s="132" t="n">
        <v>0</v>
      </c>
      <c r="P93" s="130" t="n">
        <v>0</v>
      </c>
      <c r="Q93" s="131" t="n">
        <v>0</v>
      </c>
      <c r="R93" s="131" t="n">
        <v>0</v>
      </c>
      <c r="S93" s="131" t="n">
        <v>0</v>
      </c>
      <c r="T93" s="132" t="n">
        <v>0</v>
      </c>
      <c r="V93" s="130" t="n">
        <v>0</v>
      </c>
      <c r="W93" s="131" t="n">
        <v>0</v>
      </c>
      <c r="X93" s="131" t="n">
        <v>0</v>
      </c>
      <c r="Y93" s="131" t="n">
        <v>0</v>
      </c>
      <c r="Z93" s="132" t="n">
        <v>0</v>
      </c>
    </row>
    <row r="94">
      <c r="B94" s="64" t="inlineStr">
        <is>
          <t>Non FDA Approved</t>
        </is>
      </c>
      <c r="D94" s="130" t="n">
        <v>0</v>
      </c>
      <c r="E94" s="131" t="n">
        <v>0</v>
      </c>
      <c r="F94" s="131" t="n">
        <v>0</v>
      </c>
      <c r="G94" s="131" t="n">
        <v>0</v>
      </c>
      <c r="H94" s="132" t="n">
        <v>0</v>
      </c>
      <c r="J94" s="130" t="n">
        <v>0</v>
      </c>
      <c r="K94" s="131" t="n">
        <v>0</v>
      </c>
      <c r="L94" s="131" t="n">
        <v>0</v>
      </c>
      <c r="M94" s="131" t="n">
        <v>0</v>
      </c>
      <c r="N94" s="132" t="n">
        <v>0</v>
      </c>
      <c r="P94" s="130" t="n">
        <v>0</v>
      </c>
      <c r="Q94" s="131" t="n">
        <v>0</v>
      </c>
      <c r="R94" s="131" t="n">
        <v>0</v>
      </c>
      <c r="S94" s="131" t="n">
        <v>0</v>
      </c>
      <c r="T94" s="132" t="n">
        <v>0</v>
      </c>
      <c r="V94" s="130" t="n">
        <v>0</v>
      </c>
      <c r="W94" s="131" t="n">
        <v>0</v>
      </c>
      <c r="X94" s="131" t="n">
        <v>0</v>
      </c>
      <c r="Y94" s="131" t="n">
        <v>0</v>
      </c>
      <c r="Z94" s="132" t="n">
        <v>0</v>
      </c>
    </row>
    <row r="95">
      <c r="B95" s="64" t="inlineStr">
        <is>
          <t>LDD</t>
        </is>
      </c>
      <c r="D95" s="130" t="n">
        <v>0</v>
      </c>
      <c r="E95" s="131" t="n">
        <v>0</v>
      </c>
      <c r="F95" s="131" t="n">
        <v>0</v>
      </c>
      <c r="G95" s="131" t="n">
        <v>0</v>
      </c>
      <c r="H95" s="132" t="n">
        <v>0</v>
      </c>
      <c r="J95" s="130" t="n">
        <v>0</v>
      </c>
      <c r="K95" s="131" t="n">
        <v>0</v>
      </c>
      <c r="L95" s="131" t="n">
        <v>0</v>
      </c>
      <c r="M95" s="131" t="n">
        <v>0</v>
      </c>
      <c r="N95" s="132" t="n">
        <v>0</v>
      </c>
      <c r="P95" s="130" t="n">
        <v>0</v>
      </c>
      <c r="Q95" s="131" t="n">
        <v>0</v>
      </c>
      <c r="R95" s="131" t="n">
        <v>0</v>
      </c>
      <c r="S95" s="131" t="n">
        <v>0</v>
      </c>
      <c r="T95" s="132" t="n">
        <v>0</v>
      </c>
      <c r="V95" s="130" t="n">
        <v>0</v>
      </c>
      <c r="W95" s="131" t="n">
        <v>0</v>
      </c>
      <c r="X95" s="131" t="n">
        <v>0</v>
      </c>
      <c r="Y95" s="131" t="n">
        <v>0</v>
      </c>
      <c r="Z95" s="132" t="n">
        <v>0</v>
      </c>
    </row>
    <row r="96">
      <c r="B96" s="64" t="inlineStr">
        <is>
          <t>Institutional NDCs</t>
        </is>
      </c>
      <c r="D96" s="130" t="n">
        <v>0</v>
      </c>
      <c r="E96" s="131" t="n">
        <v>0</v>
      </c>
      <c r="F96" s="131" t="n">
        <v>0</v>
      </c>
      <c r="G96" s="131" t="n">
        <v>0</v>
      </c>
      <c r="H96" s="132" t="n">
        <v>0</v>
      </c>
      <c r="J96" s="130" t="n">
        <v>0</v>
      </c>
      <c r="K96" s="131" t="n">
        <v>0</v>
      </c>
      <c r="L96" s="131" t="n">
        <v>0</v>
      </c>
      <c r="M96" s="131" t="n">
        <v>0</v>
      </c>
      <c r="N96" s="132" t="n">
        <v>0</v>
      </c>
      <c r="P96" s="130" t="n">
        <v>0</v>
      </c>
      <c r="Q96" s="131" t="n">
        <v>0</v>
      </c>
      <c r="R96" s="131" t="n">
        <v>0</v>
      </c>
      <c r="S96" s="131" t="n">
        <v>0</v>
      </c>
      <c r="T96" s="132" t="n">
        <v>0</v>
      </c>
      <c r="V96" s="130" t="n">
        <v>0</v>
      </c>
      <c r="W96" s="131" t="n">
        <v>0</v>
      </c>
      <c r="X96" s="131" t="n">
        <v>0</v>
      </c>
      <c r="Y96" s="131" t="n">
        <v>0</v>
      </c>
      <c r="Z96" s="132" t="n">
        <v>0</v>
      </c>
    </row>
    <row r="97">
      <c r="B97" s="64" t="inlineStr">
        <is>
          <t>Formulary Exclusions</t>
        </is>
      </c>
      <c r="D97" s="130" t="n">
        <v>0</v>
      </c>
      <c r="E97" s="131" t="n">
        <v>0</v>
      </c>
      <c r="F97" s="131" t="n">
        <v>0</v>
      </c>
      <c r="G97" s="131" t="n">
        <v>0</v>
      </c>
      <c r="H97" s="132" t="n">
        <v>0</v>
      </c>
      <c r="J97" s="130" t="n">
        <v>0</v>
      </c>
      <c r="K97" s="131" t="n">
        <v>0</v>
      </c>
      <c r="L97" s="131" t="n">
        <v>0</v>
      </c>
      <c r="M97" s="131" t="n">
        <v>0</v>
      </c>
      <c r="N97" s="132" t="n">
        <v>0</v>
      </c>
      <c r="P97" s="130" t="n">
        <v>0</v>
      </c>
      <c r="Q97" s="131" t="n">
        <v>0</v>
      </c>
      <c r="R97" s="131" t="n">
        <v>0</v>
      </c>
      <c r="S97" s="131" t="n">
        <v>0</v>
      </c>
      <c r="T97" s="132" t="n">
        <v>0</v>
      </c>
      <c r="V97" s="130" t="n">
        <v>0</v>
      </c>
      <c r="W97" s="131" t="n">
        <v>0</v>
      </c>
      <c r="X97" s="131" t="n">
        <v>0</v>
      </c>
      <c r="Y97" s="131" t="n">
        <v>0</v>
      </c>
      <c r="Z97" s="132" t="n">
        <v>0</v>
      </c>
    </row>
    <row r="98">
      <c r="B98" s="64" t="inlineStr">
        <is>
          <t>Synthroid</t>
        </is>
      </c>
      <c r="D98" s="130" t="n">
        <v>0</v>
      </c>
      <c r="E98" s="131" t="n">
        <v>0</v>
      </c>
      <c r="F98" s="131" t="n">
        <v>0</v>
      </c>
      <c r="G98" s="131" t="n">
        <v>0</v>
      </c>
      <c r="H98" s="132" t="n">
        <v>0</v>
      </c>
      <c r="J98" s="130" t="n">
        <v>0</v>
      </c>
      <c r="K98" s="131" t="n">
        <v>0</v>
      </c>
      <c r="L98" s="131" t="n">
        <v>0</v>
      </c>
      <c r="M98" s="131" t="n">
        <v>0</v>
      </c>
      <c r="N98" s="132" t="n">
        <v>0</v>
      </c>
      <c r="P98" s="130" t="n">
        <v>0</v>
      </c>
      <c r="Q98" s="131" t="n">
        <v>0</v>
      </c>
      <c r="R98" s="131" t="n">
        <v>0</v>
      </c>
      <c r="S98" s="131" t="n">
        <v>0</v>
      </c>
      <c r="T98" s="132" t="n">
        <v>0</v>
      </c>
      <c r="V98" s="130" t="n">
        <v>0</v>
      </c>
      <c r="W98" s="131" t="n">
        <v>0</v>
      </c>
      <c r="X98" s="131" t="n">
        <v>0</v>
      </c>
      <c r="Y98" s="131" t="n">
        <v>0</v>
      </c>
      <c r="Z98" s="132" t="n">
        <v>0</v>
      </c>
    </row>
    <row r="99">
      <c r="B99" s="64" t="inlineStr">
        <is>
          <t>Misc</t>
        </is>
      </c>
      <c r="D99" s="130" t="n">
        <v>0</v>
      </c>
      <c r="E99" s="131" t="n">
        <v>0</v>
      </c>
      <c r="F99" s="131" t="n">
        <v>0</v>
      </c>
      <c r="G99" s="131" t="n">
        <v>0</v>
      </c>
      <c r="H99" s="132" t="n">
        <v>0</v>
      </c>
      <c r="J99" s="130" t="n">
        <v>1964.875071784408</v>
      </c>
      <c r="K99" s="131" t="n">
        <v>347.8756485030455</v>
      </c>
      <c r="L99" s="131" t="n">
        <v>130.6682137649017</v>
      </c>
      <c r="M99" s="131" t="n">
        <v>663.9327169755762</v>
      </c>
      <c r="N99" s="132" t="n">
        <v>3107.351651027931</v>
      </c>
      <c r="P99" s="130" t="n">
        <v>2163.155319482375</v>
      </c>
      <c r="Q99" s="131" t="n">
        <v>372.0859813343213</v>
      </c>
      <c r="R99" s="131" t="n">
        <v>143.0165673943964</v>
      </c>
      <c r="S99" s="131" t="n">
        <v>753.6182474419381</v>
      </c>
      <c r="T99" s="132" t="n">
        <v>3431.876115653031</v>
      </c>
      <c r="V99" s="130" t="n">
        <v>2378.866087308556</v>
      </c>
      <c r="W99" s="131" t="n">
        <v>407.7078036315903</v>
      </c>
      <c r="X99" s="131" t="n">
        <v>157.7761316534636</v>
      </c>
      <c r="Y99" s="131" t="n">
        <v>854.1693686244977</v>
      </c>
      <c r="Z99" s="132" t="n">
        <v>3798.519391218107</v>
      </c>
    </row>
    <row r="100">
      <c r="B100" s="64" t="inlineStr">
        <is>
          <t>Specialty</t>
        </is>
      </c>
      <c r="D100" s="133" t="n">
        <v>0</v>
      </c>
      <c r="E100" s="134" t="n">
        <v>0</v>
      </c>
      <c r="F100" s="134" t="n">
        <v>0</v>
      </c>
      <c r="G100" s="134" t="n">
        <v>0</v>
      </c>
      <c r="H100" s="135" t="n">
        <v>0</v>
      </c>
      <c r="J100" s="133" t="n">
        <v>0</v>
      </c>
      <c r="K100" s="134" t="n">
        <v>0</v>
      </c>
      <c r="L100" s="134" t="n">
        <v>0</v>
      </c>
      <c r="M100" s="134" t="n">
        <v>0</v>
      </c>
      <c r="N100" s="135" t="n">
        <v>0</v>
      </c>
      <c r="P100" s="133" t="n">
        <v>0</v>
      </c>
      <c r="Q100" s="134" t="n">
        <v>0</v>
      </c>
      <c r="R100" s="134" t="n">
        <v>0</v>
      </c>
      <c r="S100" s="134" t="n">
        <v>0</v>
      </c>
      <c r="T100" s="135" t="n">
        <v>0</v>
      </c>
      <c r="V100" s="133" t="n">
        <v>0</v>
      </c>
      <c r="W100" s="134" t="n">
        <v>0</v>
      </c>
      <c r="X100" s="134" t="n">
        <v>0</v>
      </c>
      <c r="Y100" s="134" t="n">
        <v>0</v>
      </c>
      <c r="Z100" s="135" t="n">
        <v>0</v>
      </c>
    </row>
    <row r="101">
      <c r="A101" s="98" t="inlineStr">
        <is>
          <t>Added MFP row but needs adjusting for non-CY</t>
        </is>
      </c>
      <c r="B101" s="64" t="inlineStr">
        <is>
          <t>MFP</t>
        </is>
      </c>
      <c r="D101" s="133" t="n">
        <v>0</v>
      </c>
      <c r="E101" s="134" t="n">
        <v>0</v>
      </c>
      <c r="F101" s="134" t="n">
        <v>0</v>
      </c>
      <c r="G101" s="134" t="n">
        <v>0</v>
      </c>
      <c r="H101" s="135" t="n">
        <v>0</v>
      </c>
      <c r="J101" s="133" t="n">
        <v>0</v>
      </c>
      <c r="K101" s="134" t="n">
        <v>0</v>
      </c>
      <c r="L101" s="134" t="n">
        <v>0</v>
      </c>
      <c r="M101" s="134" t="n">
        <v>0</v>
      </c>
      <c r="N101" s="135" t="n">
        <v>0</v>
      </c>
      <c r="P101" s="133" t="n">
        <v>0</v>
      </c>
      <c r="Q101" s="134" t="n">
        <v>0</v>
      </c>
      <c r="R101" s="134" t="n">
        <v>0</v>
      </c>
      <c r="S101" s="134" t="n">
        <v>0</v>
      </c>
      <c r="T101" s="135" t="n">
        <v>0</v>
      </c>
      <c r="V101" s="133" t="n">
        <v>0</v>
      </c>
      <c r="W101" s="134" t="n">
        <v>0</v>
      </c>
      <c r="X101" s="134" t="n">
        <v>0</v>
      </c>
      <c r="Y101" s="134" t="n">
        <v>0</v>
      </c>
      <c r="Z101" s="135" t="n">
        <v>0</v>
      </c>
    </row>
    <row r="102">
      <c r="B102" s="100">
        <f>$B$66</f>
        <v/>
      </c>
      <c r="D102" s="133" t="n">
        <v>0</v>
      </c>
      <c r="E102" s="134" t="n">
        <v>0</v>
      </c>
      <c r="F102" s="134" t="n">
        <v>0</v>
      </c>
      <c r="G102" s="134" t="n">
        <v>0</v>
      </c>
      <c r="H102" s="135" t="n">
        <v>0</v>
      </c>
      <c r="J102" s="133" t="n">
        <v>0</v>
      </c>
      <c r="K102" s="134" t="n">
        <v>0</v>
      </c>
      <c r="L102" s="134" t="n">
        <v>0</v>
      </c>
      <c r="M102" s="134" t="n">
        <v>0</v>
      </c>
      <c r="N102" s="135" t="n">
        <v>0</v>
      </c>
      <c r="P102" s="133" t="n">
        <v>0</v>
      </c>
      <c r="Q102" s="134" t="n">
        <v>0</v>
      </c>
      <c r="R102" s="134" t="n">
        <v>0</v>
      </c>
      <c r="S102" s="134" t="n">
        <v>0</v>
      </c>
      <c r="T102" s="135" t="n">
        <v>0</v>
      </c>
      <c r="V102" s="133" t="n">
        <v>0</v>
      </c>
      <c r="W102" s="134" t="n">
        <v>0</v>
      </c>
      <c r="X102" s="134" t="n">
        <v>0</v>
      </c>
      <c r="Y102" s="134" t="n">
        <v>0</v>
      </c>
      <c r="Z102" s="135" t="n">
        <v>0</v>
      </c>
    </row>
    <row r="103" ht="15" customHeight="1" thickBot="1">
      <c r="B103" s="59" t="inlineStr">
        <is>
          <t>Non-Rebatable</t>
        </is>
      </c>
      <c r="D103" s="136" t="n">
        <v>0</v>
      </c>
      <c r="E103" s="137" t="n">
        <v>0</v>
      </c>
      <c r="F103" s="137" t="n">
        <v>0</v>
      </c>
      <c r="G103" s="137" t="n">
        <v>0</v>
      </c>
      <c r="H103" s="138" t="n">
        <v>0</v>
      </c>
      <c r="J103" s="139" t="n">
        <v>0</v>
      </c>
      <c r="K103" s="140" t="n">
        <v>0</v>
      </c>
      <c r="L103" s="140" t="n">
        <v>0</v>
      </c>
      <c r="M103" s="140" t="n">
        <v>0</v>
      </c>
      <c r="N103" s="141" t="n">
        <v>0</v>
      </c>
      <c r="P103" s="139" t="n">
        <v>0</v>
      </c>
      <c r="Q103" s="140" t="n">
        <v>0</v>
      </c>
      <c r="R103" s="140" t="n">
        <v>0</v>
      </c>
      <c r="S103" s="140" t="n">
        <v>0</v>
      </c>
      <c r="T103" s="141" t="n">
        <v>0</v>
      </c>
      <c r="V103" s="139" t="n">
        <v>0</v>
      </c>
      <c r="W103" s="140" t="n">
        <v>0</v>
      </c>
      <c r="X103" s="140" t="n">
        <v>0</v>
      </c>
      <c r="Y103" s="140" t="n">
        <v>0</v>
      </c>
      <c r="Z103" s="141" t="n">
        <v>0</v>
      </c>
    </row>
    <row r="104" ht="15.6" customHeight="1" thickBot="1" thickTop="1">
      <c r="B104" s="69" t="inlineStr">
        <is>
          <t>Total</t>
        </is>
      </c>
      <c r="D104" s="142" t="n">
        <v>0</v>
      </c>
      <c r="E104" s="143" t="n">
        <v>0</v>
      </c>
      <c r="F104" s="143" t="n">
        <v>0</v>
      </c>
      <c r="G104" s="143" t="n">
        <v>0</v>
      </c>
      <c r="H104" s="144" t="n">
        <v>0</v>
      </c>
      <c r="J104" s="142" t="n">
        <v>1964.875071784408</v>
      </c>
      <c r="K104" s="143" t="n">
        <v>347.8756485030455</v>
      </c>
      <c r="L104" s="143" t="n">
        <v>130.6682137649017</v>
      </c>
      <c r="M104" s="143" t="n">
        <v>663.9327169755762</v>
      </c>
      <c r="N104" s="144" t="n">
        <v>3107.351651027931</v>
      </c>
      <c r="P104" s="142" t="n">
        <v>2163.155319482375</v>
      </c>
      <c r="Q104" s="143" t="n">
        <v>372.0859813343213</v>
      </c>
      <c r="R104" s="143" t="n">
        <v>143.0165673943964</v>
      </c>
      <c r="S104" s="143" t="n">
        <v>753.6182474419381</v>
      </c>
      <c r="T104" s="144" t="n">
        <v>3431.876115653031</v>
      </c>
      <c r="V104" s="142" t="n">
        <v>2378.866087308556</v>
      </c>
      <c r="W104" s="143" t="n">
        <v>407.7078036315903</v>
      </c>
      <c r="X104" s="143" t="n">
        <v>157.7761316534636</v>
      </c>
      <c r="Y104" s="143" t="n">
        <v>854.1693686244977</v>
      </c>
      <c r="Z104" s="144" t="n">
        <v>3798.519391218107</v>
      </c>
    </row>
    <row r="105" ht="30.3" customHeight="1" thickBot="1"/>
    <row r="106" ht="15" customHeight="1" thickBot="1">
      <c r="B106" s="110" t="inlineStr">
        <is>
          <t>Removed Claims</t>
        </is>
      </c>
      <c r="H106" s="111" t="n">
        <v>0</v>
      </c>
    </row>
    <row r="107" ht="15" customHeight="1" thickBot="1"/>
    <row r="108" ht="15" customHeight="1" thickBot="1">
      <c r="B108" s="112" t="inlineStr">
        <is>
          <t>Total</t>
        </is>
      </c>
      <c r="H108" s="113" t="n">
        <v>1576682</v>
      </c>
    </row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 ht="30.3" customHeight="1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 ht="30.3" customHeight="1"/>
    <row r="154">
      <c r="AM154" s="117" t="n"/>
      <c r="AN154" s="117" t="n"/>
    </row>
    <row r="155">
      <c r="AM155" s="117" t="n"/>
      <c r="AN155" s="117" t="n"/>
    </row>
    <row r="156">
      <c r="AM156" s="117" t="n"/>
      <c r="AN156" s="117" t="n"/>
    </row>
    <row r="157">
      <c r="AM157" s="117" t="n"/>
      <c r="AN157" s="117" t="n"/>
    </row>
    <row r="158">
      <c r="AM158" s="117" t="n"/>
      <c r="AN158" s="117" t="n"/>
    </row>
    <row r="159">
      <c r="AM159" s="117" t="n"/>
      <c r="AN159" s="117" t="n"/>
    </row>
    <row r="160">
      <c r="AM160" s="117" t="n"/>
      <c r="AN160" s="117" t="n"/>
    </row>
    <row r="161">
      <c r="AM161" s="117" t="n"/>
      <c r="AN161" s="117" t="n"/>
    </row>
    <row r="162">
      <c r="AM162" s="117" t="n"/>
      <c r="AN162" s="117" t="n"/>
    </row>
    <row r="163">
      <c r="AM163" s="117" t="n"/>
      <c r="AN163" s="117" t="n"/>
    </row>
    <row r="164">
      <c r="AM164" s="117" t="n"/>
      <c r="AN164" s="117" t="n"/>
    </row>
    <row r="165">
      <c r="AM165" s="117" t="n"/>
      <c r="AN165" s="117" t="n"/>
    </row>
    <row r="166">
      <c r="AM166" s="117" t="n"/>
      <c r="AN166" s="117" t="n"/>
    </row>
    <row r="167">
      <c r="AM167" s="117" t="n"/>
      <c r="AN167" s="117" t="n"/>
    </row>
    <row r="168">
      <c r="AM168" s="117" t="n"/>
      <c r="AN168" s="117" t="n"/>
    </row>
    <row r="169">
      <c r="AM169" s="117" t="n"/>
      <c r="AN169" s="117" t="n"/>
    </row>
    <row r="170">
      <c r="AM170" s="117" t="n"/>
      <c r="AN170" s="117" t="n"/>
    </row>
    <row r="171">
      <c r="AM171" s="117" t="n"/>
      <c r="AN171" s="117" t="n"/>
    </row>
    <row r="172">
      <c r="AM172" s="117" t="n"/>
      <c r="AN172" s="117" t="n"/>
    </row>
    <row r="173">
      <c r="AM173" s="117" t="n"/>
      <c r="AN173" s="117" t="n"/>
    </row>
    <row r="174">
      <c r="AM174" s="117" t="n"/>
      <c r="AN174" s="117" t="n"/>
    </row>
    <row r="175">
      <c r="AM175" s="117" t="n"/>
      <c r="AN175" s="117" t="n"/>
    </row>
    <row r="176">
      <c r="AM176" s="117" t="n"/>
      <c r="AN176" s="117" t="n"/>
    </row>
    <row r="177">
      <c r="AM177" s="117" t="n"/>
      <c r="AN177" s="117" t="n"/>
    </row>
    <row r="178">
      <c r="AM178" s="117" t="n"/>
      <c r="AN178" s="117" t="n"/>
    </row>
    <row r="179">
      <c r="AM179" s="117" t="n"/>
      <c r="AN179" s="117" t="n"/>
    </row>
    <row r="180">
      <c r="AM180" s="117" t="n"/>
      <c r="AN180" s="117" t="n"/>
    </row>
    <row r="181">
      <c r="AM181" s="117" t="n"/>
      <c r="AN181" s="117" t="n"/>
    </row>
    <row r="182">
      <c r="AM182" s="117" t="n"/>
      <c r="AN182" s="117" t="n"/>
    </row>
    <row r="183">
      <c r="AM183" s="117" t="n"/>
      <c r="AN183" s="117" t="n"/>
    </row>
    <row r="184">
      <c r="AM184" s="117" t="n"/>
      <c r="AN184" s="117" t="n"/>
    </row>
    <row r="185">
      <c r="AM185" s="117" t="n"/>
      <c r="AN185" s="117" t="n"/>
    </row>
    <row r="186">
      <c r="AM186" s="117" t="n"/>
      <c r="AN186" s="117" t="n"/>
    </row>
    <row r="187">
      <c r="AM187" s="117" t="n"/>
      <c r="AN187" s="117" t="n"/>
    </row>
    <row r="188">
      <c r="AM188" s="117" t="n"/>
      <c r="AN188" s="117" t="n"/>
    </row>
    <row r="189">
      <c r="AM189" s="117" t="n"/>
      <c r="AN189" s="117" t="n"/>
    </row>
    <row r="190">
      <c r="AM190" s="117" t="n"/>
      <c r="AN190" s="117" t="n"/>
    </row>
    <row r="191">
      <c r="AM191" s="117" t="n"/>
      <c r="AN191" s="117" t="n"/>
    </row>
    <row r="192">
      <c r="AM192" s="117" t="n"/>
      <c r="AN192" s="117" t="n"/>
    </row>
    <row r="193">
      <c r="AM193" s="117" t="n"/>
      <c r="AN193" s="117" t="n"/>
    </row>
    <row r="194">
      <c r="AM194" s="117" t="n"/>
      <c r="AN194" s="117" t="n"/>
    </row>
    <row r="195">
      <c r="AM195" s="117" t="n"/>
      <c r="AN195" s="117" t="n"/>
    </row>
    <row r="196">
      <c r="AM196" s="117" t="n"/>
      <c r="AN196" s="117" t="n"/>
    </row>
    <row r="197">
      <c r="AM197" s="117" t="n"/>
      <c r="AN197" s="117" t="n"/>
    </row>
    <row r="198">
      <c r="AM198" s="117" t="n"/>
      <c r="AN198" s="117" t="n"/>
    </row>
    <row r="199">
      <c r="AM199" s="117" t="n"/>
      <c r="AN199" s="117" t="n"/>
    </row>
    <row r="200">
      <c r="AM200" s="117" t="n"/>
      <c r="AN200" s="117" t="n"/>
    </row>
    <row r="201">
      <c r="AM201" s="117" t="n"/>
      <c r="AN201" s="117" t="n"/>
    </row>
    <row r="202">
      <c r="AM202" s="117" t="n"/>
      <c r="AN202" s="117" t="n"/>
    </row>
    <row r="203">
      <c r="AM203" s="117" t="n"/>
      <c r="AN203" s="117" t="n"/>
    </row>
    <row r="204">
      <c r="AM204" s="117" t="n"/>
      <c r="AN204" s="117" t="n"/>
    </row>
    <row r="205">
      <c r="AM205" s="117" t="n"/>
      <c r="AN205" s="117" t="n"/>
    </row>
    <row r="206">
      <c r="AM206" s="117" t="n"/>
      <c r="AN206" s="117" t="n"/>
    </row>
    <row r="207">
      <c r="AM207" s="117" t="n"/>
      <c r="AN207" s="117" t="n"/>
    </row>
    <row r="208">
      <c r="AM208" s="117" t="n"/>
      <c r="AN208" s="117" t="n"/>
    </row>
    <row r="209">
      <c r="AM209" s="117" t="n"/>
      <c r="AN209" s="117" t="n"/>
    </row>
    <row r="210">
      <c r="AM210" s="117" t="n"/>
      <c r="AN210" s="117" t="n"/>
    </row>
    <row r="211">
      <c r="AM211" s="117" t="n"/>
      <c r="AN211" s="117" t="n"/>
    </row>
    <row r="212">
      <c r="AM212" s="117" t="n"/>
      <c r="AN212" s="117" t="n"/>
    </row>
    <row r="213">
      <c r="AM213" s="117" t="n"/>
      <c r="AN213" s="117" t="n"/>
    </row>
    <row r="214">
      <c r="AM214" s="117" t="n"/>
      <c r="AN214" s="117" t="n"/>
    </row>
    <row r="215">
      <c r="AM215" s="117" t="n"/>
      <c r="AN215" s="117" t="n"/>
    </row>
    <row r="216">
      <c r="AM216" s="117" t="n"/>
      <c r="AN216" s="117" t="n"/>
    </row>
    <row r="217">
      <c r="AM217" s="117" t="n"/>
      <c r="AN217" s="117" t="n"/>
    </row>
    <row r="218">
      <c r="AM218" s="117" t="n"/>
      <c r="AN218" s="117" t="n"/>
    </row>
    <row r="219">
      <c r="AM219" s="117" t="n"/>
      <c r="AN219" s="117" t="n"/>
    </row>
    <row r="220">
      <c r="AM220" s="117" t="n"/>
      <c r="AN220" s="117" t="n"/>
    </row>
    <row r="221">
      <c r="AM221" s="117" t="n"/>
      <c r="AN221" s="117" t="n"/>
    </row>
    <row r="222">
      <c r="AM222" s="117" t="n"/>
      <c r="AN222" s="117" t="n"/>
    </row>
    <row r="223">
      <c r="AM223" s="117" t="n"/>
      <c r="AN223" s="117" t="n"/>
    </row>
    <row r="224">
      <c r="AM224" s="117" t="n"/>
      <c r="AN224" s="117" t="n"/>
    </row>
    <row r="225">
      <c r="AM225" s="117" t="n"/>
      <c r="AN225" s="117" t="n"/>
    </row>
    <row r="226">
      <c r="AM226" s="117" t="n"/>
      <c r="AN226" s="117" t="n"/>
    </row>
    <row r="227">
      <c r="AM227" s="117" t="n"/>
      <c r="AN227" s="117" t="n"/>
    </row>
    <row r="228">
      <c r="AM228" s="117" t="n"/>
      <c r="AN228" s="117" t="n"/>
    </row>
    <row r="229">
      <c r="AM229" s="117" t="n"/>
      <c r="AN229" s="117" t="n"/>
    </row>
    <row r="230">
      <c r="AM230" s="117" t="n"/>
      <c r="AN230" s="117" t="n"/>
    </row>
    <row r="231">
      <c r="AM231" s="117" t="n"/>
      <c r="AN231" s="117" t="n"/>
    </row>
    <row r="232">
      <c r="AM232" s="117" t="n"/>
      <c r="AN232" s="117" t="n"/>
    </row>
    <row r="233">
      <c r="AM233" s="117" t="n"/>
      <c r="AN233" s="117" t="n"/>
    </row>
    <row r="234">
      <c r="AM234" s="117" t="n"/>
      <c r="AN234" s="117" t="n"/>
    </row>
    <row r="235">
      <c r="AM235" s="117" t="n"/>
      <c r="AN235" s="117" t="n"/>
    </row>
    <row r="236">
      <c r="AM236" s="117" t="n"/>
      <c r="AN236" s="117" t="n"/>
    </row>
    <row r="237">
      <c r="AM237" s="117" t="n"/>
      <c r="AN237" s="117" t="n"/>
    </row>
    <row r="238">
      <c r="AM238" s="117" t="n"/>
      <c r="AN238" s="117" t="n"/>
    </row>
    <row r="239">
      <c r="AM239" s="117" t="n"/>
      <c r="AN239" s="117" t="n"/>
    </row>
    <row r="240">
      <c r="AM240" s="117" t="n"/>
      <c r="AN240" s="117" t="n"/>
    </row>
    <row r="241">
      <c r="AM241" s="117" t="n"/>
      <c r="AN241" s="117" t="n"/>
    </row>
    <row r="242">
      <c r="AM242" s="117" t="n"/>
      <c r="AN242" s="117" t="n"/>
    </row>
    <row r="243">
      <c r="AM243" s="117" t="n"/>
      <c r="AN243" s="117" t="n"/>
    </row>
    <row r="244">
      <c r="AM244" s="117" t="n"/>
      <c r="AN244" s="117" t="n"/>
    </row>
    <row r="245">
      <c r="AM245" s="117" t="n"/>
      <c r="AN245" s="117" t="n"/>
    </row>
    <row r="246">
      <c r="AM246" s="117" t="n"/>
      <c r="AN246" s="117" t="n"/>
    </row>
    <row r="247">
      <c r="AM247" s="117" t="n"/>
      <c r="AN247" s="117" t="n"/>
    </row>
    <row r="248">
      <c r="AM248" s="117" t="n"/>
      <c r="AN248" s="117" t="n"/>
    </row>
    <row r="249">
      <c r="AM249" s="117" t="n"/>
      <c r="AN249" s="117" t="n"/>
    </row>
    <row r="250">
      <c r="AM250" s="117" t="n"/>
      <c r="AN250" s="117" t="n"/>
    </row>
    <row r="251">
      <c r="AM251" s="117" t="n"/>
      <c r="AN251" s="117" t="n"/>
    </row>
    <row r="252">
      <c r="AM252" s="117" t="n"/>
      <c r="AN252" s="117" t="n"/>
    </row>
    <row r="253">
      <c r="AM253" s="117" t="n"/>
      <c r="AN253" s="117" t="n"/>
    </row>
    <row r="254">
      <c r="AM254" s="117" t="n"/>
      <c r="AN254" s="117" t="n"/>
    </row>
    <row r="255">
      <c r="AM255" s="117" t="n"/>
      <c r="AN255" s="117" t="n"/>
    </row>
    <row r="256">
      <c r="AM256" s="117" t="n"/>
      <c r="AN256" s="117" t="n"/>
    </row>
    <row r="257">
      <c r="AM257" s="117" t="n"/>
      <c r="AN257" s="117" t="n"/>
    </row>
    <row r="258">
      <c r="AM258" s="117" t="n"/>
      <c r="AN258" s="117" t="n"/>
    </row>
    <row r="259">
      <c r="AM259" s="117" t="n"/>
      <c r="AN259" s="117" t="n"/>
    </row>
    <row r="260">
      <c r="AM260" s="117" t="n"/>
      <c r="AN260" s="117" t="n"/>
    </row>
    <row r="261">
      <c r="AM261" s="117" t="n"/>
      <c r="AN261" s="117" t="n"/>
    </row>
    <row r="262">
      <c r="AM262" s="117" t="n"/>
      <c r="AN262" s="117" t="n"/>
    </row>
    <row r="263">
      <c r="AM263" s="117" t="n"/>
      <c r="AN263" s="117" t="n"/>
    </row>
    <row r="264">
      <c r="AM264" s="117" t="n"/>
      <c r="AN264" s="117" t="n"/>
    </row>
    <row r="265">
      <c r="AM265" s="117" t="n"/>
      <c r="AN265" s="117" t="n"/>
    </row>
    <row r="266">
      <c r="AM266" s="117" t="n"/>
      <c r="AN266" s="117" t="n"/>
    </row>
    <row r="267">
      <c r="AM267" s="117" t="n"/>
      <c r="AN267" s="117" t="n"/>
    </row>
    <row r="268">
      <c r="AM268" s="117" t="n"/>
      <c r="AN268" s="117" t="n"/>
    </row>
    <row r="269">
      <c r="AM269" s="117" t="n"/>
      <c r="AN269" s="117" t="n"/>
    </row>
    <row r="270">
      <c r="AM270" s="117" t="n"/>
      <c r="AN270" s="117" t="n"/>
    </row>
    <row r="271">
      <c r="AM271" s="117" t="n"/>
      <c r="AN271" s="117" t="n"/>
    </row>
    <row r="272">
      <c r="AM272" s="117" t="n"/>
      <c r="AN272" s="117" t="n"/>
    </row>
    <row r="273">
      <c r="AM273" s="117" t="n"/>
      <c r="AN273" s="117" t="n"/>
    </row>
    <row r="274">
      <c r="AM274" s="117" t="n"/>
      <c r="AN274" s="117" t="n"/>
    </row>
    <row r="275">
      <c r="AM275" s="117" t="n"/>
      <c r="AN275" s="117" t="n"/>
    </row>
    <row r="276">
      <c r="AM276" s="117" t="n"/>
      <c r="AN276" s="117" t="n"/>
    </row>
    <row r="277">
      <c r="AM277" s="117" t="n"/>
      <c r="AN277" s="117" t="n"/>
    </row>
    <row r="278">
      <c r="AM278" s="117" t="n"/>
      <c r="AN278" s="117" t="n"/>
    </row>
    <row r="279">
      <c r="AM279" s="117" t="n"/>
      <c r="AN279" s="117" t="n"/>
    </row>
    <row r="280">
      <c r="AM280" s="117" t="n"/>
      <c r="AN280" s="117" t="n"/>
    </row>
    <row r="281">
      <c r="AM281" s="117" t="n"/>
      <c r="AN281" s="117" t="n"/>
    </row>
    <row r="282">
      <c r="AM282" s="117" t="n"/>
      <c r="AN282" s="117" t="n"/>
    </row>
    <row r="283">
      <c r="AM283" s="117" t="n"/>
      <c r="AN283" s="117" t="n"/>
    </row>
    <row r="284">
      <c r="AM284" s="117" t="n"/>
      <c r="AN284" s="117" t="n"/>
    </row>
    <row r="285">
      <c r="AM285" s="117" t="n"/>
      <c r="AN285" s="117" t="n"/>
    </row>
    <row r="286">
      <c r="AM286" s="117" t="n"/>
      <c r="AN286" s="117" t="n"/>
    </row>
    <row r="287">
      <c r="AM287" s="117" t="n"/>
      <c r="AN287" s="117" t="n"/>
    </row>
    <row r="288">
      <c r="AM288" s="117" t="n"/>
      <c r="AN288" s="117" t="n"/>
    </row>
    <row r="289">
      <c r="AM289" s="117" t="n"/>
      <c r="AN289" s="117" t="n"/>
    </row>
    <row r="290">
      <c r="AM290" s="117" t="n"/>
      <c r="AN290" s="117" t="n"/>
    </row>
    <row r="291">
      <c r="AM291" s="117" t="n"/>
      <c r="AN291" s="117" t="n"/>
    </row>
    <row r="292">
      <c r="AM292" s="117" t="n"/>
      <c r="AN292" s="117" t="n"/>
    </row>
    <row r="293">
      <c r="AM293" s="117" t="n"/>
      <c r="AN293" s="117" t="n"/>
    </row>
    <row r="294">
      <c r="AM294" s="117" t="n"/>
      <c r="AN294" s="117" t="n"/>
    </row>
    <row r="295">
      <c r="AM295" s="117" t="n"/>
      <c r="AN295" s="117" t="n"/>
    </row>
    <row r="296">
      <c r="AM296" s="117" t="n"/>
      <c r="AN296" s="117" t="n"/>
    </row>
    <row r="297">
      <c r="AM297" s="117" t="n"/>
      <c r="AN297" s="117" t="n"/>
    </row>
    <row r="298">
      <c r="AM298" s="117" t="n"/>
      <c r="AN298" s="117" t="n"/>
    </row>
    <row r="299">
      <c r="AM299" s="117" t="n"/>
      <c r="AN299" s="117" t="n"/>
    </row>
    <row r="300">
      <c r="AM300" s="117" t="n"/>
      <c r="AN300" s="117" t="n"/>
    </row>
    <row r="301">
      <c r="AM301" s="117" t="n"/>
      <c r="AN301" s="117" t="n"/>
    </row>
    <row r="302">
      <c r="AM302" s="117" t="n"/>
      <c r="AN302" s="117" t="n"/>
    </row>
    <row r="303">
      <c r="AM303" s="117" t="n"/>
      <c r="AN303" s="117" t="n"/>
    </row>
  </sheetData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>
  <sheetPr codeName="wrk_DStats_EX1">
    <outlinePr summaryBelow="1" summaryRight="1"/>
    <pageSetUpPr/>
  </sheetPr>
  <dimension ref="A1:AZ303"/>
  <sheetViews>
    <sheetView showGridLines="0" workbookViewId="0">
      <selection activeCell="A1" sqref="A1"/>
    </sheetView>
  </sheetViews>
  <sheetFormatPr baseColWidth="8" defaultColWidth="8.77734375" defaultRowHeight="14.4"/>
  <cols>
    <col width="20.6640625" customWidth="1" min="2" max="2"/>
    <col width="2.6640625" customWidth="1" min="3" max="3"/>
    <col width="15.6640625" customWidth="1" min="4" max="8"/>
    <col width="2.6640625" customWidth="1" min="9" max="9"/>
    <col width="15.6640625" customWidth="1" min="10" max="14"/>
    <col width="2.6640625" customWidth="1" min="15" max="15"/>
    <col width="15.6640625" customWidth="1" min="16" max="20"/>
    <col width="2.6640625" customWidth="1" min="21" max="21"/>
    <col width="15.6640625" customWidth="1" min="22" max="26"/>
    <col width="2.6640625" customWidth="1" min="27" max="27"/>
    <col width="8.6640625" customWidth="1" min="31" max="31"/>
    <col width="37.44140625" customWidth="1" min="32" max="32"/>
    <col width="46.6640625" bestFit="1" customWidth="1" min="33" max="33"/>
    <col width="15.6640625" customWidth="1" min="34" max="35"/>
    <col width="5.6640625" customWidth="1" min="36" max="36"/>
    <col width="8.6640625" customWidth="1" min="37" max="37"/>
    <col width="36.6640625" customWidth="1" min="38" max="38"/>
    <col width="46.6640625" customWidth="1" min="39" max="39"/>
    <col width="15.6640625" customWidth="1" min="40" max="40"/>
    <col width="5.6640625" customWidth="1" min="41" max="41"/>
    <col width="8.6640625" customWidth="1" min="42" max="42"/>
    <col width="30.6640625" customWidth="1" min="43" max="44"/>
    <col width="12.6640625" customWidth="1" min="45" max="47"/>
    <col width="15.6640625" customWidth="1" min="49" max="54"/>
  </cols>
  <sheetData>
    <row r="1" hidden="1"/>
    <row r="2" hidden="1"/>
    <row r="3" hidden="1"/>
    <row r="4" hidden="1"/>
    <row r="5" hidden="1"/>
    <row r="6" hidden="1"/>
    <row r="7" hidden="1"/>
    <row r="8" hidden="1"/>
    <row r="9" hidden="1"/>
    <row r="10" hidden="1"/>
    <row r="11" hidden="1"/>
    <row r="12" hidden="1"/>
    <row r="13" hidden="1"/>
    <row r="14" ht="15" customHeight="1" thickBot="1"/>
    <row r="15" ht="18.6" customHeight="1" thickBot="1">
      <c r="B15" s="1" t="n"/>
      <c r="C15" s="2" t="n"/>
      <c r="D15" s="114" t="inlineStr">
        <is>
          <t>General Dynamics</t>
        </is>
      </c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  <c r="AA15" s="2" t="n"/>
      <c r="AB15" s="2" t="n"/>
      <c r="AC15" s="2" t="n"/>
      <c r="AD15" s="2" t="n"/>
      <c r="AE15" s="2" t="n"/>
      <c r="AF15" s="2" t="n"/>
      <c r="AG15" s="2" t="n"/>
      <c r="AH15" s="2" t="n"/>
      <c r="AI15" s="2" t="n"/>
      <c r="AJ15" s="2" t="n"/>
      <c r="AK15" s="2" t="n"/>
      <c r="AL15" s="2" t="n"/>
      <c r="AM15" s="2" t="n"/>
      <c r="AN15" s="3" t="n"/>
    </row>
    <row r="16" ht="15" customHeight="1" thickBot="1"/>
    <row r="17" ht="15" customHeight="1" thickBot="1">
      <c r="B17" s="4" t="n"/>
      <c r="C17" s="4" t="inlineStr">
        <is>
          <t>Start Date:</t>
        </is>
      </c>
      <c r="D17" s="115" t="inlineStr">
        <is>
          <t>09/01/2024</t>
        </is>
      </c>
      <c r="AD17" s="4" t="n"/>
      <c r="AE17" s="4" t="n"/>
      <c r="AF17" s="6" t="n">
        <v>2029</v>
      </c>
    </row>
    <row r="18">
      <c r="B18" s="4" t="n"/>
      <c r="C18" s="4" t="inlineStr">
        <is>
          <t>End Date:</t>
        </is>
      </c>
      <c r="D18" s="116" t="inlineStr">
        <is>
          <t>08/31/2025</t>
        </is>
      </c>
      <c r="AJ18" s="117" t="n"/>
    </row>
    <row r="19" ht="15" customHeight="1" thickBot="1">
      <c r="B19" s="4" t="n"/>
      <c r="C19" s="4" t="inlineStr">
        <is>
          <t>Total Months:</t>
        </is>
      </c>
      <c r="D19" s="9" t="n">
        <v>12</v>
      </c>
    </row>
    <row r="20" ht="15" customHeight="1" thickBot="1"/>
    <row r="21" ht="15" customHeight="1" thickBot="1">
      <c r="B21" s="10" t="n"/>
      <c r="C21" s="10" t="n"/>
      <c r="D21" s="11" t="inlineStr">
        <is>
          <t xml:space="preserve">Base Yr Claims </t>
        </is>
      </c>
      <c r="E21" s="12" t="n"/>
      <c r="F21" s="12" t="n"/>
      <c r="G21" s="13" t="n"/>
      <c r="H21" s="14" t="n"/>
      <c r="AE21" s="11" t="inlineStr">
        <is>
          <t>Forecast based on time period: 2029</t>
        </is>
      </c>
      <c r="AF21" s="12" t="n"/>
      <c r="AG21" s="12" t="n"/>
      <c r="AH21" s="12" t="n"/>
      <c r="AI21" s="12" t="n"/>
      <c r="AJ21" s="12" t="n"/>
      <c r="AK21" s="12" t="n"/>
      <c r="AL21" s="12" t="n"/>
      <c r="AM21" s="15" t="n"/>
      <c r="AN21" s="15" t="n"/>
    </row>
    <row r="22" ht="15" customHeight="1" thickBot="1">
      <c r="B22" s="10" t="n"/>
      <c r="C22" s="10" t="n"/>
      <c r="D22" s="16" t="n"/>
      <c r="E22" s="16" t="n"/>
      <c r="F22" s="16" t="n"/>
      <c r="G22" s="17" t="n"/>
      <c r="H22" s="18" t="n"/>
    </row>
    <row r="23" ht="15" customHeight="1" thickBot="1">
      <c r="B23" s="19" t="n"/>
      <c r="C23" s="10" t="n"/>
      <c r="D23" s="20" t="inlineStr">
        <is>
          <t>w Exclusions</t>
        </is>
      </c>
      <c r="E23" s="21" t="n"/>
      <c r="F23" s="21" t="n"/>
      <c r="G23" s="21" t="n"/>
      <c r="H23" s="22" t="n"/>
      <c r="AE23" s="20" t="inlineStr">
        <is>
          <t>Overall - Rebatable</t>
        </is>
      </c>
      <c r="AF23" s="21" t="n"/>
      <c r="AG23" s="21" t="n"/>
      <c r="AH23" s="23" t="n"/>
      <c r="AI23" s="23" t="n"/>
      <c r="AK23" s="24" t="inlineStr">
        <is>
          <t>Overall - Non Rebatable (Brand Only)</t>
        </is>
      </c>
      <c r="AL23" s="25" t="n"/>
      <c r="AM23" s="25" t="n"/>
      <c r="AN23" s="26" t="n"/>
    </row>
    <row r="24" ht="30.3" customHeight="1" thickBot="1">
      <c r="B24" s="27" t="inlineStr">
        <is>
          <t>Brand</t>
        </is>
      </c>
      <c r="C24" s="10" t="n"/>
      <c r="D24" s="28" t="inlineStr">
        <is>
          <t>Rx Count</t>
        </is>
      </c>
      <c r="E24" s="29" t="inlineStr">
        <is>
          <t>Quantity</t>
        </is>
      </c>
      <c r="F24" s="29" t="inlineStr">
        <is>
          <t>Days Supply</t>
        </is>
      </c>
      <c r="G24" s="29" t="inlineStr">
        <is>
          <t>Avg Qnty</t>
        </is>
      </c>
      <c r="H24" s="30" t="inlineStr">
        <is>
          <t>Avg DS</t>
        </is>
      </c>
      <c r="I24" s="31" t="n"/>
      <c r="J24" s="31" t="n"/>
      <c r="K24" s="31" t="n"/>
      <c r="L24" s="31" t="n"/>
      <c r="M24" s="31" t="n"/>
      <c r="N24" s="31" t="n"/>
      <c r="O24" s="31" t="n"/>
      <c r="P24" s="31" t="n"/>
      <c r="Q24" s="31" t="n"/>
      <c r="R24" s="31" t="n"/>
      <c r="S24" s="31" t="n"/>
      <c r="T24" s="31" t="n"/>
      <c r="U24" s="31" t="n"/>
      <c r="V24" s="31" t="n"/>
      <c r="W24" s="31" t="n"/>
      <c r="X24" s="31" t="n"/>
      <c r="Y24" s="31" t="n"/>
      <c r="Z24" s="31" t="n"/>
      <c r="AA24" s="31" t="n"/>
      <c r="AE24" s="32" t="inlineStr">
        <is>
          <t>Rank</t>
        </is>
      </c>
      <c r="AF24" s="33" t="inlineStr">
        <is>
          <t>Drug Name</t>
        </is>
      </c>
      <c r="AG24" s="33" t="inlineStr">
        <is>
          <t>Therapeutic Class</t>
        </is>
      </c>
      <c r="AH24" s="33" t="inlineStr">
        <is>
          <t>Total Rebates</t>
        </is>
      </c>
      <c r="AI24" s="34" t="inlineStr">
        <is>
          <t>Scripts</t>
        </is>
      </c>
      <c r="AK24" s="35" t="inlineStr">
        <is>
          <t>Rank</t>
        </is>
      </c>
      <c r="AL24" s="36" t="inlineStr">
        <is>
          <t>Drug Name</t>
        </is>
      </c>
      <c r="AM24" s="36" t="inlineStr">
        <is>
          <t>Therapeutic Class</t>
        </is>
      </c>
      <c r="AN24" s="37" t="inlineStr">
        <is>
          <t>Scripts</t>
        </is>
      </c>
    </row>
    <row r="25">
      <c r="B25" s="38" t="inlineStr">
        <is>
          <t>Retail 30</t>
        </is>
      </c>
      <c r="C25" s="10" t="n"/>
      <c r="D25" s="39" t="n">
        <v>141238</v>
      </c>
      <c r="E25" s="40" t="n">
        <v>3797425.715195745</v>
      </c>
      <c r="F25" s="40" t="n">
        <v>3617119</v>
      </c>
      <c r="G25" s="41" t="n">
        <v>26.88671402310812</v>
      </c>
      <c r="H25" s="42" t="n">
        <v>25.6100978490208</v>
      </c>
      <c r="I25" s="31" t="n"/>
      <c r="J25" s="31" t="n"/>
      <c r="K25" s="31" t="n"/>
      <c r="L25" s="31" t="n"/>
      <c r="M25" s="31" t="n"/>
      <c r="N25" s="31" t="n"/>
      <c r="O25" s="31" t="n"/>
      <c r="P25" s="31" t="n"/>
      <c r="Q25" s="31" t="n"/>
      <c r="R25" s="31" t="n"/>
      <c r="S25" s="31" t="n"/>
      <c r="T25" s="31" t="n"/>
      <c r="U25" s="31" t="n"/>
      <c r="V25" s="31" t="n"/>
      <c r="W25" s="31" t="n"/>
      <c r="X25" s="31" t="n"/>
      <c r="Y25" s="31" t="n"/>
      <c r="Z25" s="31" t="n"/>
      <c r="AA25" s="31" t="n"/>
      <c r="AE25" s="118" t="n">
        <v>1</v>
      </c>
      <c r="AF25" s="44" t="inlineStr">
        <is>
          <t>MOUNJARO</t>
        </is>
      </c>
      <c r="AG25" s="44" t="inlineStr">
        <is>
          <t>GLUCAGON-LIKE PEPTIDE-1 AGONISTS (GLP1)</t>
        </is>
      </c>
      <c r="AH25" s="119" t="n">
        <v>39319209.66723218</v>
      </c>
      <c r="AI25" s="46" t="n">
        <v>57217.42470427202</v>
      </c>
      <c r="AK25" s="120" t="n">
        <v>1</v>
      </c>
      <c r="AL25" s="44" t="inlineStr">
        <is>
          <t>TRIKAFTA</t>
        </is>
      </c>
      <c r="AM25" s="44" t="inlineStr">
        <is>
          <t>CYSTIC FIBROSIS</t>
        </is>
      </c>
      <c r="AN25" s="48" t="n">
        <v>98.12243272919551</v>
      </c>
    </row>
    <row r="26">
      <c r="B26" s="49" t="inlineStr">
        <is>
          <t>Retail 90</t>
        </is>
      </c>
      <c r="C26" s="10" t="n"/>
      <c r="D26" s="50" t="n">
        <v>31427</v>
      </c>
      <c r="E26" s="51" t="n">
        <v>2338263.499864668</v>
      </c>
      <c r="F26" s="51" t="n">
        <v>2793930</v>
      </c>
      <c r="G26" s="52" t="n">
        <v>74.40301332817856</v>
      </c>
      <c r="H26" s="53" t="n">
        <v>88.90221783816463</v>
      </c>
      <c r="I26" s="31" t="n"/>
      <c r="J26" s="31" t="n"/>
      <c r="K26" s="31" t="n"/>
      <c r="L26" s="31" t="n"/>
      <c r="M26" s="31" t="n"/>
      <c r="N26" s="31" t="n"/>
      <c r="O26" s="31" t="n"/>
      <c r="P26" s="31" t="n"/>
      <c r="Q26" s="31" t="n"/>
      <c r="R26" s="31" t="n"/>
      <c r="S26" s="31" t="n"/>
      <c r="T26" s="31" t="n"/>
      <c r="U26" s="31" t="n"/>
      <c r="V26" s="31" t="n"/>
      <c r="W26" s="31" t="n"/>
      <c r="X26" s="31" t="n"/>
      <c r="Y26" s="31" t="n"/>
      <c r="Z26" s="31" t="n"/>
      <c r="AA26" s="31" t="n"/>
      <c r="AE26" s="121" t="n">
        <v>2</v>
      </c>
      <c r="AF26" t="inlineStr">
        <is>
          <t>SKYRIZI PEN</t>
        </is>
      </c>
      <c r="AG26" t="inlineStr">
        <is>
          <t>IMMUNOMODULATORS</t>
        </is>
      </c>
      <c r="AH26" s="122" t="n">
        <v>17118955.31976605</v>
      </c>
      <c r="AI26" s="56" t="n">
        <v>1458.856659385349</v>
      </c>
      <c r="AK26" s="123" t="n">
        <v>2</v>
      </c>
      <c r="AL26" t="inlineStr">
        <is>
          <t>BIKTARVY</t>
        </is>
      </c>
      <c r="AM26" t="inlineStr">
        <is>
          <t>HIV-MULTICLASS COMBO</t>
        </is>
      </c>
      <c r="AN26" s="58" t="n">
        <v>647.687999404754</v>
      </c>
    </row>
    <row r="27" ht="15" customHeight="1" thickBot="1">
      <c r="B27" s="59" t="inlineStr">
        <is>
          <t>Mail</t>
        </is>
      </c>
      <c r="C27" s="10" t="n"/>
      <c r="D27" s="60" t="n">
        <v>10741</v>
      </c>
      <c r="E27" s="61" t="n">
        <v>805466.9249405116</v>
      </c>
      <c r="F27" s="61" t="n">
        <v>760053</v>
      </c>
      <c r="G27" s="62" t="n">
        <v>74.98993808216289</v>
      </c>
      <c r="H27" s="63" t="n">
        <v>70.76184712782795</v>
      </c>
      <c r="I27" s="31" t="n"/>
      <c r="J27" s="31" t="n"/>
      <c r="K27" s="31" t="n"/>
      <c r="L27" s="31" t="n"/>
      <c r="M27" s="31" t="n"/>
      <c r="N27" s="31" t="n"/>
      <c r="O27" s="31" t="n"/>
      <c r="P27" s="31" t="n"/>
      <c r="Q27" s="31" t="n"/>
      <c r="R27" s="31" t="n"/>
      <c r="S27" s="31" t="n"/>
      <c r="T27" s="31" t="n"/>
      <c r="U27" s="31" t="n"/>
      <c r="V27" s="31" t="n"/>
      <c r="W27" s="31" t="n"/>
      <c r="X27" s="31" t="n"/>
      <c r="Y27" s="31" t="n"/>
      <c r="Z27" s="31" t="n"/>
      <c r="AA27" s="31" t="n"/>
      <c r="AE27" s="121" t="n">
        <v>3</v>
      </c>
      <c r="AF27" t="inlineStr">
        <is>
          <t>SKYRIZI</t>
        </is>
      </c>
      <c r="AG27" t="inlineStr">
        <is>
          <t>IMMUNOMODULATORS</t>
        </is>
      </c>
      <c r="AH27" s="122" t="n">
        <v>10495548.86460845</v>
      </c>
      <c r="AI27" s="56" t="n">
        <v>814.1858468752741</v>
      </c>
      <c r="AK27" s="123" t="n">
        <v>3</v>
      </c>
      <c r="AL27" t="inlineStr">
        <is>
          <t>DESCOVY</t>
        </is>
      </c>
      <c r="AM27" t="inlineStr">
        <is>
          <t>HIV-MULTICLASS COMBO</t>
        </is>
      </c>
      <c r="AN27" s="58" t="n">
        <v>928.352799146814</v>
      </c>
    </row>
    <row r="28" ht="15" customHeight="1" thickTop="1">
      <c r="B28" s="64" t="inlineStr">
        <is>
          <t>Non-Specialty</t>
        </is>
      </c>
      <c r="C28" s="10" t="n"/>
      <c r="D28" s="65" t="n">
        <v>183406</v>
      </c>
      <c r="E28" s="66" t="n">
        <v>6941156.140000924</v>
      </c>
      <c r="F28" s="66" t="n">
        <v>7171102</v>
      </c>
      <c r="G28" s="67" t="n">
        <v>37.84585095362706</v>
      </c>
      <c r="H28" s="68" t="n">
        <v>39.09960415689781</v>
      </c>
      <c r="I28" s="31" t="n"/>
      <c r="J28" s="31" t="n"/>
      <c r="K28" s="31" t="n"/>
      <c r="L28" s="31" t="n"/>
      <c r="M28" s="31" t="n"/>
      <c r="N28" s="31" t="n"/>
      <c r="O28" s="31" t="n"/>
      <c r="P28" s="31" t="n"/>
      <c r="Q28" s="31" t="n"/>
      <c r="R28" s="31" t="n"/>
      <c r="S28" s="31" t="n"/>
      <c r="T28" s="31" t="n"/>
      <c r="U28" s="31" t="n"/>
      <c r="V28" s="31" t="n"/>
      <c r="W28" s="31" t="n"/>
      <c r="X28" s="31" t="n"/>
      <c r="Y28" s="31" t="n"/>
      <c r="Z28" s="31" t="n"/>
      <c r="AA28" s="31" t="n"/>
      <c r="AE28" s="121" t="n">
        <v>4</v>
      </c>
      <c r="AF28" t="inlineStr">
        <is>
          <t>OZEMPIC</t>
        </is>
      </c>
      <c r="AG28" t="inlineStr">
        <is>
          <t>GLUCAGON-LIKE PEPTIDE-1 AGONISTS (GLP1)</t>
        </is>
      </c>
      <c r="AH28" s="122" t="n">
        <v>9663611.121818261</v>
      </c>
      <c r="AI28" s="56" t="n">
        <v>13662.253218816</v>
      </c>
      <c r="AK28" s="123" t="n">
        <v>4</v>
      </c>
      <c r="AL28" t="inlineStr">
        <is>
          <t>OXERVATE</t>
        </is>
      </c>
      <c r="AM28" t="inlineStr">
        <is>
          <t>OPHTHALMIC NERVE GROWTH FACTORS</t>
        </is>
      </c>
      <c r="AN28" s="58" t="n">
        <v>44.03971316155007</v>
      </c>
    </row>
    <row r="29" ht="15" customHeight="1" thickBot="1">
      <c r="B29" s="59" t="inlineStr">
        <is>
          <t>Specialty</t>
        </is>
      </c>
      <c r="C29" s="10" t="n"/>
      <c r="D29" s="60" t="n">
        <v>17682</v>
      </c>
      <c r="E29" s="61" t="n">
        <v>1276137.360008448</v>
      </c>
      <c r="F29" s="61" t="n">
        <v>729525</v>
      </c>
      <c r="G29" s="62" t="n">
        <v>72.17155073003327</v>
      </c>
      <c r="H29" s="63" t="n">
        <v>41.25805904309468</v>
      </c>
      <c r="I29" s="31" t="n"/>
      <c r="J29" s="31" t="n"/>
      <c r="K29" s="31" t="n"/>
      <c r="L29" s="31" t="n"/>
      <c r="M29" s="31" t="n"/>
      <c r="N29" s="31" t="n"/>
      <c r="O29" s="31" t="n"/>
      <c r="P29" s="31" t="n"/>
      <c r="Q29" s="31" t="n"/>
      <c r="R29" s="31" t="n"/>
      <c r="S29" s="31" t="n"/>
      <c r="T29" s="31" t="n"/>
      <c r="U29" s="31" t="n"/>
      <c r="V29" s="31" t="n"/>
      <c r="W29" s="31" t="n"/>
      <c r="X29" s="31" t="n"/>
      <c r="Y29" s="31" t="n"/>
      <c r="Z29" s="31" t="n"/>
      <c r="AA29" s="31" t="n"/>
      <c r="AE29" s="121" t="n">
        <v>5</v>
      </c>
      <c r="AF29" t="inlineStr">
        <is>
          <t>STELARA</t>
        </is>
      </c>
      <c r="AG29" t="inlineStr">
        <is>
          <t>IMMUNOMODULATORS</t>
        </is>
      </c>
      <c r="AH29" s="122" t="n">
        <v>9000837.37199421</v>
      </c>
      <c r="AI29" s="56" t="n">
        <v>508.3853589318974</v>
      </c>
      <c r="AK29" s="123" t="n">
        <v>5</v>
      </c>
      <c r="AL29" t="inlineStr">
        <is>
          <t>GONAL-F RFF REDIJECT</t>
        </is>
      </c>
      <c r="AM29" t="inlineStr">
        <is>
          <t>FERTILITY MEDICATIONS</t>
        </is>
      </c>
      <c r="AN29" s="58" t="n">
        <v>236.7392959120197</v>
      </c>
    </row>
    <row r="30" ht="15.6" customHeight="1" thickBot="1" thickTop="1">
      <c r="B30" s="69" t="inlineStr">
        <is>
          <t>Total</t>
        </is>
      </c>
      <c r="C30" s="10" t="n"/>
      <c r="D30" s="70" t="n">
        <v>201088</v>
      </c>
      <c r="E30" s="71" t="n">
        <v>8217293.500009373</v>
      </c>
      <c r="F30" s="71" t="n">
        <v>7900627</v>
      </c>
      <c r="G30" s="72" t="n">
        <v>40.86416643464241</v>
      </c>
      <c r="H30" s="73" t="n">
        <v>39.28940066040738</v>
      </c>
      <c r="I30" s="31" t="n"/>
      <c r="J30" s="31" t="n"/>
      <c r="K30" s="31" t="n"/>
      <c r="L30" s="31" t="n"/>
      <c r="M30" s="31" t="n"/>
      <c r="N30" s="31" t="n"/>
      <c r="O30" s="31" t="n"/>
      <c r="P30" s="31" t="n"/>
      <c r="Q30" s="31" t="n"/>
      <c r="R30" s="31" t="n"/>
      <c r="S30" s="31" t="n"/>
      <c r="T30" s="31" t="n"/>
      <c r="U30" s="31" t="n"/>
      <c r="V30" s="31" t="n"/>
      <c r="W30" s="31" t="n"/>
      <c r="X30" s="31" t="n"/>
      <c r="Y30" s="31" t="n"/>
      <c r="Z30" s="31" t="n"/>
      <c r="AA30" s="31" t="n"/>
      <c r="AE30" s="121" t="n">
        <v>6</v>
      </c>
      <c r="AF30" t="inlineStr">
        <is>
          <t>DUPIXENT</t>
        </is>
      </c>
      <c r="AG30" t="inlineStr">
        <is>
          <t>CHRONIC INFLAMMATORY DISEASE</t>
        </is>
      </c>
      <c r="AH30" s="122" t="n">
        <v>8844746.580159247</v>
      </c>
      <c r="AI30" s="56" t="n">
        <v>5158.465505246561</v>
      </c>
      <c r="AK30" s="123" t="n">
        <v>6</v>
      </c>
      <c r="AL30" t="inlineStr">
        <is>
          <t>COSENTYX UNOREADY</t>
        </is>
      </c>
      <c r="AM30" t="inlineStr">
        <is>
          <t>IMMUNOMODULATORS</t>
        </is>
      </c>
      <c r="AN30" s="58" t="n">
        <v>163.2126531928868</v>
      </c>
    </row>
    <row r="31">
      <c r="B31" s="10" t="n"/>
      <c r="C31" s="10" t="n"/>
      <c r="D31" s="74" t="n"/>
      <c r="E31" s="74" t="n"/>
      <c r="F31" s="74" t="n"/>
      <c r="G31" s="75" t="n"/>
      <c r="H31" s="76" t="n"/>
      <c r="I31" s="31" t="n"/>
      <c r="J31" s="31" t="n"/>
      <c r="K31" s="31" t="n"/>
      <c r="L31" s="31" t="n"/>
      <c r="M31" s="31" t="n"/>
      <c r="N31" s="31" t="n"/>
      <c r="O31" s="31" t="n"/>
      <c r="P31" s="31" t="n"/>
      <c r="Q31" s="31" t="n"/>
      <c r="R31" s="31" t="n"/>
      <c r="S31" s="31" t="n"/>
      <c r="T31" s="31" t="n"/>
      <c r="U31" s="31" t="n"/>
      <c r="V31" s="31" t="n"/>
      <c r="W31" s="31" t="n"/>
      <c r="X31" s="31" t="n"/>
      <c r="Y31" s="31" t="n"/>
      <c r="Z31" s="31" t="n"/>
      <c r="AA31" s="31" t="n"/>
      <c r="AE31" s="121" t="n">
        <v>7</v>
      </c>
      <c r="AF31" t="inlineStr">
        <is>
          <t>RINVOQ</t>
        </is>
      </c>
      <c r="AG31" t="inlineStr">
        <is>
          <t>IMMUNOMODULATORS</t>
        </is>
      </c>
      <c r="AH31" s="122" t="n">
        <v>7870431.986540079</v>
      </c>
      <c r="AI31" s="56" t="n">
        <v>1086.43726570423</v>
      </c>
      <c r="AK31" s="123" t="n">
        <v>7</v>
      </c>
      <c r="AL31" t="inlineStr">
        <is>
          <t>COSENTYX SENSOREADY PEN</t>
        </is>
      </c>
      <c r="AM31" t="inlineStr">
        <is>
          <t>IMMUNOMODULATORS</t>
        </is>
      </c>
      <c r="AN31" s="58" t="n">
        <v>208.4269692801054</v>
      </c>
      <c r="AW31" s="77" t="n"/>
      <c r="AX31" s="78" t="n"/>
      <c r="AY31" s="78" t="n"/>
      <c r="AZ31" s="78" t="n"/>
    </row>
    <row r="32" ht="15" customHeight="1" thickBot="1">
      <c r="B32" s="27" t="inlineStr">
        <is>
          <t>Generic</t>
        </is>
      </c>
      <c r="C32" s="10" t="n"/>
      <c r="D32" s="79" t="n"/>
      <c r="E32" s="79" t="n"/>
      <c r="F32" s="79" t="n"/>
      <c r="G32" s="79" t="n"/>
      <c r="H32" s="80" t="n"/>
      <c r="I32" s="31" t="n"/>
      <c r="J32" s="31" t="n"/>
      <c r="K32" s="31" t="n"/>
      <c r="L32" s="31" t="n"/>
      <c r="M32" s="31" t="n"/>
      <c r="N32" s="31" t="n"/>
      <c r="O32" s="31" t="n"/>
      <c r="P32" s="31" t="n"/>
      <c r="Q32" s="31" t="n"/>
      <c r="R32" s="31" t="n"/>
      <c r="S32" s="31" t="n"/>
      <c r="T32" s="31" t="n"/>
      <c r="U32" s="31" t="n"/>
      <c r="V32" s="31" t="n"/>
      <c r="W32" s="31" t="n"/>
      <c r="X32" s="31" t="n"/>
      <c r="Y32" s="31" t="n"/>
      <c r="Z32" s="31" t="n"/>
      <c r="AA32" s="31" t="n"/>
      <c r="AE32" s="121" t="n">
        <v>8</v>
      </c>
      <c r="AF32" t="inlineStr">
        <is>
          <t>HUMIRA PEN</t>
        </is>
      </c>
      <c r="AG32" t="inlineStr">
        <is>
          <t>IMMUNOMODULATORS</t>
        </is>
      </c>
      <c r="AH32" s="122" t="n">
        <v>7779585.545862423</v>
      </c>
      <c r="AI32" s="56" t="n">
        <v>683.7286822945257</v>
      </c>
      <c r="AK32" s="123" t="n">
        <v>8</v>
      </c>
      <c r="AL32" t="inlineStr">
        <is>
          <t>OTEZLA</t>
        </is>
      </c>
      <c r="AM32" t="inlineStr">
        <is>
          <t>IMMUNOMODULATORS</t>
        </is>
      </c>
      <c r="AN32" s="58" t="n">
        <v>198.3702761133239</v>
      </c>
    </row>
    <row r="33">
      <c r="B33" s="38" t="inlineStr">
        <is>
          <t>Retail 30</t>
        </is>
      </c>
      <c r="C33" s="10" t="n"/>
      <c r="D33" s="39" t="n">
        <v>1070496</v>
      </c>
      <c r="E33" s="40" t="n">
        <v>47379914.577124</v>
      </c>
      <c r="F33" s="40" t="n">
        <v>25884807</v>
      </c>
      <c r="G33" s="41" t="n">
        <v>44.25977731549114</v>
      </c>
      <c r="H33" s="42" t="n">
        <v>24.18019964577168</v>
      </c>
      <c r="I33" s="31" t="n"/>
      <c r="J33" s="31" t="n"/>
      <c r="K33" s="31" t="n"/>
      <c r="L33" s="31" t="n"/>
      <c r="M33" s="31" t="n"/>
      <c r="N33" s="31" t="n"/>
      <c r="O33" s="31" t="n"/>
      <c r="P33" s="31" t="n"/>
      <c r="Q33" s="31" t="n"/>
      <c r="R33" s="31" t="n"/>
      <c r="S33" s="31" t="n"/>
      <c r="T33" s="31" t="n"/>
      <c r="U33" s="31" t="n"/>
      <c r="V33" s="31" t="n"/>
      <c r="W33" s="31" t="n"/>
      <c r="X33" s="31" t="n"/>
      <c r="Y33" s="31" t="n"/>
      <c r="Z33" s="31" t="n"/>
      <c r="AA33" s="31" t="n"/>
      <c r="AE33" s="121" t="n">
        <v>9</v>
      </c>
      <c r="AF33" t="inlineStr">
        <is>
          <t>JARDIANCE</t>
        </is>
      </c>
      <c r="AG33" t="inlineStr">
        <is>
          <t>SGLT-2 INHIBITORS &amp; COMBOS</t>
        </is>
      </c>
      <c r="AH33" s="122" t="n">
        <v>4003356.853268553</v>
      </c>
      <c r="AI33" s="56" t="n">
        <v>15719.43265046274</v>
      </c>
      <c r="AK33" s="123" t="n">
        <v>9</v>
      </c>
      <c r="AL33" t="inlineStr">
        <is>
          <t>HEMLIBRA</t>
        </is>
      </c>
      <c r="AM33" t="inlineStr">
        <is>
          <t>ANTIHEMOPHILIC PRODUCTS</t>
        </is>
      </c>
      <c r="AN33" s="58" t="n">
        <v>31.60228736339862</v>
      </c>
    </row>
    <row r="34">
      <c r="B34" s="49" t="inlineStr">
        <is>
          <t>Retail 90</t>
        </is>
      </c>
      <c r="C34" s="10" t="n"/>
      <c r="D34" s="50" t="n">
        <v>247394</v>
      </c>
      <c r="E34" s="51" t="n">
        <v>26440402.58003044</v>
      </c>
      <c r="F34" s="51" t="n">
        <v>22189170</v>
      </c>
      <c r="G34" s="52" t="n">
        <v>106.8756824338118</v>
      </c>
      <c r="H34" s="53" t="n">
        <v>89.69162550425636</v>
      </c>
      <c r="I34" s="31" t="n"/>
      <c r="J34" s="31" t="n"/>
      <c r="K34" s="31" t="n"/>
      <c r="L34" s="31" t="n"/>
      <c r="M34" s="31" t="n"/>
      <c r="N34" s="31" t="n"/>
      <c r="O34" s="31" t="n"/>
      <c r="P34" s="31" t="n"/>
      <c r="Q34" s="31" t="n"/>
      <c r="R34" s="31" t="n"/>
      <c r="S34" s="31" t="n"/>
      <c r="T34" s="31" t="n"/>
      <c r="U34" s="31" t="n"/>
      <c r="V34" s="31" t="n"/>
      <c r="W34" s="31" t="n"/>
      <c r="X34" s="31" t="n"/>
      <c r="Y34" s="31" t="n"/>
      <c r="Z34" s="31" t="n"/>
      <c r="AA34" s="31" t="n"/>
      <c r="AE34" s="121" t="n">
        <v>10</v>
      </c>
      <c r="AF34" t="inlineStr">
        <is>
          <t>TALTZ</t>
        </is>
      </c>
      <c r="AG34" t="inlineStr">
        <is>
          <t>IMMUNOMODULATORS</t>
        </is>
      </c>
      <c r="AH34" s="122" t="n">
        <v>3344102.528764695</v>
      </c>
      <c r="AI34" s="56" t="n">
        <v>500.6658415511527</v>
      </c>
      <c r="AK34" s="123" t="n">
        <v>10</v>
      </c>
      <c r="AL34" t="inlineStr">
        <is>
          <t>FREESTYLE LIBRE 3 PLUS/SENSOR/GLUCOSE MONITORING SYSTEM</t>
        </is>
      </c>
      <c r="AM34" t="inlineStr">
        <is>
          <t>DIABETES MONITORING AND TESTING SUPPLIES</t>
        </is>
      </c>
      <c r="AN34" s="58" t="n">
        <v>4318.464698316877</v>
      </c>
    </row>
    <row r="35" ht="15" customHeight="1" thickBot="1">
      <c r="B35" s="59" t="inlineStr">
        <is>
          <t>Mail</t>
        </is>
      </c>
      <c r="C35" s="10" t="n"/>
      <c r="D35" s="60" t="n">
        <v>55194</v>
      </c>
      <c r="E35" s="61" t="n">
        <v>5556804.190032244</v>
      </c>
      <c r="F35" s="61" t="n">
        <v>4384361</v>
      </c>
      <c r="G35" s="62" t="n">
        <v>100.6776857997653</v>
      </c>
      <c r="H35" s="63" t="n">
        <v>79.43546399971011</v>
      </c>
      <c r="I35" s="31" t="n"/>
      <c r="J35" s="31" t="n"/>
      <c r="K35" s="31" t="n"/>
      <c r="L35" s="31" t="n"/>
      <c r="M35" s="31" t="n"/>
      <c r="N35" s="31" t="n"/>
      <c r="O35" s="31" t="n"/>
      <c r="P35" s="31" t="n"/>
      <c r="Q35" s="31" t="n"/>
      <c r="R35" s="31" t="n"/>
      <c r="S35" s="31" t="n"/>
      <c r="T35" s="31" t="n"/>
      <c r="U35" s="31" t="n"/>
      <c r="V35" s="31" t="n"/>
      <c r="W35" s="31" t="n"/>
      <c r="X35" s="31" t="n"/>
      <c r="Y35" s="31" t="n"/>
      <c r="Z35" s="31" t="n"/>
      <c r="AA35" s="31" t="n"/>
      <c r="AE35" s="121" t="n">
        <v>11</v>
      </c>
      <c r="AF35" t="inlineStr">
        <is>
          <t>NURTEC</t>
        </is>
      </c>
      <c r="AG35" t="inlineStr">
        <is>
          <t>MIGRAINE PRODUCTS</t>
        </is>
      </c>
      <c r="AH35" s="122" t="n">
        <v>3166490.481048034</v>
      </c>
      <c r="AI35" s="56" t="n">
        <v>3453.512788626769</v>
      </c>
      <c r="AK35" s="123" t="n">
        <v>11</v>
      </c>
      <c r="AL35" t="inlineStr">
        <is>
          <t>GENOTROPIN</t>
        </is>
      </c>
      <c r="AM35" t="inlineStr">
        <is>
          <t>GROWTH HORMONES</t>
        </is>
      </c>
      <c r="AN35" s="58" t="n">
        <v>174.1846960261359</v>
      </c>
    </row>
    <row r="36" ht="15" customHeight="1" thickTop="1">
      <c r="B36" s="64" t="inlineStr">
        <is>
          <t>Non-Specialty</t>
        </is>
      </c>
      <c r="C36" s="10" t="n"/>
      <c r="D36" s="65" t="n">
        <v>1373084</v>
      </c>
      <c r="E36" s="66" t="n">
        <v>79377121.34718668</v>
      </c>
      <c r="F36" s="66" t="n">
        <v>52458338</v>
      </c>
      <c r="G36" s="67" t="n">
        <v>57.80937025497835</v>
      </c>
      <c r="H36" s="68" t="n">
        <v>38.20475513515561</v>
      </c>
      <c r="I36" s="31" t="n"/>
      <c r="J36" s="31" t="n"/>
      <c r="K36" s="31" t="n"/>
      <c r="L36" s="31" t="n"/>
      <c r="M36" s="31" t="n"/>
      <c r="N36" s="31" t="n"/>
      <c r="O36" s="31" t="n"/>
      <c r="P36" s="31" t="n"/>
      <c r="Q36" s="31" t="n"/>
      <c r="R36" s="31" t="n"/>
      <c r="S36" s="31" t="n"/>
      <c r="T36" s="31" t="n"/>
      <c r="U36" s="31" t="n"/>
      <c r="V36" s="31" t="n"/>
      <c r="W36" s="31" t="n"/>
      <c r="X36" s="31" t="n"/>
      <c r="Y36" s="31" t="n"/>
      <c r="Z36" s="31" t="n"/>
      <c r="AA36" s="31" t="n"/>
      <c r="AE36" s="121" t="n">
        <v>12</v>
      </c>
      <c r="AF36" t="inlineStr">
        <is>
          <t>TREMFYA</t>
        </is>
      </c>
      <c r="AG36" t="inlineStr">
        <is>
          <t>IMMUNOMODULATORS</t>
        </is>
      </c>
      <c r="AH36" s="122" t="n">
        <v>2796473.536574826</v>
      </c>
      <c r="AI36" s="56" t="n">
        <v>356.2005877115029</v>
      </c>
      <c r="AK36" s="123" t="n">
        <v>12</v>
      </c>
      <c r="AL36" t="inlineStr">
        <is>
          <t>ZILBRYSQ</t>
        </is>
      </c>
      <c r="AM36" t="inlineStr">
        <is>
          <t>COMPLEMENT INHIBITORS</t>
        </is>
      </c>
      <c r="AN36" s="58" t="n">
        <v>30.99409266728057</v>
      </c>
    </row>
    <row r="37" ht="15" customHeight="1" thickBot="1">
      <c r="B37" s="59" t="inlineStr">
        <is>
          <t>Specialty</t>
        </is>
      </c>
      <c r="C37" s="10" t="n"/>
      <c r="D37" s="60" t="n">
        <v>2510</v>
      </c>
      <c r="E37" s="61" t="n">
        <v>94070.66000258923</v>
      </c>
      <c r="F37" s="61" t="n">
        <v>107685</v>
      </c>
      <c r="G37" s="62" t="n">
        <v>37.47835059864113</v>
      </c>
      <c r="H37" s="63" t="n">
        <v>42.90239043824701</v>
      </c>
      <c r="I37" s="31" t="n"/>
      <c r="J37" s="31" t="n"/>
      <c r="K37" s="31" t="n"/>
      <c r="L37" s="31" t="n"/>
      <c r="M37" s="31" t="n"/>
      <c r="N37" s="31" t="n"/>
      <c r="O37" s="31" t="n"/>
      <c r="P37" s="31" t="n"/>
      <c r="Q37" s="31" t="n"/>
      <c r="R37" s="31" t="n"/>
      <c r="S37" s="31" t="n"/>
      <c r="T37" s="31" t="n"/>
      <c r="U37" s="31" t="n"/>
      <c r="V37" s="31" t="n"/>
      <c r="W37" s="31" t="n"/>
      <c r="X37" s="31" t="n"/>
      <c r="Y37" s="31" t="n"/>
      <c r="Z37" s="31" t="n"/>
      <c r="AA37" s="31" t="n"/>
      <c r="AE37" s="121" t="n">
        <v>13</v>
      </c>
      <c r="AF37" t="inlineStr">
        <is>
          <t>DEXCOM G7 SENSOR</t>
        </is>
      </c>
      <c r="AG37" t="inlineStr">
        <is>
          <t>DIABETES MONITORING AND TESTING SUPPLIES</t>
        </is>
      </c>
      <c r="AH37" s="122" t="n">
        <v>2706191.343138849</v>
      </c>
      <c r="AI37" s="56" t="n">
        <v>6581.796896346093</v>
      </c>
      <c r="AK37" s="123" t="n">
        <v>13</v>
      </c>
      <c r="AL37" t="inlineStr">
        <is>
          <t>EVRYSDI</t>
        </is>
      </c>
      <c r="AM37" t="inlineStr">
        <is>
          <t>SPINAL MUSCULAR ATROPHY (SMA) AGENT</t>
        </is>
      </c>
      <c r="AN37" s="58" t="n">
        <v>45.46034906998717</v>
      </c>
    </row>
    <row r="38" ht="15.6" customHeight="1" thickBot="1" thickTop="1">
      <c r="B38" s="69" t="inlineStr">
        <is>
          <t>Total</t>
        </is>
      </c>
      <c r="C38" s="10" t="n"/>
      <c r="D38" s="70" t="n">
        <v>1375594</v>
      </c>
      <c r="E38" s="71" t="n">
        <v>79471192.00718927</v>
      </c>
      <c r="F38" s="71" t="n">
        <v>52566023</v>
      </c>
      <c r="G38" s="72" t="n">
        <v>57.77227292877787</v>
      </c>
      <c r="H38" s="73" t="n">
        <v>38.21332675193408</v>
      </c>
      <c r="I38" s="31" t="n"/>
      <c r="J38" s="31" t="n"/>
      <c r="K38" s="31" t="n"/>
      <c r="L38" s="31" t="n"/>
      <c r="M38" s="31" t="n"/>
      <c r="N38" s="31" t="n"/>
      <c r="O38" s="31" t="n"/>
      <c r="P38" s="31" t="n"/>
      <c r="Q38" s="31" t="n"/>
      <c r="R38" s="31" t="n"/>
      <c r="S38" s="31" t="n"/>
      <c r="T38" s="31" t="n"/>
      <c r="U38" s="31" t="n"/>
      <c r="V38" s="31" t="n"/>
      <c r="W38" s="31" t="n"/>
      <c r="X38" s="31" t="n"/>
      <c r="Y38" s="31" t="n"/>
      <c r="Z38" s="31" t="n"/>
      <c r="AA38" s="31" t="n"/>
      <c r="AE38" s="121" t="n">
        <v>14</v>
      </c>
      <c r="AF38" t="inlineStr">
        <is>
          <t>QULIPTA</t>
        </is>
      </c>
      <c r="AG38" t="inlineStr">
        <is>
          <t>MIGRAINE PRODUCTS</t>
        </is>
      </c>
      <c r="AH38" s="122" t="n">
        <v>2233738.20938338</v>
      </c>
      <c r="AI38" s="56" t="n">
        <v>2396.746329438651</v>
      </c>
      <c r="AK38" s="123" t="n">
        <v>14</v>
      </c>
      <c r="AL38" t="inlineStr">
        <is>
          <t>SPRAVATO 84MG DOSE</t>
        </is>
      </c>
      <c r="AM38" t="inlineStr">
        <is>
          <t>ANTIDEPRESSANTS</t>
        </is>
      </c>
      <c r="AN38" s="58" t="n">
        <v>768.5640264644705</v>
      </c>
    </row>
    <row r="39">
      <c r="B39" s="10" t="n"/>
      <c r="C39" s="10" t="n"/>
      <c r="D39" s="74" t="n"/>
      <c r="E39" s="74" t="n"/>
      <c r="F39" s="74" t="n"/>
      <c r="G39" s="75" t="n"/>
      <c r="H39" s="76" t="n"/>
      <c r="I39" s="31" t="n"/>
      <c r="J39" s="31" t="n"/>
      <c r="K39" s="31" t="n"/>
      <c r="L39" s="31" t="n"/>
      <c r="M39" s="31" t="n"/>
      <c r="N39" s="31" t="n"/>
      <c r="O39" s="31" t="n"/>
      <c r="P39" s="31" t="n"/>
      <c r="Q39" s="31" t="n"/>
      <c r="R39" s="31" t="n"/>
      <c r="S39" s="31" t="n"/>
      <c r="T39" s="31" t="n"/>
      <c r="U39" s="31" t="n"/>
      <c r="V39" s="31" t="n"/>
      <c r="W39" s="31" t="n"/>
      <c r="X39" s="31" t="n"/>
      <c r="Y39" s="31" t="n"/>
      <c r="Z39" s="31" t="n"/>
      <c r="AA39" s="31" t="n"/>
      <c r="AE39" s="121" t="n">
        <v>15</v>
      </c>
      <c r="AF39" t="inlineStr">
        <is>
          <t>OMNIPOD 5 DEXCOM G7G6 PODS (GEN 5)</t>
        </is>
      </c>
      <c r="AG39" t="inlineStr">
        <is>
          <t>INSULIN ADMINISTRATION SUPPLIES</t>
        </is>
      </c>
      <c r="AH39" s="122" t="n">
        <v>2230198.636925451</v>
      </c>
      <c r="AI39" s="56" t="n">
        <v>8051.177706879999</v>
      </c>
      <c r="AK39" s="123" t="n">
        <v>15</v>
      </c>
      <c r="AL39" t="inlineStr">
        <is>
          <t>PROCYSBI</t>
        </is>
      </c>
      <c r="AM39" t="inlineStr">
        <is>
          <t>ENDOCRINE DISORDERS</t>
        </is>
      </c>
      <c r="AN39" s="58" t="n">
        <v>14.63241827531501</v>
      </c>
    </row>
    <row r="40" ht="15" customHeight="1" thickBot="1">
      <c r="B40" s="27" t="inlineStr">
        <is>
          <t>Total</t>
        </is>
      </c>
      <c r="C40" s="10" t="n"/>
      <c r="D40" s="79" t="n"/>
      <c r="E40" s="79" t="n"/>
      <c r="F40" s="79" t="n"/>
      <c r="G40" s="79" t="n"/>
      <c r="H40" s="80" t="n"/>
      <c r="I40" s="31" t="n"/>
      <c r="J40" s="31" t="n"/>
      <c r="K40" s="31" t="n"/>
      <c r="L40" s="31" t="n"/>
      <c r="M40" s="31" t="n"/>
      <c r="N40" s="31" t="n"/>
      <c r="O40" s="31" t="n"/>
      <c r="P40" s="31" t="n"/>
      <c r="Q40" s="31" t="n"/>
      <c r="R40" s="31" t="n"/>
      <c r="S40" s="31" t="n"/>
      <c r="T40" s="31" t="n"/>
      <c r="U40" s="31" t="n"/>
      <c r="V40" s="31" t="n"/>
      <c r="W40" s="31" t="n"/>
      <c r="X40" s="31" t="n"/>
      <c r="Y40" s="31" t="n"/>
      <c r="Z40" s="31" t="n"/>
      <c r="AA40" s="31" t="n"/>
      <c r="AE40" s="121" t="n">
        <v>16</v>
      </c>
      <c r="AF40" t="inlineStr">
        <is>
          <t>XYWAV</t>
        </is>
      </c>
      <c r="AG40" t="inlineStr">
        <is>
          <t>NARCOLEPSY</t>
        </is>
      </c>
      <c r="AH40" s="122" t="n">
        <v>1978700.945784349</v>
      </c>
      <c r="AI40" s="56" t="n">
        <v>349.0667221872872</v>
      </c>
      <c r="AK40" s="123" t="n">
        <v>16</v>
      </c>
      <c r="AL40" t="inlineStr">
        <is>
          <t>BENLYSTA</t>
        </is>
      </c>
      <c r="AM40" t="inlineStr">
        <is>
          <t>LUPUS AGENT</t>
        </is>
      </c>
      <c r="AN40" s="58" t="n">
        <v>140.6429549352728</v>
      </c>
    </row>
    <row r="41">
      <c r="B41" s="38" t="inlineStr">
        <is>
          <t>Retail 30</t>
        </is>
      </c>
      <c r="C41" s="10" t="n"/>
      <c r="D41" s="39" t="n">
        <v>1211734</v>
      </c>
      <c r="E41" s="40" t="n">
        <v>51177340.29231974</v>
      </c>
      <c r="F41" s="40" t="n">
        <v>29501926</v>
      </c>
      <c r="G41" s="41" t="n">
        <v>42.23479764727221</v>
      </c>
      <c r="H41" s="42" t="n">
        <v>24.34686655652148</v>
      </c>
      <c r="I41" s="31" t="n"/>
      <c r="J41" s="31" t="n"/>
      <c r="K41" s="31" t="n"/>
      <c r="L41" s="31" t="n"/>
      <c r="M41" s="31" t="n"/>
      <c r="N41" s="31" t="n"/>
      <c r="O41" s="31" t="n"/>
      <c r="P41" s="31" t="n"/>
      <c r="Q41" s="31" t="n"/>
      <c r="R41" s="31" t="n"/>
      <c r="S41" s="31" t="n"/>
      <c r="T41" s="31" t="n"/>
      <c r="U41" s="31" t="n"/>
      <c r="V41" s="31" t="n"/>
      <c r="W41" s="31" t="n"/>
      <c r="X41" s="31" t="n"/>
      <c r="Y41" s="31" t="n"/>
      <c r="Z41" s="31" t="n"/>
      <c r="AA41" s="31" t="n"/>
      <c r="AE41" s="121" t="n">
        <v>17</v>
      </c>
      <c r="AF41" t="inlineStr">
        <is>
          <t>ENBREL SURECLICK</t>
        </is>
      </c>
      <c r="AG41" t="inlineStr">
        <is>
          <t>IMMUNOMODULATORS</t>
        </is>
      </c>
      <c r="AH41" s="122" t="n">
        <v>1885958.107650151</v>
      </c>
      <c r="AI41" s="56" t="n">
        <v>397.0037510097246</v>
      </c>
      <c r="AK41" s="123" t="n">
        <v>17</v>
      </c>
      <c r="AL41" t="inlineStr">
        <is>
          <t>PALYNZIQ</t>
        </is>
      </c>
      <c r="AM41" t="inlineStr">
        <is>
          <t>METABOLIC MODIFIERS</t>
        </is>
      </c>
      <c r="AN41" s="58" t="n">
        <v>56.93907401267347</v>
      </c>
    </row>
    <row r="42">
      <c r="B42" s="49" t="inlineStr">
        <is>
          <t>Retail 90</t>
        </is>
      </c>
      <c r="C42" s="10" t="n"/>
      <c r="D42" s="50" t="n">
        <v>278821</v>
      </c>
      <c r="E42" s="51" t="n">
        <v>28778666.07989511</v>
      </c>
      <c r="F42" s="51" t="n">
        <v>24983100</v>
      </c>
      <c r="G42" s="52" t="n">
        <v>103.21556152476</v>
      </c>
      <c r="H42" s="53" t="n">
        <v>89.6026482940668</v>
      </c>
      <c r="I42" s="31" t="n"/>
      <c r="J42" s="31" t="n"/>
      <c r="K42" s="31" t="n"/>
      <c r="L42" s="31" t="n"/>
      <c r="M42" s="31" t="n"/>
      <c r="N42" s="31" t="n"/>
      <c r="O42" s="31" t="n"/>
      <c r="P42" s="31" t="n"/>
      <c r="Q42" s="31" t="n"/>
      <c r="R42" s="31" t="n"/>
      <c r="S42" s="31" t="n"/>
      <c r="T42" s="31" t="n"/>
      <c r="U42" s="31" t="n"/>
      <c r="V42" s="31" t="n"/>
      <c r="W42" s="31" t="n"/>
      <c r="X42" s="31" t="n"/>
      <c r="Y42" s="31" t="n"/>
      <c r="Z42" s="31" t="n"/>
      <c r="AA42" s="31" t="n"/>
      <c r="AE42" s="121" t="n">
        <v>18</v>
      </c>
      <c r="AF42" t="inlineStr">
        <is>
          <t>TRELEGY ELLIPTA</t>
        </is>
      </c>
      <c r="AG42" t="inlineStr">
        <is>
          <t>LABA LAMA COMBO</t>
        </is>
      </c>
      <c r="AH42" s="122" t="n">
        <v>1600177.060965291</v>
      </c>
      <c r="AI42" s="56" t="n">
        <v>3412.859287341888</v>
      </c>
      <c r="AK42" s="123" t="n">
        <v>18</v>
      </c>
      <c r="AL42" t="inlineStr">
        <is>
          <t>VENCLEXTA</t>
        </is>
      </c>
      <c r="AM42" t="inlineStr">
        <is>
          <t>ONCOLOGY</t>
        </is>
      </c>
      <c r="AN42" s="58" t="n">
        <v>71.32062334195554</v>
      </c>
    </row>
    <row r="43" ht="15" customHeight="1" thickBot="1">
      <c r="B43" s="59" t="inlineStr">
        <is>
          <t>Mail</t>
        </is>
      </c>
      <c r="C43" s="10" t="n"/>
      <c r="D43" s="60" t="n">
        <v>65935</v>
      </c>
      <c r="E43" s="61" t="n">
        <v>6362271.114972755</v>
      </c>
      <c r="F43" s="61" t="n">
        <v>5144414</v>
      </c>
      <c r="G43" s="62" t="n">
        <v>96.49307825847812</v>
      </c>
      <c r="H43" s="63" t="n">
        <v>78.02250701448396</v>
      </c>
      <c r="I43" s="31" t="n"/>
      <c r="J43" s="31" t="n"/>
      <c r="K43" s="31" t="n"/>
      <c r="L43" s="31" t="n"/>
      <c r="M43" s="31" t="n"/>
      <c r="N43" s="31" t="n"/>
      <c r="O43" s="31" t="n"/>
      <c r="P43" s="31" t="n"/>
      <c r="Q43" s="31" t="n"/>
      <c r="R43" s="31" t="n"/>
      <c r="S43" s="31" t="n"/>
      <c r="T43" s="31" t="n"/>
      <c r="U43" s="31" t="n"/>
      <c r="V43" s="31" t="n"/>
      <c r="W43" s="31" t="n"/>
      <c r="X43" s="31" t="n"/>
      <c r="Y43" s="31" t="n"/>
      <c r="Z43" s="31" t="n"/>
      <c r="AA43" s="31" t="n"/>
      <c r="AE43" s="121" t="n">
        <v>19</v>
      </c>
      <c r="AF43" t="inlineStr">
        <is>
          <t>TRULICITY</t>
        </is>
      </c>
      <c r="AG43" t="inlineStr">
        <is>
          <t>GLUCAGON-LIKE PEPTIDE-1 AGONISTS (GLP1)</t>
        </is>
      </c>
      <c r="AH43" s="122" t="n">
        <v>1510807.548394438</v>
      </c>
      <c r="AI43" s="56" t="n">
        <v>2131.7754719232</v>
      </c>
      <c r="AK43" s="123" t="n">
        <v>19</v>
      </c>
      <c r="AL43" t="inlineStr">
        <is>
          <t>JAKAFI</t>
        </is>
      </c>
      <c r="AM43" t="inlineStr">
        <is>
          <t>ONCOLOGY</t>
        </is>
      </c>
      <c r="AN43" s="58" t="n">
        <v>53.0202796933234</v>
      </c>
    </row>
    <row r="44" ht="15.6" customHeight="1" thickBot="1" thickTop="1">
      <c r="B44" s="64" t="inlineStr">
        <is>
          <t>Non-Specialty</t>
        </is>
      </c>
      <c r="C44" s="10" t="n"/>
      <c r="D44" s="65" t="n">
        <v>1556490</v>
      </c>
      <c r="E44" s="66" t="n">
        <v>86318277.48718761</v>
      </c>
      <c r="F44" s="66" t="n">
        <v>59629440</v>
      </c>
      <c r="G44" s="67" t="n">
        <v>55.45700742516021</v>
      </c>
      <c r="H44" s="68" t="n">
        <v>38.3101979453771</v>
      </c>
      <c r="I44" s="31" t="n"/>
      <c r="J44" s="31" t="n"/>
      <c r="K44" s="31" t="n"/>
      <c r="L44" s="31" t="n"/>
      <c r="M44" s="31" t="n"/>
      <c r="N44" s="31" t="n"/>
      <c r="O44" s="31" t="n"/>
      <c r="P44" s="31" t="n"/>
      <c r="Q44" s="31" t="n"/>
      <c r="R44" s="31" t="n"/>
      <c r="S44" s="31" t="n"/>
      <c r="T44" s="31" t="n"/>
      <c r="U44" s="31" t="n"/>
      <c r="V44" s="31" t="n"/>
      <c r="W44" s="31" t="n"/>
      <c r="X44" s="31" t="n"/>
      <c r="Y44" s="31" t="n"/>
      <c r="Z44" s="31" t="n"/>
      <c r="AA44" s="31" t="n"/>
      <c r="AE44" s="124" t="n">
        <v>20</v>
      </c>
      <c r="AF44" s="82" t="inlineStr">
        <is>
          <t>REPATHA SURECLICK</t>
        </is>
      </c>
      <c r="AG44" s="82" t="inlineStr">
        <is>
          <t>PCSK9 INHIBITORS</t>
        </is>
      </c>
      <c r="AH44" s="125" t="n">
        <v>1459940.670626835</v>
      </c>
      <c r="AI44" s="84" t="n">
        <v>3947.949967310398</v>
      </c>
      <c r="AK44" s="126" t="n">
        <v>20</v>
      </c>
      <c r="AL44" s="86" t="inlineStr">
        <is>
          <t>REVLIMID</t>
        </is>
      </c>
      <c r="AM44" s="86" t="inlineStr">
        <is>
          <t>ONCOLOGY</t>
        </is>
      </c>
      <c r="AN44" s="87" t="n">
        <v>59.90388889957987</v>
      </c>
    </row>
    <row r="45" ht="15" customHeight="1" thickBot="1">
      <c r="B45" s="59" t="inlineStr">
        <is>
          <t>Specialty</t>
        </is>
      </c>
      <c r="C45" s="10" t="n"/>
      <c r="D45" s="60" t="n">
        <v>20192</v>
      </c>
      <c r="E45" s="61" t="n">
        <v>1370208.020011038</v>
      </c>
      <c r="F45" s="61" t="n">
        <v>837210</v>
      </c>
      <c r="G45" s="62" t="n">
        <v>67.85895503224235</v>
      </c>
      <c r="H45" s="63" t="n">
        <v>41.46246038034865</v>
      </c>
      <c r="I45" s="31" t="n"/>
      <c r="J45" s="31" t="n"/>
      <c r="K45" s="31" t="n"/>
      <c r="L45" s="31" t="n"/>
      <c r="M45" s="31" t="n"/>
      <c r="N45" s="31" t="n"/>
      <c r="O45" s="31" t="n"/>
      <c r="P45" s="31" t="n"/>
      <c r="Q45" s="31" t="n"/>
      <c r="R45" s="31" t="n"/>
      <c r="S45" s="31" t="n"/>
      <c r="T45" s="31" t="n"/>
      <c r="U45" s="31" t="n"/>
      <c r="V45" s="31" t="n"/>
      <c r="W45" s="31" t="n"/>
      <c r="X45" s="31" t="n"/>
      <c r="Y45" s="31" t="n"/>
      <c r="Z45" s="31" t="n"/>
      <c r="AA45" s="31" t="n"/>
    </row>
    <row r="46" ht="15.6" customHeight="1" thickBot="1" thickTop="1">
      <c r="B46" s="69" t="inlineStr">
        <is>
          <t>Total</t>
        </is>
      </c>
      <c r="C46" s="10" t="n"/>
      <c r="D46" s="70" t="n">
        <v>1576682</v>
      </c>
      <c r="E46" s="71" t="n">
        <v>87688485.50719865</v>
      </c>
      <c r="F46" s="71" t="n">
        <v>60466650</v>
      </c>
      <c r="G46" s="72" t="n">
        <v>55.61583471314992</v>
      </c>
      <c r="H46" s="73" t="n">
        <v>38.35056783802948</v>
      </c>
      <c r="I46" s="31" t="n"/>
      <c r="J46" s="31" t="n"/>
      <c r="K46" s="31" t="n"/>
      <c r="L46" s="31" t="n"/>
      <c r="M46" s="31" t="n"/>
      <c r="N46" s="31" t="n"/>
      <c r="O46" s="31" t="n"/>
      <c r="P46" s="31" t="n"/>
      <c r="Q46" s="31" t="n"/>
      <c r="R46" s="31" t="n"/>
      <c r="S46" s="31" t="n"/>
      <c r="T46" s="31" t="n"/>
      <c r="U46" s="31" t="n"/>
      <c r="V46" s="31" t="n"/>
      <c r="W46" s="31" t="n"/>
      <c r="X46" s="31" t="n"/>
      <c r="Y46" s="31" t="n"/>
      <c r="Z46" s="31" t="n"/>
      <c r="AA46" s="31" t="n"/>
    </row>
    <row r="47" ht="15" customHeight="1" thickBot="1">
      <c r="AE47" s="20" t="inlineStr">
        <is>
          <t>Overall - Brand Only</t>
        </is>
      </c>
      <c r="AF47" s="21" t="n"/>
      <c r="AG47" s="23" t="n"/>
      <c r="AH47" s="23" t="n"/>
    </row>
    <row r="48" ht="34.95" customHeight="1" thickBot="1">
      <c r="B48" s="88" t="n"/>
      <c r="C48" s="88" t="n"/>
      <c r="D48" s="88" t="n"/>
      <c r="E48" s="88" t="n"/>
      <c r="F48" s="88" t="n"/>
      <c r="G48" s="88" t="n"/>
      <c r="H48" s="88" t="n"/>
      <c r="I48" s="88" t="n"/>
      <c r="J48" s="88" t="n"/>
      <c r="K48" s="88" t="n"/>
      <c r="L48" s="88" t="n"/>
      <c r="M48" s="88" t="n"/>
      <c r="N48" s="88" t="n"/>
      <c r="O48" s="88" t="n"/>
      <c r="P48" s="88" t="n"/>
      <c r="Q48" s="88" t="n"/>
      <c r="R48" s="88" t="n"/>
      <c r="S48" s="88" t="n"/>
      <c r="T48" s="88" t="n"/>
      <c r="U48" s="88" t="n"/>
      <c r="V48" s="88" t="n"/>
      <c r="W48" s="88" t="n"/>
      <c r="X48" s="88" t="n"/>
      <c r="Y48" s="88" t="n"/>
      <c r="Z48" s="88" t="n"/>
      <c r="AA48" s="88" t="n"/>
      <c r="AE48" s="32" t="inlineStr">
        <is>
          <t>Rank</t>
        </is>
      </c>
      <c r="AF48" s="33" t="inlineStr">
        <is>
          <t>Therapeutic Class</t>
        </is>
      </c>
      <c r="AG48" s="33" t="inlineStr">
        <is>
          <t>Total Rebates</t>
        </is>
      </c>
      <c r="AH48" s="34" t="inlineStr">
        <is>
          <t>Brand Scripts</t>
        </is>
      </c>
    </row>
    <row r="49" ht="15" customHeight="1" thickTop="1">
      <c r="AE49" s="118" t="n">
        <v>1</v>
      </c>
      <c r="AF49" s="44" t="inlineStr">
        <is>
          <t>IMMUNOMODULATORS</t>
        </is>
      </c>
      <c r="AG49" s="119" t="n">
        <v>63233011.79707871</v>
      </c>
      <c r="AH49" s="46" t="n">
        <v>7144.845202353837</v>
      </c>
    </row>
    <row r="50" ht="15" customHeight="1" thickBot="1">
      <c r="AE50" s="121" t="n">
        <v>2</v>
      </c>
      <c r="AF50" t="inlineStr">
        <is>
          <t>GLUCAGON-LIKE PEPTIDE-1 AGONISTS (GLP1)</t>
        </is>
      </c>
      <c r="AG50" s="122" t="n">
        <v>51557088.17829859</v>
      </c>
      <c r="AH50" s="56" t="n">
        <v>74258.42396796563</v>
      </c>
    </row>
    <row r="51" ht="15" customHeight="1" thickBot="1">
      <c r="D51" s="11" t="inlineStr">
        <is>
          <t>Base Yr</t>
        </is>
      </c>
      <c r="E51" s="12" t="n"/>
      <c r="F51" s="12" t="n"/>
      <c r="G51" s="13" t="n"/>
      <c r="H51" s="14" t="n"/>
      <c r="J51" s="11" t="n">
        <v>2029</v>
      </c>
      <c r="K51" s="12" t="n"/>
      <c r="L51" s="12" t="n"/>
      <c r="M51" s="13" t="n"/>
      <c r="N51" s="14" t="n"/>
      <c r="P51" s="11" t="n">
        <v>2028</v>
      </c>
      <c r="Q51" s="12" t="n"/>
      <c r="R51" s="12" t="n"/>
      <c r="S51" s="13" t="n"/>
      <c r="T51" s="14" t="n"/>
      <c r="V51" s="11" t="n">
        <v>2029</v>
      </c>
      <c r="W51" s="12" t="n"/>
      <c r="X51" s="12" t="n"/>
      <c r="Y51" s="13" t="n"/>
      <c r="Z51" s="14" t="n"/>
      <c r="AE51" s="121" t="n">
        <v>3</v>
      </c>
      <c r="AF51" t="inlineStr">
        <is>
          <t>CHRONIC INFLAMMATORY DISEASE</t>
        </is>
      </c>
      <c r="AG51" s="122" t="n">
        <v>10485568.10018732</v>
      </c>
      <c r="AH51" s="56" t="n">
        <v>5932.289759414654</v>
      </c>
    </row>
    <row r="52" ht="15" customHeight="1" thickBot="1">
      <c r="B52" s="27" t="inlineStr">
        <is>
          <t>Excl - Brand</t>
        </is>
      </c>
      <c r="D52" s="28" t="inlineStr">
        <is>
          <t>R30</t>
        </is>
      </c>
      <c r="E52" s="29" t="inlineStr">
        <is>
          <t>R90</t>
        </is>
      </c>
      <c r="F52" s="29" t="inlineStr">
        <is>
          <t>Mail</t>
        </is>
      </c>
      <c r="G52" s="29" t="inlineStr">
        <is>
          <t>Specialty</t>
        </is>
      </c>
      <c r="H52" s="30" t="inlineStr">
        <is>
          <t>Total</t>
        </is>
      </c>
      <c r="J52" s="28" t="inlineStr">
        <is>
          <t>R30</t>
        </is>
      </c>
      <c r="K52" s="29" t="inlineStr">
        <is>
          <t>R90</t>
        </is>
      </c>
      <c r="L52" s="29" t="inlineStr">
        <is>
          <t>Mail</t>
        </is>
      </c>
      <c r="M52" s="29" t="inlineStr">
        <is>
          <t>Specialty</t>
        </is>
      </c>
      <c r="N52" s="30" t="inlineStr">
        <is>
          <t>Total</t>
        </is>
      </c>
      <c r="P52" s="28" t="inlineStr">
        <is>
          <t>R30</t>
        </is>
      </c>
      <c r="Q52" s="29" t="inlineStr">
        <is>
          <t>R90</t>
        </is>
      </c>
      <c r="R52" s="29" t="inlineStr">
        <is>
          <t>Mail</t>
        </is>
      </c>
      <c r="S52" s="29" t="inlineStr">
        <is>
          <t>Specialty</t>
        </is>
      </c>
      <c r="T52" s="30" t="inlineStr">
        <is>
          <t>Total</t>
        </is>
      </c>
      <c r="V52" s="28" t="inlineStr">
        <is>
          <t>R30</t>
        </is>
      </c>
      <c r="W52" s="29" t="inlineStr">
        <is>
          <t>R90</t>
        </is>
      </c>
      <c r="X52" s="29" t="inlineStr">
        <is>
          <t>Mail</t>
        </is>
      </c>
      <c r="Y52" s="29" t="inlineStr">
        <is>
          <t>Specialty</t>
        </is>
      </c>
      <c r="Z52" s="30" t="inlineStr">
        <is>
          <t>Total</t>
        </is>
      </c>
      <c r="AE52" s="121" t="n">
        <v>4</v>
      </c>
      <c r="AF52" t="inlineStr">
        <is>
          <t>MIGRAINE PRODUCTS</t>
        </is>
      </c>
      <c r="AG52" s="122" t="n">
        <v>8658924.361308821</v>
      </c>
      <c r="AH52" s="56" t="n">
        <v>12816.49314743355</v>
      </c>
    </row>
    <row r="53">
      <c r="B53" s="38" t="inlineStr">
        <is>
          <t>OTCs</t>
        </is>
      </c>
      <c r="D53" s="127" t="n">
        <v>0</v>
      </c>
      <c r="E53" s="128" t="n">
        <v>0</v>
      </c>
      <c r="F53" s="128" t="n">
        <v>0</v>
      </c>
      <c r="G53" s="128" t="n">
        <v>0</v>
      </c>
      <c r="H53" s="129" t="n">
        <v>0</v>
      </c>
      <c r="J53" s="127" t="n">
        <v>0</v>
      </c>
      <c r="K53" s="128" t="n">
        <v>0</v>
      </c>
      <c r="L53" s="128" t="n">
        <v>0</v>
      </c>
      <c r="M53" s="128" t="n">
        <v>0</v>
      </c>
      <c r="N53" s="129" t="n">
        <v>0</v>
      </c>
      <c r="P53" s="127" t="n">
        <v>0</v>
      </c>
      <c r="Q53" s="128" t="n">
        <v>0</v>
      </c>
      <c r="R53" s="128" t="n">
        <v>0</v>
      </c>
      <c r="S53" s="128" t="n">
        <v>0</v>
      </c>
      <c r="T53" s="129" t="n">
        <v>0</v>
      </c>
      <c r="V53" s="127" t="n">
        <v>0</v>
      </c>
      <c r="W53" s="128" t="n">
        <v>0</v>
      </c>
      <c r="X53" s="128" t="n">
        <v>0</v>
      </c>
      <c r="Y53" s="128" t="n">
        <v>0</v>
      </c>
      <c r="Z53" s="129" t="n">
        <v>0</v>
      </c>
      <c r="AE53" s="121" t="n">
        <v>5</v>
      </c>
      <c r="AF53" t="inlineStr">
        <is>
          <t>DIABETES MONITORING AND TESTING SUPPLIES</t>
        </is>
      </c>
      <c r="AG53" s="122" t="n">
        <v>4324550.001259192</v>
      </c>
      <c r="AH53" s="56" t="n">
        <v>24035.87155701355</v>
      </c>
    </row>
    <row r="54">
      <c r="B54" s="49" t="inlineStr">
        <is>
          <t>Devices</t>
        </is>
      </c>
      <c r="D54" s="130" t="n">
        <v>0</v>
      </c>
      <c r="E54" s="131" t="n">
        <v>0</v>
      </c>
      <c r="F54" s="131" t="n">
        <v>0</v>
      </c>
      <c r="G54" s="131" t="n">
        <v>0</v>
      </c>
      <c r="H54" s="132" t="n">
        <v>0</v>
      </c>
      <c r="J54" s="130" t="n">
        <v>0</v>
      </c>
      <c r="K54" s="131" t="n">
        <v>0</v>
      </c>
      <c r="L54" s="131" t="n">
        <v>0</v>
      </c>
      <c r="M54" s="131" t="n">
        <v>0</v>
      </c>
      <c r="N54" s="132" t="n">
        <v>0</v>
      </c>
      <c r="P54" s="130" t="n">
        <v>0</v>
      </c>
      <c r="Q54" s="131" t="n">
        <v>0</v>
      </c>
      <c r="R54" s="131" t="n">
        <v>0</v>
      </c>
      <c r="S54" s="131" t="n">
        <v>0</v>
      </c>
      <c r="T54" s="132" t="n">
        <v>0</v>
      </c>
      <c r="V54" s="130" t="n">
        <v>0</v>
      </c>
      <c r="W54" s="131" t="n">
        <v>0</v>
      </c>
      <c r="X54" s="131" t="n">
        <v>0</v>
      </c>
      <c r="Y54" s="131" t="n">
        <v>0</v>
      </c>
      <c r="Z54" s="132" t="n">
        <v>0</v>
      </c>
      <c r="AE54" s="121" t="n">
        <v>6</v>
      </c>
      <c r="AF54" t="inlineStr">
        <is>
          <t>SGLT-2 INHIBITORS &amp; COMBOS</t>
        </is>
      </c>
      <c r="AG54" s="122" t="n">
        <v>4322182.061700783</v>
      </c>
      <c r="AH54" s="56" t="n">
        <v>17288.0539711389</v>
      </c>
    </row>
    <row r="55">
      <c r="B55" s="64" t="inlineStr">
        <is>
          <t>Vaccines</t>
        </is>
      </c>
      <c r="D55" s="130" t="n">
        <v>0</v>
      </c>
      <c r="E55" s="131" t="n">
        <v>0</v>
      </c>
      <c r="F55" s="131" t="n">
        <v>0</v>
      </c>
      <c r="G55" s="131" t="n">
        <v>0</v>
      </c>
      <c r="H55" s="132" t="n">
        <v>0</v>
      </c>
      <c r="J55" s="130" t="n">
        <v>0</v>
      </c>
      <c r="K55" s="131" t="n">
        <v>0</v>
      </c>
      <c r="L55" s="131" t="n">
        <v>0</v>
      </c>
      <c r="M55" s="131" t="n">
        <v>0</v>
      </c>
      <c r="N55" s="132" t="n">
        <v>0</v>
      </c>
      <c r="P55" s="130" t="n">
        <v>0</v>
      </c>
      <c r="Q55" s="131" t="n">
        <v>0</v>
      </c>
      <c r="R55" s="131" t="n">
        <v>0</v>
      </c>
      <c r="S55" s="131" t="n">
        <v>0</v>
      </c>
      <c r="T55" s="132" t="n">
        <v>0</v>
      </c>
      <c r="V55" s="130" t="n">
        <v>0</v>
      </c>
      <c r="W55" s="131" t="n">
        <v>0</v>
      </c>
      <c r="X55" s="131" t="n">
        <v>0</v>
      </c>
      <c r="Y55" s="131" t="n">
        <v>0</v>
      </c>
      <c r="Z55" s="132" t="n">
        <v>0</v>
      </c>
      <c r="AE55" s="121" t="n">
        <v>7</v>
      </c>
      <c r="AF55" t="inlineStr">
        <is>
          <t>LABA LAMA COMBO</t>
        </is>
      </c>
      <c r="AG55" s="122" t="n">
        <v>3484460.439067294</v>
      </c>
      <c r="AH55" s="56" t="n">
        <v>9492.310240005841</v>
      </c>
    </row>
    <row r="56">
      <c r="B56" s="64" t="inlineStr">
        <is>
          <t>Repackaged</t>
        </is>
      </c>
      <c r="D56" s="130" t="n">
        <v>0</v>
      </c>
      <c r="E56" s="131" t="n">
        <v>0</v>
      </c>
      <c r="F56" s="131" t="n">
        <v>0</v>
      </c>
      <c r="G56" s="131" t="n">
        <v>0</v>
      </c>
      <c r="H56" s="132" t="n">
        <v>0</v>
      </c>
      <c r="J56" s="130" t="n">
        <v>0</v>
      </c>
      <c r="K56" s="131" t="n">
        <v>0</v>
      </c>
      <c r="L56" s="131" t="n">
        <v>0</v>
      </c>
      <c r="M56" s="131" t="n">
        <v>0</v>
      </c>
      <c r="N56" s="132" t="n">
        <v>0</v>
      </c>
      <c r="P56" s="130" t="n">
        <v>0</v>
      </c>
      <c r="Q56" s="131" t="n">
        <v>0</v>
      </c>
      <c r="R56" s="131" t="n">
        <v>0</v>
      </c>
      <c r="S56" s="131" t="n">
        <v>0</v>
      </c>
      <c r="T56" s="132" t="n">
        <v>0</v>
      </c>
      <c r="V56" s="130" t="n">
        <v>0</v>
      </c>
      <c r="W56" s="131" t="n">
        <v>0</v>
      </c>
      <c r="X56" s="131" t="n">
        <v>0</v>
      </c>
      <c r="Y56" s="131" t="n">
        <v>0</v>
      </c>
      <c r="Z56" s="132" t="n">
        <v>0</v>
      </c>
      <c r="AE56" s="121" t="n">
        <v>8</v>
      </c>
      <c r="AF56" t="inlineStr">
        <is>
          <t>NARCOLEPSY</t>
        </is>
      </c>
      <c r="AG56" s="122" t="n">
        <v>2805798.160532758</v>
      </c>
      <c r="AH56" s="56" t="n">
        <v>761.1241252540833</v>
      </c>
    </row>
    <row r="57">
      <c r="B57" s="64" t="inlineStr">
        <is>
          <t>MSBs</t>
        </is>
      </c>
      <c r="D57" s="130" t="n">
        <v>0</v>
      </c>
      <c r="E57" s="131" t="n">
        <v>0</v>
      </c>
      <c r="F57" s="131" t="n">
        <v>0</v>
      </c>
      <c r="G57" s="131" t="n">
        <v>0</v>
      </c>
      <c r="H57" s="132" t="n">
        <v>0</v>
      </c>
      <c r="J57" s="130" t="n">
        <v>0</v>
      </c>
      <c r="K57" s="131" t="n">
        <v>0</v>
      </c>
      <c r="L57" s="131" t="n">
        <v>0</v>
      </c>
      <c r="M57" s="131" t="n">
        <v>0</v>
      </c>
      <c r="N57" s="132" t="n">
        <v>0</v>
      </c>
      <c r="P57" s="130" t="n">
        <v>0</v>
      </c>
      <c r="Q57" s="131" t="n">
        <v>0</v>
      </c>
      <c r="R57" s="131" t="n">
        <v>0</v>
      </c>
      <c r="S57" s="131" t="n">
        <v>0</v>
      </c>
      <c r="T57" s="132" t="n">
        <v>0</v>
      </c>
      <c r="V57" s="130" t="n">
        <v>0</v>
      </c>
      <c r="W57" s="131" t="n">
        <v>0</v>
      </c>
      <c r="X57" s="131" t="n">
        <v>0</v>
      </c>
      <c r="Y57" s="131" t="n">
        <v>0</v>
      </c>
      <c r="Z57" s="132" t="n">
        <v>0</v>
      </c>
      <c r="AE57" s="121" t="n">
        <v>9</v>
      </c>
      <c r="AF57" t="inlineStr">
        <is>
          <t>INSULIN ADMINISTRATION SUPPLIES</t>
        </is>
      </c>
      <c r="AG57" s="122" t="n">
        <v>2428060.777311677</v>
      </c>
      <c r="AH57" s="56" t="n">
        <v>8953.872484479998</v>
      </c>
    </row>
    <row r="58">
      <c r="B58" s="64" t="inlineStr">
        <is>
          <t>Non FDA Approved</t>
        </is>
      </c>
      <c r="D58" s="130" t="n">
        <v>0</v>
      </c>
      <c r="E58" s="131" t="n">
        <v>0</v>
      </c>
      <c r="F58" s="131" t="n">
        <v>0</v>
      </c>
      <c r="G58" s="131" t="n">
        <v>0</v>
      </c>
      <c r="H58" s="132" t="n">
        <v>0</v>
      </c>
      <c r="J58" s="130" t="n">
        <v>0</v>
      </c>
      <c r="K58" s="131" t="n">
        <v>0</v>
      </c>
      <c r="L58" s="131" t="n">
        <v>0</v>
      </c>
      <c r="M58" s="131" t="n">
        <v>0</v>
      </c>
      <c r="N58" s="132" t="n">
        <v>0</v>
      </c>
      <c r="P58" s="130" t="n">
        <v>0</v>
      </c>
      <c r="Q58" s="131" t="n">
        <v>0</v>
      </c>
      <c r="R58" s="131" t="n">
        <v>0</v>
      </c>
      <c r="S58" s="131" t="n">
        <v>0</v>
      </c>
      <c r="T58" s="132" t="n">
        <v>0</v>
      </c>
      <c r="V58" s="130" t="n">
        <v>0</v>
      </c>
      <c r="W58" s="131" t="n">
        <v>0</v>
      </c>
      <c r="X58" s="131" t="n">
        <v>0</v>
      </c>
      <c r="Y58" s="131" t="n">
        <v>0</v>
      </c>
      <c r="Z58" s="132" t="n">
        <v>0</v>
      </c>
      <c r="AE58" s="121" t="n">
        <v>10</v>
      </c>
      <c r="AF58" t="inlineStr">
        <is>
          <t>ASTHMA</t>
        </is>
      </c>
      <c r="AG58" s="122" t="n">
        <v>1712471.372076092</v>
      </c>
      <c r="AH58" s="56" t="n">
        <v>1714.561197308629</v>
      </c>
    </row>
    <row r="59">
      <c r="B59" s="64" t="inlineStr">
        <is>
          <t>LDD</t>
        </is>
      </c>
      <c r="D59" s="130" t="n">
        <v>0</v>
      </c>
      <c r="E59" s="131" t="n">
        <v>0</v>
      </c>
      <c r="F59" s="131" t="n">
        <v>0</v>
      </c>
      <c r="G59" s="131" t="n">
        <v>0</v>
      </c>
      <c r="H59" s="132" t="n">
        <v>0</v>
      </c>
      <c r="J59" s="130" t="n">
        <v>0</v>
      </c>
      <c r="K59" s="131" t="n">
        <v>0</v>
      </c>
      <c r="L59" s="131" t="n">
        <v>0</v>
      </c>
      <c r="M59" s="131" t="n">
        <v>0</v>
      </c>
      <c r="N59" s="132" t="n">
        <v>0</v>
      </c>
      <c r="P59" s="130" t="n">
        <v>0</v>
      </c>
      <c r="Q59" s="131" t="n">
        <v>0</v>
      </c>
      <c r="R59" s="131" t="n">
        <v>0</v>
      </c>
      <c r="S59" s="131" t="n">
        <v>0</v>
      </c>
      <c r="T59" s="132" t="n">
        <v>0</v>
      </c>
      <c r="V59" s="130" t="n">
        <v>0</v>
      </c>
      <c r="W59" s="131" t="n">
        <v>0</v>
      </c>
      <c r="X59" s="131" t="n">
        <v>0</v>
      </c>
      <c r="Y59" s="131" t="n">
        <v>0</v>
      </c>
      <c r="Z59" s="132" t="n">
        <v>0</v>
      </c>
      <c r="AE59" s="121" t="n">
        <v>11</v>
      </c>
      <c r="AF59" t="inlineStr">
        <is>
          <t>PCSK9 INHIBITORS</t>
        </is>
      </c>
      <c r="AG59" s="122" t="n">
        <v>1513175.05409387</v>
      </c>
      <c r="AH59" s="56" t="n">
        <v>4339.448137346399</v>
      </c>
    </row>
    <row r="60">
      <c r="B60" s="64" t="inlineStr">
        <is>
          <t>Institutional NDCs</t>
        </is>
      </c>
      <c r="D60" s="130" t="n">
        <v>0</v>
      </c>
      <c r="E60" s="131" t="n">
        <v>0</v>
      </c>
      <c r="F60" s="131" t="n">
        <v>0</v>
      </c>
      <c r="G60" s="131" t="n">
        <v>0</v>
      </c>
      <c r="H60" s="132" t="n">
        <v>0</v>
      </c>
      <c r="J60" s="130" t="n">
        <v>0</v>
      </c>
      <c r="K60" s="131" t="n">
        <v>0</v>
      </c>
      <c r="L60" s="131" t="n">
        <v>0</v>
      </c>
      <c r="M60" s="131" t="n">
        <v>0</v>
      </c>
      <c r="N60" s="132" t="n">
        <v>0</v>
      </c>
      <c r="P60" s="130" t="n">
        <v>0</v>
      </c>
      <c r="Q60" s="131" t="n">
        <v>0</v>
      </c>
      <c r="R60" s="131" t="n">
        <v>0</v>
      </c>
      <c r="S60" s="131" t="n">
        <v>0</v>
      </c>
      <c r="T60" s="132" t="n">
        <v>0</v>
      </c>
      <c r="V60" s="130" t="n">
        <v>0</v>
      </c>
      <c r="W60" s="131" t="n">
        <v>0</v>
      </c>
      <c r="X60" s="131" t="n">
        <v>0</v>
      </c>
      <c r="Y60" s="131" t="n">
        <v>0</v>
      </c>
      <c r="Z60" s="132" t="n">
        <v>0</v>
      </c>
      <c r="AE60" s="121" t="n">
        <v>12</v>
      </c>
      <c r="AF60" t="inlineStr">
        <is>
          <t>GROWTH HORMONES</t>
        </is>
      </c>
      <c r="AG60" s="122" t="n">
        <v>1462484.854974185</v>
      </c>
      <c r="AH60" s="56" t="n">
        <v>430.9954658082593</v>
      </c>
    </row>
    <row r="61">
      <c r="B61" s="64" t="inlineStr">
        <is>
          <t>Formulary Exclusions</t>
        </is>
      </c>
      <c r="D61" s="130" t="n">
        <v>0</v>
      </c>
      <c r="E61" s="131" t="n">
        <v>0</v>
      </c>
      <c r="F61" s="131" t="n">
        <v>0</v>
      </c>
      <c r="G61" s="131" t="n">
        <v>0</v>
      </c>
      <c r="H61" s="132" t="n">
        <v>0</v>
      </c>
      <c r="J61" s="130" t="n">
        <v>0</v>
      </c>
      <c r="K61" s="131" t="n">
        <v>0</v>
      </c>
      <c r="L61" s="131" t="n">
        <v>0</v>
      </c>
      <c r="M61" s="131" t="n">
        <v>0</v>
      </c>
      <c r="N61" s="132" t="n">
        <v>0</v>
      </c>
      <c r="P61" s="130" t="n">
        <v>0</v>
      </c>
      <c r="Q61" s="131" t="n">
        <v>0</v>
      </c>
      <c r="R61" s="131" t="n">
        <v>0</v>
      </c>
      <c r="S61" s="131" t="n">
        <v>0</v>
      </c>
      <c r="T61" s="132" t="n">
        <v>0</v>
      </c>
      <c r="V61" s="130" t="n">
        <v>0</v>
      </c>
      <c r="W61" s="131" t="n">
        <v>0</v>
      </c>
      <c r="X61" s="131" t="n">
        <v>0</v>
      </c>
      <c r="Y61" s="131" t="n">
        <v>0</v>
      </c>
      <c r="Z61" s="132" t="n">
        <v>0</v>
      </c>
      <c r="AE61" s="121" t="n">
        <v>13</v>
      </c>
      <c r="AF61" t="inlineStr">
        <is>
          <t>ONCOLOGY</t>
        </is>
      </c>
      <c r="AG61" s="122" t="n">
        <v>1137456.276208713</v>
      </c>
      <c r="AH61" s="56" t="n">
        <v>1339.644012241219</v>
      </c>
    </row>
    <row r="62">
      <c r="B62" s="64" t="inlineStr">
        <is>
          <t>Synthroid</t>
        </is>
      </c>
      <c r="D62" s="130" t="n">
        <v>0</v>
      </c>
      <c r="E62" s="131" t="n">
        <v>0</v>
      </c>
      <c r="F62" s="131" t="n">
        <v>0</v>
      </c>
      <c r="G62" s="131" t="n">
        <v>0</v>
      </c>
      <c r="H62" s="132" t="n">
        <v>0</v>
      </c>
      <c r="J62" s="130" t="n">
        <v>0</v>
      </c>
      <c r="K62" s="131" t="n">
        <v>0</v>
      </c>
      <c r="L62" s="131" t="n">
        <v>0</v>
      </c>
      <c r="M62" s="131" t="n">
        <v>0</v>
      </c>
      <c r="N62" s="132" t="n">
        <v>0</v>
      </c>
      <c r="P62" s="130" t="n">
        <v>0</v>
      </c>
      <c r="Q62" s="131" t="n">
        <v>0</v>
      </c>
      <c r="R62" s="131" t="n">
        <v>0</v>
      </c>
      <c r="S62" s="131" t="n">
        <v>0</v>
      </c>
      <c r="T62" s="132" t="n">
        <v>0</v>
      </c>
      <c r="V62" s="130" t="n">
        <v>0</v>
      </c>
      <c r="W62" s="131" t="n">
        <v>0</v>
      </c>
      <c r="X62" s="131" t="n">
        <v>0</v>
      </c>
      <c r="Y62" s="131" t="n">
        <v>0</v>
      </c>
      <c r="Z62" s="132" t="n">
        <v>0</v>
      </c>
      <c r="AE62" s="121" t="n">
        <v>14</v>
      </c>
      <c r="AF62" t="inlineStr">
        <is>
          <t>MS</t>
        </is>
      </c>
      <c r="AG62" s="122" t="n">
        <v>1098734.492017637</v>
      </c>
      <c r="AH62" s="56" t="n">
        <v>322.2269528582681</v>
      </c>
    </row>
    <row r="63">
      <c r="B63" s="64" t="inlineStr">
        <is>
          <t>Misc</t>
        </is>
      </c>
      <c r="D63" s="130" t="n">
        <v>0</v>
      </c>
      <c r="E63" s="131" t="n">
        <v>0</v>
      </c>
      <c r="F63" s="131" t="n">
        <v>0</v>
      </c>
      <c r="G63" s="131" t="n">
        <v>0</v>
      </c>
      <c r="H63" s="132" t="n">
        <v>0</v>
      </c>
      <c r="J63" s="130" t="n">
        <v>1964.875071784408</v>
      </c>
      <c r="K63" s="131" t="n">
        <v>347.8756485030455</v>
      </c>
      <c r="L63" s="131" t="n">
        <v>130.6682137649017</v>
      </c>
      <c r="M63" s="131" t="n">
        <v>663.9327169755762</v>
      </c>
      <c r="N63" s="132" t="n">
        <v>3107.351651027931</v>
      </c>
      <c r="P63" s="130" t="n">
        <v>2163.155319482375</v>
      </c>
      <c r="Q63" s="131" t="n">
        <v>372.0859813343213</v>
      </c>
      <c r="R63" s="131" t="n">
        <v>143.0165673943964</v>
      </c>
      <c r="S63" s="131" t="n">
        <v>753.6182474419381</v>
      </c>
      <c r="T63" s="132" t="n">
        <v>3431.876115653031</v>
      </c>
      <c r="V63" s="130" t="n">
        <v>2378.866087308556</v>
      </c>
      <c r="W63" s="131" t="n">
        <v>407.7078036315903</v>
      </c>
      <c r="X63" s="131" t="n">
        <v>157.7761316534636</v>
      </c>
      <c r="Y63" s="131" t="n">
        <v>854.1693686244977</v>
      </c>
      <c r="Z63" s="132" t="n">
        <v>3798.519391218107</v>
      </c>
      <c r="AE63" s="121" t="n">
        <v>15</v>
      </c>
      <c r="AF63" t="inlineStr">
        <is>
          <t>BASAL INSULIN</t>
        </is>
      </c>
      <c r="AG63" s="122" t="n">
        <v>855527.6690948717</v>
      </c>
      <c r="AH63" s="56" t="n">
        <v>4782.311376407688</v>
      </c>
    </row>
    <row r="64">
      <c r="B64" s="64" t="inlineStr">
        <is>
          <t>Specialty</t>
        </is>
      </c>
      <c r="D64" s="133" t="n">
        <v>0</v>
      </c>
      <c r="E64" s="134" t="n">
        <v>0</v>
      </c>
      <c r="F64" s="134" t="n">
        <v>0</v>
      </c>
      <c r="G64" s="134" t="n">
        <v>0</v>
      </c>
      <c r="H64" s="135" t="n">
        <v>0</v>
      </c>
      <c r="J64" s="133" t="n">
        <v>0</v>
      </c>
      <c r="K64" s="134" t="n">
        <v>0</v>
      </c>
      <c r="L64" s="134" t="n">
        <v>0</v>
      </c>
      <c r="M64" s="134" t="n">
        <v>0</v>
      </c>
      <c r="N64" s="135" t="n">
        <v>0</v>
      </c>
      <c r="P64" s="133" t="n">
        <v>0</v>
      </c>
      <c r="Q64" s="134" t="n">
        <v>0</v>
      </c>
      <c r="R64" s="134" t="n">
        <v>0</v>
      </c>
      <c r="S64" s="134" t="n">
        <v>0</v>
      </c>
      <c r="T64" s="135" t="n">
        <v>0</v>
      </c>
      <c r="V64" s="133" t="n">
        <v>0</v>
      </c>
      <c r="W64" s="134" t="n">
        <v>0</v>
      </c>
      <c r="X64" s="134" t="n">
        <v>0</v>
      </c>
      <c r="Y64" s="134" t="n">
        <v>0</v>
      </c>
      <c r="Z64" s="135" t="n">
        <v>0</v>
      </c>
      <c r="AE64" s="121" t="n">
        <v>16</v>
      </c>
      <c r="AF64" t="inlineStr">
        <is>
          <t>ATYPICAL ANTIPSYCHOTICS</t>
        </is>
      </c>
      <c r="AG64" s="122" t="n">
        <v>768753.8460624892</v>
      </c>
      <c r="AH64" s="56" t="n">
        <v>2379.392482130931</v>
      </c>
    </row>
    <row r="65">
      <c r="A65" s="98" t="inlineStr">
        <is>
          <t>Added MFP row but needs adjusting for non-CY(Should just need adjustment in Exclusion Summary)</t>
        </is>
      </c>
      <c r="B65" s="64" t="inlineStr">
        <is>
          <t>MFP</t>
        </is>
      </c>
      <c r="D65" s="133" t="n">
        <v>0</v>
      </c>
      <c r="E65" s="134" t="n">
        <v>0</v>
      </c>
      <c r="F65" s="134" t="n">
        <v>0</v>
      </c>
      <c r="G65" s="134" t="n">
        <v>0</v>
      </c>
      <c r="H65" s="135" t="n">
        <v>0</v>
      </c>
      <c r="J65" s="133" t="n">
        <v>0</v>
      </c>
      <c r="K65" s="134" t="n">
        <v>0</v>
      </c>
      <c r="L65" s="134" t="n">
        <v>0</v>
      </c>
      <c r="M65" s="134" t="n">
        <v>0</v>
      </c>
      <c r="N65" s="135" t="n">
        <v>0</v>
      </c>
      <c r="P65" s="133" t="n">
        <v>0</v>
      </c>
      <c r="Q65" s="134" t="n">
        <v>0</v>
      </c>
      <c r="R65" s="134" t="n">
        <v>0</v>
      </c>
      <c r="S65" s="134" t="n">
        <v>0</v>
      </c>
      <c r="T65" s="135" t="n">
        <v>0</v>
      </c>
      <c r="V65" s="133" t="n">
        <v>0</v>
      </c>
      <c r="W65" s="134" t="n">
        <v>0</v>
      </c>
      <c r="X65" s="134" t="n">
        <v>0</v>
      </c>
      <c r="Y65" s="134" t="n">
        <v>0</v>
      </c>
      <c r="Z65" s="135" t="n">
        <v>0</v>
      </c>
      <c r="AE65" s="121" t="n">
        <v>17</v>
      </c>
      <c r="AF65" t="inlineStr">
        <is>
          <t>RAPID ACTING</t>
        </is>
      </c>
      <c r="AG65" s="122" t="n">
        <v>690045.960491772</v>
      </c>
      <c r="AH65" s="56" t="n">
        <v>2416.402904257768</v>
      </c>
    </row>
    <row r="66">
      <c r="A66" s="99" t="n"/>
      <c r="B66" s="100" t="inlineStr">
        <is>
          <t>ENTER DESC</t>
        </is>
      </c>
      <c r="D66" s="133" t="n">
        <v>0</v>
      </c>
      <c r="E66" s="134" t="n">
        <v>0</v>
      </c>
      <c r="F66" s="134" t="n">
        <v>0</v>
      </c>
      <c r="G66" s="134" t="n">
        <v>0</v>
      </c>
      <c r="H66" s="135" t="n">
        <v>0</v>
      </c>
      <c r="J66" s="133" t="n">
        <v>0</v>
      </c>
      <c r="K66" s="134" t="n">
        <v>0</v>
      </c>
      <c r="L66" s="134" t="n">
        <v>0</v>
      </c>
      <c r="M66" s="134" t="n">
        <v>0</v>
      </c>
      <c r="N66" s="135" t="n">
        <v>0</v>
      </c>
      <c r="P66" s="133" t="n">
        <v>0</v>
      </c>
      <c r="Q66" s="134" t="n">
        <v>0</v>
      </c>
      <c r="R66" s="134" t="n">
        <v>0</v>
      </c>
      <c r="S66" s="134" t="n">
        <v>0</v>
      </c>
      <c r="T66" s="135" t="n">
        <v>0</v>
      </c>
      <c r="V66" s="133" t="n">
        <v>0</v>
      </c>
      <c r="W66" s="134" t="n">
        <v>0</v>
      </c>
      <c r="X66" s="134" t="n">
        <v>0</v>
      </c>
      <c r="Y66" s="134" t="n">
        <v>0</v>
      </c>
      <c r="Z66" s="135" t="n">
        <v>0</v>
      </c>
      <c r="AE66" s="121" t="n">
        <v>18</v>
      </c>
      <c r="AF66" t="inlineStr">
        <is>
          <t>DIGESTIVE ENZYMES</t>
        </is>
      </c>
      <c r="AG66" s="122" t="n">
        <v>686202.9616353239</v>
      </c>
      <c r="AH66" s="56" t="n">
        <v>555.2245665248698</v>
      </c>
    </row>
    <row r="67" ht="15" customHeight="1" thickBot="1">
      <c r="B67" s="59" t="inlineStr">
        <is>
          <t>Non-Rebatable</t>
        </is>
      </c>
      <c r="D67" s="136" t="n">
        <v>0</v>
      </c>
      <c r="E67" s="137" t="n">
        <v>0</v>
      </c>
      <c r="F67" s="137" t="n">
        <v>0</v>
      </c>
      <c r="G67" s="137" t="n">
        <v>0</v>
      </c>
      <c r="H67" s="138" t="n">
        <v>0</v>
      </c>
      <c r="J67" s="139" t="n">
        <v>0</v>
      </c>
      <c r="K67" s="140" t="n">
        <v>0</v>
      </c>
      <c r="L67" s="140" t="n">
        <v>0</v>
      </c>
      <c r="M67" s="140" t="n">
        <v>0</v>
      </c>
      <c r="N67" s="141" t="n">
        <v>0</v>
      </c>
      <c r="P67" s="139" t="n">
        <v>0</v>
      </c>
      <c r="Q67" s="140" t="n">
        <v>0</v>
      </c>
      <c r="R67" s="140" t="n">
        <v>0</v>
      </c>
      <c r="S67" s="140" t="n">
        <v>0</v>
      </c>
      <c r="T67" s="141" t="n">
        <v>0</v>
      </c>
      <c r="V67" s="139" t="n">
        <v>0</v>
      </c>
      <c r="W67" s="140" t="n">
        <v>0</v>
      </c>
      <c r="X67" s="140" t="n">
        <v>0</v>
      </c>
      <c r="Y67" s="140" t="n">
        <v>0</v>
      </c>
      <c r="Z67" s="141" t="n">
        <v>0</v>
      </c>
      <c r="AE67" s="121" t="n">
        <v>19</v>
      </c>
      <c r="AF67" t="inlineStr">
        <is>
          <t>ANTIPSORIATICS - TOPICAL</t>
        </is>
      </c>
      <c r="AG67" s="122" t="n">
        <v>408971.2695247711</v>
      </c>
      <c r="AH67" s="56" t="n">
        <v>456.9365505583999</v>
      </c>
    </row>
    <row r="68" ht="15.6" customHeight="1" thickBot="1" thickTop="1">
      <c r="B68" s="69" t="inlineStr">
        <is>
          <t>Total</t>
        </is>
      </c>
      <c r="D68" s="142" t="n">
        <v>0</v>
      </c>
      <c r="E68" s="143" t="n">
        <v>0</v>
      </c>
      <c r="F68" s="143" t="n">
        <v>0</v>
      </c>
      <c r="G68" s="143" t="n">
        <v>0</v>
      </c>
      <c r="H68" s="144" t="n">
        <v>0</v>
      </c>
      <c r="J68" s="142" t="n">
        <v>1964.875071784408</v>
      </c>
      <c r="K68" s="143" t="n">
        <v>347.8756485030455</v>
      </c>
      <c r="L68" s="143" t="n">
        <v>130.6682137649017</v>
      </c>
      <c r="M68" s="143" t="n">
        <v>663.9327169755762</v>
      </c>
      <c r="N68" s="144" t="n">
        <v>3107.351651027931</v>
      </c>
      <c r="P68" s="142" t="n">
        <v>2163.155319482375</v>
      </c>
      <c r="Q68" s="143" t="n">
        <v>372.0859813343213</v>
      </c>
      <c r="R68" s="143" t="n">
        <v>143.0165673943964</v>
      </c>
      <c r="S68" s="143" t="n">
        <v>753.6182474419381</v>
      </c>
      <c r="T68" s="144" t="n">
        <v>3431.876115653031</v>
      </c>
      <c r="V68" s="142" t="n">
        <v>2378.866087308556</v>
      </c>
      <c r="W68" s="143" t="n">
        <v>407.7078036315903</v>
      </c>
      <c r="X68" s="143" t="n">
        <v>157.7761316534636</v>
      </c>
      <c r="Y68" s="143" t="n">
        <v>854.1693686244977</v>
      </c>
      <c r="Z68" s="144" t="n">
        <v>3798.519391218107</v>
      </c>
      <c r="AE68" s="124" t="n">
        <v>20</v>
      </c>
      <c r="AF68" s="82" t="inlineStr">
        <is>
          <t>ADHD &amp; NARCOLEPSY MEDICATIONS</t>
        </is>
      </c>
      <c r="AG68" s="125" t="n">
        <v>408735.5260790228</v>
      </c>
      <c r="AH68" s="84" t="n">
        <v>3769.549013211484</v>
      </c>
    </row>
    <row r="69" ht="15" customHeight="1" thickBot="1">
      <c r="D69" s="145" t="n"/>
      <c r="E69" s="145" t="n"/>
      <c r="F69" s="145" t="n"/>
      <c r="G69" s="145" t="n"/>
      <c r="H69" s="145" t="n"/>
      <c r="J69" s="145" t="n"/>
      <c r="K69" s="145" t="n"/>
      <c r="L69" s="145" t="n"/>
      <c r="M69" s="145" t="n"/>
      <c r="N69" s="145" t="n"/>
      <c r="P69" s="145" t="n"/>
      <c r="Q69" s="145" t="n"/>
      <c r="R69" s="145" t="n"/>
      <c r="S69" s="145" t="n"/>
      <c r="T69" s="145" t="n"/>
      <c r="V69" s="145" t="n"/>
      <c r="W69" s="145" t="n"/>
      <c r="X69" s="145" t="n"/>
      <c r="Y69" s="145" t="n"/>
      <c r="Z69" s="145" t="n"/>
    </row>
    <row r="70" ht="15" customHeight="1" thickBot="1">
      <c r="B70" s="27" t="inlineStr">
        <is>
          <t>Excl - Generic</t>
        </is>
      </c>
      <c r="D70" s="28" t="inlineStr">
        <is>
          <t>R30</t>
        </is>
      </c>
      <c r="E70" s="29" t="inlineStr">
        <is>
          <t>R90</t>
        </is>
      </c>
      <c r="F70" s="29" t="inlineStr">
        <is>
          <t>Mail</t>
        </is>
      </c>
      <c r="G70" s="29" t="inlineStr">
        <is>
          <t>Specialty</t>
        </is>
      </c>
      <c r="H70" s="30" t="inlineStr">
        <is>
          <t>Total</t>
        </is>
      </c>
      <c r="J70" s="28" t="inlineStr">
        <is>
          <t>R30</t>
        </is>
      </c>
      <c r="K70" s="29" t="inlineStr">
        <is>
          <t>R90</t>
        </is>
      </c>
      <c r="L70" s="29" t="inlineStr">
        <is>
          <t>Mail</t>
        </is>
      </c>
      <c r="M70" s="29" t="inlineStr">
        <is>
          <t>Specialty</t>
        </is>
      </c>
      <c r="N70" s="30" t="inlineStr">
        <is>
          <t>Total</t>
        </is>
      </c>
      <c r="P70" s="28" t="inlineStr">
        <is>
          <t>R30</t>
        </is>
      </c>
      <c r="Q70" s="29" t="inlineStr">
        <is>
          <t>R90</t>
        </is>
      </c>
      <c r="R70" s="29" t="inlineStr">
        <is>
          <t>Mail</t>
        </is>
      </c>
      <c r="S70" s="29" t="inlineStr">
        <is>
          <t>Specialty</t>
        </is>
      </c>
      <c r="T70" s="30" t="inlineStr">
        <is>
          <t>Total</t>
        </is>
      </c>
      <c r="V70" s="28" t="inlineStr">
        <is>
          <t>R30</t>
        </is>
      </c>
      <c r="W70" s="29" t="inlineStr">
        <is>
          <t>R90</t>
        </is>
      </c>
      <c r="X70" s="29" t="inlineStr">
        <is>
          <t>Mail</t>
        </is>
      </c>
      <c r="Y70" s="29" t="inlineStr">
        <is>
          <t>Specialty</t>
        </is>
      </c>
      <c r="Z70" s="30" t="inlineStr">
        <is>
          <t>Total</t>
        </is>
      </c>
    </row>
    <row r="71">
      <c r="B71" s="38" t="inlineStr">
        <is>
          <t>OTCs</t>
        </is>
      </c>
      <c r="D71" s="127" t="n">
        <v>0</v>
      </c>
      <c r="E71" s="128" t="n">
        <v>0</v>
      </c>
      <c r="F71" s="128" t="n">
        <v>0</v>
      </c>
      <c r="G71" s="128" t="n">
        <v>0</v>
      </c>
      <c r="H71" s="129" t="n">
        <v>0</v>
      </c>
      <c r="J71" s="127" t="n">
        <v>0</v>
      </c>
      <c r="K71" s="128" t="n">
        <v>0</v>
      </c>
      <c r="L71" s="128" t="n">
        <v>0</v>
      </c>
      <c r="M71" s="128" t="n">
        <v>0</v>
      </c>
      <c r="N71" s="129" t="n">
        <v>0</v>
      </c>
      <c r="P71" s="127" t="n">
        <v>0</v>
      </c>
      <c r="Q71" s="128" t="n">
        <v>0</v>
      </c>
      <c r="R71" s="128" t="n">
        <v>0</v>
      </c>
      <c r="S71" s="128" t="n">
        <v>0</v>
      </c>
      <c r="T71" s="129" t="n">
        <v>0</v>
      </c>
      <c r="V71" s="127" t="n">
        <v>0</v>
      </c>
      <c r="W71" s="128" t="n">
        <v>0</v>
      </c>
      <c r="X71" s="128" t="n">
        <v>0</v>
      </c>
      <c r="Y71" s="128" t="n">
        <v>0</v>
      </c>
      <c r="Z71" s="129" t="n">
        <v>0</v>
      </c>
    </row>
    <row r="72">
      <c r="B72" s="49" t="inlineStr">
        <is>
          <t>Devices</t>
        </is>
      </c>
      <c r="D72" s="130" t="n">
        <v>0</v>
      </c>
      <c r="E72" s="131" t="n">
        <v>0</v>
      </c>
      <c r="F72" s="131" t="n">
        <v>0</v>
      </c>
      <c r="G72" s="131" t="n">
        <v>0</v>
      </c>
      <c r="H72" s="132" t="n">
        <v>0</v>
      </c>
      <c r="J72" s="130" t="n">
        <v>0</v>
      </c>
      <c r="K72" s="131" t="n">
        <v>0</v>
      </c>
      <c r="L72" s="131" t="n">
        <v>0</v>
      </c>
      <c r="M72" s="131" t="n">
        <v>0</v>
      </c>
      <c r="N72" s="132" t="n">
        <v>0</v>
      </c>
      <c r="P72" s="130" t="n">
        <v>0</v>
      </c>
      <c r="Q72" s="131" t="n">
        <v>0</v>
      </c>
      <c r="R72" s="131" t="n">
        <v>0</v>
      </c>
      <c r="S72" s="131" t="n">
        <v>0</v>
      </c>
      <c r="T72" s="132" t="n">
        <v>0</v>
      </c>
      <c r="V72" s="130" t="n">
        <v>0</v>
      </c>
      <c r="W72" s="131" t="n">
        <v>0</v>
      </c>
      <c r="X72" s="131" t="n">
        <v>0</v>
      </c>
      <c r="Y72" s="131" t="n">
        <v>0</v>
      </c>
      <c r="Z72" s="132" t="n">
        <v>0</v>
      </c>
    </row>
    <row r="73">
      <c r="B73" s="64" t="inlineStr">
        <is>
          <t>Vaccines</t>
        </is>
      </c>
      <c r="D73" s="130" t="n">
        <v>0</v>
      </c>
      <c r="E73" s="131" t="n">
        <v>0</v>
      </c>
      <c r="F73" s="131" t="n">
        <v>0</v>
      </c>
      <c r="G73" s="131" t="n">
        <v>0</v>
      </c>
      <c r="H73" s="132" t="n">
        <v>0</v>
      </c>
      <c r="J73" s="130" t="n">
        <v>0</v>
      </c>
      <c r="K73" s="131" t="n">
        <v>0</v>
      </c>
      <c r="L73" s="131" t="n">
        <v>0</v>
      </c>
      <c r="M73" s="131" t="n">
        <v>0</v>
      </c>
      <c r="N73" s="132" t="n">
        <v>0</v>
      </c>
      <c r="P73" s="130" t="n">
        <v>0</v>
      </c>
      <c r="Q73" s="131" t="n">
        <v>0</v>
      </c>
      <c r="R73" s="131" t="n">
        <v>0</v>
      </c>
      <c r="S73" s="131" t="n">
        <v>0</v>
      </c>
      <c r="T73" s="132" t="n">
        <v>0</v>
      </c>
      <c r="V73" s="130" t="n">
        <v>0</v>
      </c>
      <c r="W73" s="131" t="n">
        <v>0</v>
      </c>
      <c r="X73" s="131" t="n">
        <v>0</v>
      </c>
      <c r="Y73" s="131" t="n">
        <v>0</v>
      </c>
      <c r="Z73" s="132" t="n">
        <v>0</v>
      </c>
    </row>
    <row r="74">
      <c r="B74" s="64" t="inlineStr">
        <is>
          <t>Repackaged</t>
        </is>
      </c>
      <c r="D74" s="130" t="n">
        <v>0</v>
      </c>
      <c r="E74" s="131" t="n">
        <v>0</v>
      </c>
      <c r="F74" s="131" t="n">
        <v>0</v>
      </c>
      <c r="G74" s="131" t="n">
        <v>0</v>
      </c>
      <c r="H74" s="132" t="n">
        <v>0</v>
      </c>
      <c r="J74" s="130" t="n">
        <v>0</v>
      </c>
      <c r="K74" s="131" t="n">
        <v>0</v>
      </c>
      <c r="L74" s="131" t="n">
        <v>0</v>
      </c>
      <c r="M74" s="131" t="n">
        <v>0</v>
      </c>
      <c r="N74" s="132" t="n">
        <v>0</v>
      </c>
      <c r="P74" s="130" t="n">
        <v>0</v>
      </c>
      <c r="Q74" s="131" t="n">
        <v>0</v>
      </c>
      <c r="R74" s="131" t="n">
        <v>0</v>
      </c>
      <c r="S74" s="131" t="n">
        <v>0</v>
      </c>
      <c r="T74" s="132" t="n">
        <v>0</v>
      </c>
      <c r="V74" s="130" t="n">
        <v>0</v>
      </c>
      <c r="W74" s="131" t="n">
        <v>0</v>
      </c>
      <c r="X74" s="131" t="n">
        <v>0</v>
      </c>
      <c r="Y74" s="131" t="n">
        <v>0</v>
      </c>
      <c r="Z74" s="132" t="n">
        <v>0</v>
      </c>
    </row>
    <row r="75">
      <c r="B75" s="64" t="inlineStr">
        <is>
          <t>MSBs</t>
        </is>
      </c>
      <c r="D75" s="130" t="n">
        <v>0</v>
      </c>
      <c r="E75" s="131" t="n">
        <v>0</v>
      </c>
      <c r="F75" s="131" t="n">
        <v>0</v>
      </c>
      <c r="G75" s="131" t="n">
        <v>0</v>
      </c>
      <c r="H75" s="132" t="n">
        <v>0</v>
      </c>
      <c r="J75" s="130" t="n">
        <v>0</v>
      </c>
      <c r="K75" s="131" t="n">
        <v>0</v>
      </c>
      <c r="L75" s="131" t="n">
        <v>0</v>
      </c>
      <c r="M75" s="131" t="n">
        <v>0</v>
      </c>
      <c r="N75" s="132" t="n">
        <v>0</v>
      </c>
      <c r="P75" s="130" t="n">
        <v>0</v>
      </c>
      <c r="Q75" s="131" t="n">
        <v>0</v>
      </c>
      <c r="R75" s="131" t="n">
        <v>0</v>
      </c>
      <c r="S75" s="131" t="n">
        <v>0</v>
      </c>
      <c r="T75" s="132" t="n">
        <v>0</v>
      </c>
      <c r="V75" s="130" t="n">
        <v>0</v>
      </c>
      <c r="W75" s="131" t="n">
        <v>0</v>
      </c>
      <c r="X75" s="131" t="n">
        <v>0</v>
      </c>
      <c r="Y75" s="131" t="n">
        <v>0</v>
      </c>
      <c r="Z75" s="132" t="n">
        <v>0</v>
      </c>
    </row>
    <row r="76">
      <c r="B76" s="64" t="inlineStr">
        <is>
          <t>Non FDA Approved</t>
        </is>
      </c>
      <c r="D76" s="130" t="n">
        <v>0</v>
      </c>
      <c r="E76" s="131" t="n">
        <v>0</v>
      </c>
      <c r="F76" s="131" t="n">
        <v>0</v>
      </c>
      <c r="G76" s="131" t="n">
        <v>0</v>
      </c>
      <c r="H76" s="132" t="n">
        <v>0</v>
      </c>
      <c r="J76" s="130" t="n">
        <v>0</v>
      </c>
      <c r="K76" s="131" t="n">
        <v>0</v>
      </c>
      <c r="L76" s="131" t="n">
        <v>0</v>
      </c>
      <c r="M76" s="131" t="n">
        <v>0</v>
      </c>
      <c r="N76" s="132" t="n">
        <v>0</v>
      </c>
      <c r="P76" s="130" t="n">
        <v>0</v>
      </c>
      <c r="Q76" s="131" t="n">
        <v>0</v>
      </c>
      <c r="R76" s="131" t="n">
        <v>0</v>
      </c>
      <c r="S76" s="131" t="n">
        <v>0</v>
      </c>
      <c r="T76" s="132" t="n">
        <v>0</v>
      </c>
      <c r="V76" s="130" t="n">
        <v>0</v>
      </c>
      <c r="W76" s="131" t="n">
        <v>0</v>
      </c>
      <c r="X76" s="131" t="n">
        <v>0</v>
      </c>
      <c r="Y76" s="131" t="n">
        <v>0</v>
      </c>
      <c r="Z76" s="132" t="n">
        <v>0</v>
      </c>
    </row>
    <row r="77">
      <c r="B77" s="64" t="inlineStr">
        <is>
          <t>LDD</t>
        </is>
      </c>
      <c r="D77" s="130" t="n">
        <v>0</v>
      </c>
      <c r="E77" s="131" t="n">
        <v>0</v>
      </c>
      <c r="F77" s="131" t="n">
        <v>0</v>
      </c>
      <c r="G77" s="131" t="n">
        <v>0</v>
      </c>
      <c r="H77" s="132" t="n">
        <v>0</v>
      </c>
      <c r="J77" s="130" t="n">
        <v>0</v>
      </c>
      <c r="K77" s="131" t="n">
        <v>0</v>
      </c>
      <c r="L77" s="131" t="n">
        <v>0</v>
      </c>
      <c r="M77" s="131" t="n">
        <v>0</v>
      </c>
      <c r="N77" s="132" t="n">
        <v>0</v>
      </c>
      <c r="P77" s="130" t="n">
        <v>0</v>
      </c>
      <c r="Q77" s="131" t="n">
        <v>0</v>
      </c>
      <c r="R77" s="131" t="n">
        <v>0</v>
      </c>
      <c r="S77" s="131" t="n">
        <v>0</v>
      </c>
      <c r="T77" s="132" t="n">
        <v>0</v>
      </c>
      <c r="V77" s="130" t="n">
        <v>0</v>
      </c>
      <c r="W77" s="131" t="n">
        <v>0</v>
      </c>
      <c r="X77" s="131" t="n">
        <v>0</v>
      </c>
      <c r="Y77" s="131" t="n">
        <v>0</v>
      </c>
      <c r="Z77" s="132" t="n">
        <v>0</v>
      </c>
    </row>
    <row r="78">
      <c r="B78" s="64" t="inlineStr">
        <is>
          <t>Institutional NDCs</t>
        </is>
      </c>
      <c r="D78" s="130" t="n">
        <v>0</v>
      </c>
      <c r="E78" s="131" t="n">
        <v>0</v>
      </c>
      <c r="F78" s="131" t="n">
        <v>0</v>
      </c>
      <c r="G78" s="131" t="n">
        <v>0</v>
      </c>
      <c r="H78" s="132" t="n">
        <v>0</v>
      </c>
      <c r="J78" s="130" t="n">
        <v>0</v>
      </c>
      <c r="K78" s="131" t="n">
        <v>0</v>
      </c>
      <c r="L78" s="131" t="n">
        <v>0</v>
      </c>
      <c r="M78" s="131" t="n">
        <v>0</v>
      </c>
      <c r="N78" s="132" t="n">
        <v>0</v>
      </c>
      <c r="P78" s="130" t="n">
        <v>0</v>
      </c>
      <c r="Q78" s="131" t="n">
        <v>0</v>
      </c>
      <c r="R78" s="131" t="n">
        <v>0</v>
      </c>
      <c r="S78" s="131" t="n">
        <v>0</v>
      </c>
      <c r="T78" s="132" t="n">
        <v>0</v>
      </c>
      <c r="V78" s="130" t="n">
        <v>0</v>
      </c>
      <c r="W78" s="131" t="n">
        <v>0</v>
      </c>
      <c r="X78" s="131" t="n">
        <v>0</v>
      </c>
      <c r="Y78" s="131" t="n">
        <v>0</v>
      </c>
      <c r="Z78" s="132" t="n">
        <v>0</v>
      </c>
    </row>
    <row r="79" ht="15" customHeight="1">
      <c r="B79" s="64" t="inlineStr">
        <is>
          <t>Formulary Exclusions</t>
        </is>
      </c>
      <c r="D79" s="130" t="n">
        <v>0</v>
      </c>
      <c r="E79" s="131" t="n">
        <v>0</v>
      </c>
      <c r="F79" s="131" t="n">
        <v>0</v>
      </c>
      <c r="G79" s="131" t="n">
        <v>0</v>
      </c>
      <c r="H79" s="132" t="n">
        <v>0</v>
      </c>
      <c r="J79" s="130" t="n">
        <v>0</v>
      </c>
      <c r="K79" s="131" t="n">
        <v>0</v>
      </c>
      <c r="L79" s="131" t="n">
        <v>0</v>
      </c>
      <c r="M79" s="131" t="n">
        <v>0</v>
      </c>
      <c r="N79" s="132" t="n">
        <v>0</v>
      </c>
      <c r="P79" s="130" t="n">
        <v>0</v>
      </c>
      <c r="Q79" s="131" t="n">
        <v>0</v>
      </c>
      <c r="R79" s="131" t="n">
        <v>0</v>
      </c>
      <c r="S79" s="131" t="n">
        <v>0</v>
      </c>
      <c r="T79" s="132" t="n">
        <v>0</v>
      </c>
      <c r="V79" s="130" t="n">
        <v>0</v>
      </c>
      <c r="W79" s="131" t="n">
        <v>0</v>
      </c>
      <c r="X79" s="131" t="n">
        <v>0</v>
      </c>
      <c r="Y79" s="131" t="n">
        <v>0</v>
      </c>
      <c r="Z79" s="132" t="n">
        <v>0</v>
      </c>
    </row>
    <row r="80">
      <c r="B80" s="64" t="inlineStr">
        <is>
          <t>Synthroid</t>
        </is>
      </c>
      <c r="D80" s="130" t="n">
        <v>0</v>
      </c>
      <c r="E80" s="131" t="n">
        <v>0</v>
      </c>
      <c r="F80" s="131" t="n">
        <v>0</v>
      </c>
      <c r="G80" s="131" t="n">
        <v>0</v>
      </c>
      <c r="H80" s="132" t="n">
        <v>0</v>
      </c>
      <c r="J80" s="130" t="n">
        <v>0</v>
      </c>
      <c r="K80" s="131" t="n">
        <v>0</v>
      </c>
      <c r="L80" s="131" t="n">
        <v>0</v>
      </c>
      <c r="M80" s="131" t="n">
        <v>0</v>
      </c>
      <c r="N80" s="132" t="n">
        <v>0</v>
      </c>
      <c r="P80" s="130" t="n">
        <v>0</v>
      </c>
      <c r="Q80" s="131" t="n">
        <v>0</v>
      </c>
      <c r="R80" s="131" t="n">
        <v>0</v>
      </c>
      <c r="S80" s="131" t="n">
        <v>0</v>
      </c>
      <c r="T80" s="132" t="n">
        <v>0</v>
      </c>
      <c r="V80" s="130" t="n">
        <v>0</v>
      </c>
      <c r="W80" s="131" t="n">
        <v>0</v>
      </c>
      <c r="X80" s="131" t="n">
        <v>0</v>
      </c>
      <c r="Y80" s="131" t="n">
        <v>0</v>
      </c>
      <c r="Z80" s="132" t="n">
        <v>0</v>
      </c>
    </row>
    <row r="81">
      <c r="B81" s="64" t="inlineStr">
        <is>
          <t>Misc</t>
        </is>
      </c>
      <c r="D81" s="130" t="n">
        <v>0</v>
      </c>
      <c r="E81" s="131" t="n">
        <v>0</v>
      </c>
      <c r="F81" s="131" t="n">
        <v>0</v>
      </c>
      <c r="G81" s="131" t="n">
        <v>0</v>
      </c>
      <c r="H81" s="132" t="n">
        <v>0</v>
      </c>
      <c r="J81" s="130" t="n">
        <v>0</v>
      </c>
      <c r="K81" s="131" t="n">
        <v>0</v>
      </c>
      <c r="L81" s="131" t="n">
        <v>0</v>
      </c>
      <c r="M81" s="131" t="n">
        <v>0</v>
      </c>
      <c r="N81" s="132" t="n">
        <v>0</v>
      </c>
      <c r="P81" s="130" t="n">
        <v>0</v>
      </c>
      <c r="Q81" s="131" t="n">
        <v>0</v>
      </c>
      <c r="R81" s="131" t="n">
        <v>0</v>
      </c>
      <c r="S81" s="131" t="n">
        <v>0</v>
      </c>
      <c r="T81" s="132" t="n">
        <v>0</v>
      </c>
      <c r="V81" s="130" t="n">
        <v>0</v>
      </c>
      <c r="W81" s="131" t="n">
        <v>0</v>
      </c>
      <c r="X81" s="131" t="n">
        <v>0</v>
      </c>
      <c r="Y81" s="131" t="n">
        <v>0</v>
      </c>
      <c r="Z81" s="132" t="n">
        <v>0</v>
      </c>
    </row>
    <row r="82">
      <c r="B82" s="64" t="inlineStr">
        <is>
          <t>Specialty</t>
        </is>
      </c>
      <c r="D82" s="133" t="n">
        <v>0</v>
      </c>
      <c r="E82" s="134" t="n">
        <v>0</v>
      </c>
      <c r="F82" s="134" t="n">
        <v>0</v>
      </c>
      <c r="G82" s="134" t="n">
        <v>0</v>
      </c>
      <c r="H82" s="135" t="n">
        <v>0</v>
      </c>
      <c r="J82" s="133" t="n">
        <v>0</v>
      </c>
      <c r="K82" s="134" t="n">
        <v>0</v>
      </c>
      <c r="L82" s="134" t="n">
        <v>0</v>
      </c>
      <c r="M82" s="134" t="n">
        <v>0</v>
      </c>
      <c r="N82" s="135" t="n">
        <v>0</v>
      </c>
      <c r="P82" s="133" t="n">
        <v>0</v>
      </c>
      <c r="Q82" s="134" t="n">
        <v>0</v>
      </c>
      <c r="R82" s="134" t="n">
        <v>0</v>
      </c>
      <c r="S82" s="134" t="n">
        <v>0</v>
      </c>
      <c r="T82" s="135" t="n">
        <v>0</v>
      </c>
      <c r="V82" s="133" t="n">
        <v>0</v>
      </c>
      <c r="W82" s="134" t="n">
        <v>0</v>
      </c>
      <c r="X82" s="134" t="n">
        <v>0</v>
      </c>
      <c r="Y82" s="134" t="n">
        <v>0</v>
      </c>
      <c r="Z82" s="135" t="n">
        <v>0</v>
      </c>
    </row>
    <row r="83">
      <c r="A83" s="98" t="inlineStr">
        <is>
          <t>Added MFP row but needs adjusting for non-CY</t>
        </is>
      </c>
      <c r="B83" s="64" t="inlineStr">
        <is>
          <t>MFP</t>
        </is>
      </c>
      <c r="D83" s="133" t="n">
        <v>0</v>
      </c>
      <c r="E83" s="134" t="n">
        <v>0</v>
      </c>
      <c r="F83" s="134" t="n">
        <v>0</v>
      </c>
      <c r="G83" s="134" t="n">
        <v>0</v>
      </c>
      <c r="H83" s="135" t="n">
        <v>0</v>
      </c>
      <c r="J83" s="133" t="n">
        <v>0</v>
      </c>
      <c r="K83" s="134" t="n">
        <v>0</v>
      </c>
      <c r="L83" s="134" t="n">
        <v>0</v>
      </c>
      <c r="M83" s="134" t="n">
        <v>0</v>
      </c>
      <c r="N83" s="135" t="n">
        <v>0</v>
      </c>
      <c r="P83" s="133" t="n">
        <v>0</v>
      </c>
      <c r="Q83" s="134" t="n">
        <v>0</v>
      </c>
      <c r="R83" s="134" t="n">
        <v>0</v>
      </c>
      <c r="S83" s="134" t="n">
        <v>0</v>
      </c>
      <c r="T83" s="135" t="n">
        <v>0</v>
      </c>
      <c r="V83" s="133" t="n">
        <v>0</v>
      </c>
      <c r="W83" s="134" t="n">
        <v>0</v>
      </c>
      <c r="X83" s="134" t="n">
        <v>0</v>
      </c>
      <c r="Y83" s="134" t="n">
        <v>0</v>
      </c>
      <c r="Z83" s="135" t="n">
        <v>0</v>
      </c>
    </row>
    <row r="84">
      <c r="B84" s="100">
        <f>$B$66</f>
        <v/>
      </c>
      <c r="D84" s="133" t="n">
        <v>0</v>
      </c>
      <c r="E84" s="134" t="n">
        <v>0</v>
      </c>
      <c r="F84" s="134" t="n">
        <v>0</v>
      </c>
      <c r="G84" s="134" t="n">
        <v>0</v>
      </c>
      <c r="H84" s="135" t="n">
        <v>0</v>
      </c>
      <c r="J84" s="133" t="n">
        <v>0</v>
      </c>
      <c r="K84" s="134" t="n">
        <v>0</v>
      </c>
      <c r="L84" s="134" t="n">
        <v>0</v>
      </c>
      <c r="M84" s="134" t="n">
        <v>0</v>
      </c>
      <c r="N84" s="135" t="n">
        <v>0</v>
      </c>
      <c r="P84" s="133" t="n">
        <v>0</v>
      </c>
      <c r="Q84" s="134" t="n">
        <v>0</v>
      </c>
      <c r="R84" s="134" t="n">
        <v>0</v>
      </c>
      <c r="S84" s="134" t="n">
        <v>0</v>
      </c>
      <c r="T84" s="135" t="n">
        <v>0</v>
      </c>
      <c r="V84" s="133" t="n">
        <v>0</v>
      </c>
      <c r="W84" s="134" t="n">
        <v>0</v>
      </c>
      <c r="X84" s="134" t="n">
        <v>0</v>
      </c>
      <c r="Y84" s="134" t="n">
        <v>0</v>
      </c>
      <c r="Z84" s="135" t="n">
        <v>0</v>
      </c>
    </row>
    <row r="85" ht="15" customHeight="1" thickBot="1">
      <c r="B85" s="59" t="inlineStr">
        <is>
          <t>Non-Rebatable</t>
        </is>
      </c>
      <c r="D85" s="136" t="n">
        <v>0</v>
      </c>
      <c r="E85" s="137" t="n">
        <v>0</v>
      </c>
      <c r="F85" s="137" t="n">
        <v>0</v>
      </c>
      <c r="G85" s="137" t="n">
        <v>0</v>
      </c>
      <c r="H85" s="138" t="n">
        <v>0</v>
      </c>
      <c r="J85" s="139" t="n">
        <v>0</v>
      </c>
      <c r="K85" s="140" t="n">
        <v>0</v>
      </c>
      <c r="L85" s="140" t="n">
        <v>0</v>
      </c>
      <c r="M85" s="140" t="n">
        <v>0</v>
      </c>
      <c r="N85" s="141" t="n">
        <v>0</v>
      </c>
      <c r="P85" s="139" t="n">
        <v>0</v>
      </c>
      <c r="Q85" s="140" t="n">
        <v>0</v>
      </c>
      <c r="R85" s="140" t="n">
        <v>0</v>
      </c>
      <c r="S85" s="140" t="n">
        <v>0</v>
      </c>
      <c r="T85" s="141" t="n">
        <v>0</v>
      </c>
      <c r="V85" s="139" t="n">
        <v>0</v>
      </c>
      <c r="W85" s="140" t="n">
        <v>0</v>
      </c>
      <c r="X85" s="140" t="n">
        <v>0</v>
      </c>
      <c r="Y85" s="140" t="n">
        <v>0</v>
      </c>
      <c r="Z85" s="141" t="n">
        <v>0</v>
      </c>
    </row>
    <row r="86" ht="15.6" customHeight="1" thickBot="1" thickTop="1">
      <c r="B86" s="69" t="inlineStr">
        <is>
          <t>Total</t>
        </is>
      </c>
      <c r="D86" s="142" t="n">
        <v>0</v>
      </c>
      <c r="E86" s="143" t="n">
        <v>0</v>
      </c>
      <c r="F86" s="143" t="n">
        <v>0</v>
      </c>
      <c r="G86" s="143" t="n">
        <v>0</v>
      </c>
      <c r="H86" s="144" t="n">
        <v>0</v>
      </c>
      <c r="J86" s="142" t="n">
        <v>0</v>
      </c>
      <c r="K86" s="143" t="n">
        <v>0</v>
      </c>
      <c r="L86" s="143" t="n">
        <v>0</v>
      </c>
      <c r="M86" s="143" t="n">
        <v>0</v>
      </c>
      <c r="N86" s="144" t="n">
        <v>0</v>
      </c>
      <c r="P86" s="142" t="n">
        <v>0</v>
      </c>
      <c r="Q86" s="143" t="n">
        <v>0</v>
      </c>
      <c r="R86" s="143" t="n">
        <v>0</v>
      </c>
      <c r="S86" s="143" t="n">
        <v>0</v>
      </c>
      <c r="T86" s="144" t="n">
        <v>0</v>
      </c>
      <c r="V86" s="142" t="n">
        <v>0</v>
      </c>
      <c r="W86" s="143" t="n">
        <v>0</v>
      </c>
      <c r="X86" s="143" t="n">
        <v>0</v>
      </c>
      <c r="Y86" s="143" t="n">
        <v>0</v>
      </c>
      <c r="Z86" s="144" t="n">
        <v>0</v>
      </c>
    </row>
    <row r="87" ht="15" customHeight="1" thickBot="1">
      <c r="D87" s="145" t="n"/>
      <c r="E87" s="145" t="n"/>
      <c r="F87" s="145" t="n"/>
      <c r="G87" s="145" t="n"/>
      <c r="H87" s="145" t="n"/>
      <c r="J87" s="145" t="n"/>
      <c r="K87" s="145" t="n"/>
      <c r="L87" s="145" t="n"/>
      <c r="M87" s="145" t="n"/>
      <c r="N87" s="145" t="n"/>
      <c r="P87" s="145" t="n"/>
      <c r="Q87" s="145" t="n"/>
      <c r="R87" s="145" t="n"/>
      <c r="S87" s="145" t="n"/>
      <c r="T87" s="145" t="n"/>
      <c r="V87" s="145" t="n"/>
      <c r="W87" s="145" t="n"/>
      <c r="X87" s="145" t="n"/>
      <c r="Y87" s="145" t="n"/>
      <c r="Z87" s="145" t="n"/>
    </row>
    <row r="88" ht="15" customHeight="1" thickBot="1">
      <c r="B88" s="27" t="inlineStr">
        <is>
          <t>Excl - Total</t>
        </is>
      </c>
      <c r="D88" s="28" t="inlineStr">
        <is>
          <t>R30</t>
        </is>
      </c>
      <c r="E88" s="29" t="inlineStr">
        <is>
          <t>R90</t>
        </is>
      </c>
      <c r="F88" s="29" t="inlineStr">
        <is>
          <t>Mail</t>
        </is>
      </c>
      <c r="G88" s="29" t="inlineStr">
        <is>
          <t>Specialty</t>
        </is>
      </c>
      <c r="H88" s="30" t="inlineStr">
        <is>
          <t>Total</t>
        </is>
      </c>
      <c r="J88" s="28" t="inlineStr">
        <is>
          <t>R30</t>
        </is>
      </c>
      <c r="K88" s="29" t="inlineStr">
        <is>
          <t>R90</t>
        </is>
      </c>
      <c r="L88" s="29" t="inlineStr">
        <is>
          <t>Mail</t>
        </is>
      </c>
      <c r="M88" s="29" t="inlineStr">
        <is>
          <t>Specialty</t>
        </is>
      </c>
      <c r="N88" s="30" t="inlineStr">
        <is>
          <t>Total</t>
        </is>
      </c>
      <c r="P88" s="28" t="inlineStr">
        <is>
          <t>R30</t>
        </is>
      </c>
      <c r="Q88" s="29" t="inlineStr">
        <is>
          <t>R90</t>
        </is>
      </c>
      <c r="R88" s="29" t="inlineStr">
        <is>
          <t>Mail</t>
        </is>
      </c>
      <c r="S88" s="29" t="inlineStr">
        <is>
          <t>Specialty</t>
        </is>
      </c>
      <c r="T88" s="30" t="inlineStr">
        <is>
          <t>Total</t>
        </is>
      </c>
      <c r="V88" s="28" t="inlineStr">
        <is>
          <t>R30</t>
        </is>
      </c>
      <c r="W88" s="29" t="inlineStr">
        <is>
          <t>R90</t>
        </is>
      </c>
      <c r="X88" s="29" t="inlineStr">
        <is>
          <t>Mail</t>
        </is>
      </c>
      <c r="Y88" s="29" t="inlineStr">
        <is>
          <t>Specialty</t>
        </is>
      </c>
      <c r="Z88" s="30" t="inlineStr">
        <is>
          <t>Total</t>
        </is>
      </c>
    </row>
    <row r="89">
      <c r="B89" s="38" t="inlineStr">
        <is>
          <t>OTCs</t>
        </is>
      </c>
      <c r="D89" s="127" t="n">
        <v>0</v>
      </c>
      <c r="E89" s="128" t="n">
        <v>0</v>
      </c>
      <c r="F89" s="128" t="n">
        <v>0</v>
      </c>
      <c r="G89" s="128" t="n">
        <v>0</v>
      </c>
      <c r="H89" s="129" t="n">
        <v>0</v>
      </c>
      <c r="J89" s="127" t="n">
        <v>0</v>
      </c>
      <c r="K89" s="128" t="n">
        <v>0</v>
      </c>
      <c r="L89" s="128" t="n">
        <v>0</v>
      </c>
      <c r="M89" s="128" t="n">
        <v>0</v>
      </c>
      <c r="N89" s="129" t="n">
        <v>0</v>
      </c>
      <c r="P89" s="127" t="n">
        <v>0</v>
      </c>
      <c r="Q89" s="128" t="n">
        <v>0</v>
      </c>
      <c r="R89" s="128" t="n">
        <v>0</v>
      </c>
      <c r="S89" s="128" t="n">
        <v>0</v>
      </c>
      <c r="T89" s="129" t="n">
        <v>0</v>
      </c>
      <c r="V89" s="127" t="n">
        <v>0</v>
      </c>
      <c r="W89" s="128" t="n">
        <v>0</v>
      </c>
      <c r="X89" s="128" t="n">
        <v>0</v>
      </c>
      <c r="Y89" s="128" t="n">
        <v>0</v>
      </c>
      <c r="Z89" s="129" t="n">
        <v>0</v>
      </c>
    </row>
    <row r="90">
      <c r="B90" s="49" t="inlineStr">
        <is>
          <t>Devices</t>
        </is>
      </c>
      <c r="D90" s="130" t="n">
        <v>0</v>
      </c>
      <c r="E90" s="131" t="n">
        <v>0</v>
      </c>
      <c r="F90" s="131" t="n">
        <v>0</v>
      </c>
      <c r="G90" s="131" t="n">
        <v>0</v>
      </c>
      <c r="H90" s="132" t="n">
        <v>0</v>
      </c>
      <c r="J90" s="130" t="n">
        <v>0</v>
      </c>
      <c r="K90" s="131" t="n">
        <v>0</v>
      </c>
      <c r="L90" s="131" t="n">
        <v>0</v>
      </c>
      <c r="M90" s="131" t="n">
        <v>0</v>
      </c>
      <c r="N90" s="132" t="n">
        <v>0</v>
      </c>
      <c r="P90" s="130" t="n">
        <v>0</v>
      </c>
      <c r="Q90" s="131" t="n">
        <v>0</v>
      </c>
      <c r="R90" s="131" t="n">
        <v>0</v>
      </c>
      <c r="S90" s="131" t="n">
        <v>0</v>
      </c>
      <c r="T90" s="132" t="n">
        <v>0</v>
      </c>
      <c r="V90" s="130" t="n">
        <v>0</v>
      </c>
      <c r="W90" s="131" t="n">
        <v>0</v>
      </c>
      <c r="X90" s="131" t="n">
        <v>0</v>
      </c>
      <c r="Y90" s="131" t="n">
        <v>0</v>
      </c>
      <c r="Z90" s="132" t="n">
        <v>0</v>
      </c>
    </row>
    <row r="91">
      <c r="B91" s="64" t="inlineStr">
        <is>
          <t>Vaccines</t>
        </is>
      </c>
      <c r="D91" s="130" t="n">
        <v>0</v>
      </c>
      <c r="E91" s="131" t="n">
        <v>0</v>
      </c>
      <c r="F91" s="131" t="n">
        <v>0</v>
      </c>
      <c r="G91" s="131" t="n">
        <v>0</v>
      </c>
      <c r="H91" s="132" t="n">
        <v>0</v>
      </c>
      <c r="J91" s="130" t="n">
        <v>0</v>
      </c>
      <c r="K91" s="131" t="n">
        <v>0</v>
      </c>
      <c r="L91" s="131" t="n">
        <v>0</v>
      </c>
      <c r="M91" s="131" t="n">
        <v>0</v>
      </c>
      <c r="N91" s="132" t="n">
        <v>0</v>
      </c>
      <c r="P91" s="130" t="n">
        <v>0</v>
      </c>
      <c r="Q91" s="131" t="n">
        <v>0</v>
      </c>
      <c r="R91" s="131" t="n">
        <v>0</v>
      </c>
      <c r="S91" s="131" t="n">
        <v>0</v>
      </c>
      <c r="T91" s="132" t="n">
        <v>0</v>
      </c>
      <c r="V91" s="130" t="n">
        <v>0</v>
      </c>
      <c r="W91" s="131" t="n">
        <v>0</v>
      </c>
      <c r="X91" s="131" t="n">
        <v>0</v>
      </c>
      <c r="Y91" s="131" t="n">
        <v>0</v>
      </c>
      <c r="Z91" s="132" t="n">
        <v>0</v>
      </c>
    </row>
    <row r="92">
      <c r="B92" s="64" t="inlineStr">
        <is>
          <t>Repackaged</t>
        </is>
      </c>
      <c r="D92" s="130" t="n">
        <v>0</v>
      </c>
      <c r="E92" s="131" t="n">
        <v>0</v>
      </c>
      <c r="F92" s="131" t="n">
        <v>0</v>
      </c>
      <c r="G92" s="131" t="n">
        <v>0</v>
      </c>
      <c r="H92" s="132" t="n">
        <v>0</v>
      </c>
      <c r="J92" s="130" t="n">
        <v>0</v>
      </c>
      <c r="K92" s="131" t="n">
        <v>0</v>
      </c>
      <c r="L92" s="131" t="n">
        <v>0</v>
      </c>
      <c r="M92" s="131" t="n">
        <v>0</v>
      </c>
      <c r="N92" s="132" t="n">
        <v>0</v>
      </c>
      <c r="P92" s="130" t="n">
        <v>0</v>
      </c>
      <c r="Q92" s="131" t="n">
        <v>0</v>
      </c>
      <c r="R92" s="131" t="n">
        <v>0</v>
      </c>
      <c r="S92" s="131" t="n">
        <v>0</v>
      </c>
      <c r="T92" s="132" t="n">
        <v>0</v>
      </c>
      <c r="V92" s="130" t="n">
        <v>0</v>
      </c>
      <c r="W92" s="131" t="n">
        <v>0</v>
      </c>
      <c r="X92" s="131" t="n">
        <v>0</v>
      </c>
      <c r="Y92" s="131" t="n">
        <v>0</v>
      </c>
      <c r="Z92" s="132" t="n">
        <v>0</v>
      </c>
    </row>
    <row r="93">
      <c r="B93" s="64" t="inlineStr">
        <is>
          <t>MSBs</t>
        </is>
      </c>
      <c r="D93" s="130" t="n">
        <v>0</v>
      </c>
      <c r="E93" s="131" t="n">
        <v>0</v>
      </c>
      <c r="F93" s="131" t="n">
        <v>0</v>
      </c>
      <c r="G93" s="131" t="n">
        <v>0</v>
      </c>
      <c r="H93" s="132" t="n">
        <v>0</v>
      </c>
      <c r="J93" s="130" t="n">
        <v>0</v>
      </c>
      <c r="K93" s="131" t="n">
        <v>0</v>
      </c>
      <c r="L93" s="131" t="n">
        <v>0</v>
      </c>
      <c r="M93" s="131" t="n">
        <v>0</v>
      </c>
      <c r="N93" s="132" t="n">
        <v>0</v>
      </c>
      <c r="P93" s="130" t="n">
        <v>0</v>
      </c>
      <c r="Q93" s="131" t="n">
        <v>0</v>
      </c>
      <c r="R93" s="131" t="n">
        <v>0</v>
      </c>
      <c r="S93" s="131" t="n">
        <v>0</v>
      </c>
      <c r="T93" s="132" t="n">
        <v>0</v>
      </c>
      <c r="V93" s="130" t="n">
        <v>0</v>
      </c>
      <c r="W93" s="131" t="n">
        <v>0</v>
      </c>
      <c r="X93" s="131" t="n">
        <v>0</v>
      </c>
      <c r="Y93" s="131" t="n">
        <v>0</v>
      </c>
      <c r="Z93" s="132" t="n">
        <v>0</v>
      </c>
    </row>
    <row r="94">
      <c r="B94" s="64" t="inlineStr">
        <is>
          <t>Non FDA Approved</t>
        </is>
      </c>
      <c r="D94" s="130" t="n">
        <v>0</v>
      </c>
      <c r="E94" s="131" t="n">
        <v>0</v>
      </c>
      <c r="F94" s="131" t="n">
        <v>0</v>
      </c>
      <c r="G94" s="131" t="n">
        <v>0</v>
      </c>
      <c r="H94" s="132" t="n">
        <v>0</v>
      </c>
      <c r="J94" s="130" t="n">
        <v>0</v>
      </c>
      <c r="K94" s="131" t="n">
        <v>0</v>
      </c>
      <c r="L94" s="131" t="n">
        <v>0</v>
      </c>
      <c r="M94" s="131" t="n">
        <v>0</v>
      </c>
      <c r="N94" s="132" t="n">
        <v>0</v>
      </c>
      <c r="P94" s="130" t="n">
        <v>0</v>
      </c>
      <c r="Q94" s="131" t="n">
        <v>0</v>
      </c>
      <c r="R94" s="131" t="n">
        <v>0</v>
      </c>
      <c r="S94" s="131" t="n">
        <v>0</v>
      </c>
      <c r="T94" s="132" t="n">
        <v>0</v>
      </c>
      <c r="V94" s="130" t="n">
        <v>0</v>
      </c>
      <c r="W94" s="131" t="n">
        <v>0</v>
      </c>
      <c r="X94" s="131" t="n">
        <v>0</v>
      </c>
      <c r="Y94" s="131" t="n">
        <v>0</v>
      </c>
      <c r="Z94" s="132" t="n">
        <v>0</v>
      </c>
    </row>
    <row r="95">
      <c r="B95" s="64" t="inlineStr">
        <is>
          <t>LDD</t>
        </is>
      </c>
      <c r="D95" s="130" t="n">
        <v>0</v>
      </c>
      <c r="E95" s="131" t="n">
        <v>0</v>
      </c>
      <c r="F95" s="131" t="n">
        <v>0</v>
      </c>
      <c r="G95" s="131" t="n">
        <v>0</v>
      </c>
      <c r="H95" s="132" t="n">
        <v>0</v>
      </c>
      <c r="J95" s="130" t="n">
        <v>0</v>
      </c>
      <c r="K95" s="131" t="n">
        <v>0</v>
      </c>
      <c r="L95" s="131" t="n">
        <v>0</v>
      </c>
      <c r="M95" s="131" t="n">
        <v>0</v>
      </c>
      <c r="N95" s="132" t="n">
        <v>0</v>
      </c>
      <c r="P95" s="130" t="n">
        <v>0</v>
      </c>
      <c r="Q95" s="131" t="n">
        <v>0</v>
      </c>
      <c r="R95" s="131" t="n">
        <v>0</v>
      </c>
      <c r="S95" s="131" t="n">
        <v>0</v>
      </c>
      <c r="T95" s="132" t="n">
        <v>0</v>
      </c>
      <c r="V95" s="130" t="n">
        <v>0</v>
      </c>
      <c r="W95" s="131" t="n">
        <v>0</v>
      </c>
      <c r="X95" s="131" t="n">
        <v>0</v>
      </c>
      <c r="Y95" s="131" t="n">
        <v>0</v>
      </c>
      <c r="Z95" s="132" t="n">
        <v>0</v>
      </c>
    </row>
    <row r="96">
      <c r="B96" s="64" t="inlineStr">
        <is>
          <t>Institutional NDCs</t>
        </is>
      </c>
      <c r="D96" s="130" t="n">
        <v>0</v>
      </c>
      <c r="E96" s="131" t="n">
        <v>0</v>
      </c>
      <c r="F96" s="131" t="n">
        <v>0</v>
      </c>
      <c r="G96" s="131" t="n">
        <v>0</v>
      </c>
      <c r="H96" s="132" t="n">
        <v>0</v>
      </c>
      <c r="J96" s="130" t="n">
        <v>0</v>
      </c>
      <c r="K96" s="131" t="n">
        <v>0</v>
      </c>
      <c r="L96" s="131" t="n">
        <v>0</v>
      </c>
      <c r="M96" s="131" t="n">
        <v>0</v>
      </c>
      <c r="N96" s="132" t="n">
        <v>0</v>
      </c>
      <c r="P96" s="130" t="n">
        <v>0</v>
      </c>
      <c r="Q96" s="131" t="n">
        <v>0</v>
      </c>
      <c r="R96" s="131" t="n">
        <v>0</v>
      </c>
      <c r="S96" s="131" t="n">
        <v>0</v>
      </c>
      <c r="T96" s="132" t="n">
        <v>0</v>
      </c>
      <c r="V96" s="130" t="n">
        <v>0</v>
      </c>
      <c r="W96" s="131" t="n">
        <v>0</v>
      </c>
      <c r="X96" s="131" t="n">
        <v>0</v>
      </c>
      <c r="Y96" s="131" t="n">
        <v>0</v>
      </c>
      <c r="Z96" s="132" t="n">
        <v>0</v>
      </c>
    </row>
    <row r="97">
      <c r="B97" s="64" t="inlineStr">
        <is>
          <t>Formulary Exclusions</t>
        </is>
      </c>
      <c r="D97" s="130" t="n">
        <v>0</v>
      </c>
      <c r="E97" s="131" t="n">
        <v>0</v>
      </c>
      <c r="F97" s="131" t="n">
        <v>0</v>
      </c>
      <c r="G97" s="131" t="n">
        <v>0</v>
      </c>
      <c r="H97" s="132" t="n">
        <v>0</v>
      </c>
      <c r="J97" s="130" t="n">
        <v>0</v>
      </c>
      <c r="K97" s="131" t="n">
        <v>0</v>
      </c>
      <c r="L97" s="131" t="n">
        <v>0</v>
      </c>
      <c r="M97" s="131" t="n">
        <v>0</v>
      </c>
      <c r="N97" s="132" t="n">
        <v>0</v>
      </c>
      <c r="P97" s="130" t="n">
        <v>0</v>
      </c>
      <c r="Q97" s="131" t="n">
        <v>0</v>
      </c>
      <c r="R97" s="131" t="n">
        <v>0</v>
      </c>
      <c r="S97" s="131" t="n">
        <v>0</v>
      </c>
      <c r="T97" s="132" t="n">
        <v>0</v>
      </c>
      <c r="V97" s="130" t="n">
        <v>0</v>
      </c>
      <c r="W97" s="131" t="n">
        <v>0</v>
      </c>
      <c r="X97" s="131" t="n">
        <v>0</v>
      </c>
      <c r="Y97" s="131" t="n">
        <v>0</v>
      </c>
      <c r="Z97" s="132" t="n">
        <v>0</v>
      </c>
    </row>
    <row r="98">
      <c r="B98" s="64" t="inlineStr">
        <is>
          <t>Synthroid</t>
        </is>
      </c>
      <c r="D98" s="130" t="n">
        <v>0</v>
      </c>
      <c r="E98" s="131" t="n">
        <v>0</v>
      </c>
      <c r="F98" s="131" t="n">
        <v>0</v>
      </c>
      <c r="G98" s="131" t="n">
        <v>0</v>
      </c>
      <c r="H98" s="132" t="n">
        <v>0</v>
      </c>
      <c r="J98" s="130" t="n">
        <v>0</v>
      </c>
      <c r="K98" s="131" t="n">
        <v>0</v>
      </c>
      <c r="L98" s="131" t="n">
        <v>0</v>
      </c>
      <c r="M98" s="131" t="n">
        <v>0</v>
      </c>
      <c r="N98" s="132" t="n">
        <v>0</v>
      </c>
      <c r="P98" s="130" t="n">
        <v>0</v>
      </c>
      <c r="Q98" s="131" t="n">
        <v>0</v>
      </c>
      <c r="R98" s="131" t="n">
        <v>0</v>
      </c>
      <c r="S98" s="131" t="n">
        <v>0</v>
      </c>
      <c r="T98" s="132" t="n">
        <v>0</v>
      </c>
      <c r="V98" s="130" t="n">
        <v>0</v>
      </c>
      <c r="W98" s="131" t="n">
        <v>0</v>
      </c>
      <c r="X98" s="131" t="n">
        <v>0</v>
      </c>
      <c r="Y98" s="131" t="n">
        <v>0</v>
      </c>
      <c r="Z98" s="132" t="n">
        <v>0</v>
      </c>
    </row>
    <row r="99">
      <c r="B99" s="64" t="inlineStr">
        <is>
          <t>Misc</t>
        </is>
      </c>
      <c r="D99" s="130" t="n">
        <v>0</v>
      </c>
      <c r="E99" s="131" t="n">
        <v>0</v>
      </c>
      <c r="F99" s="131" t="n">
        <v>0</v>
      </c>
      <c r="G99" s="131" t="n">
        <v>0</v>
      </c>
      <c r="H99" s="132" t="n">
        <v>0</v>
      </c>
      <c r="J99" s="130" t="n">
        <v>1964.875071784408</v>
      </c>
      <c r="K99" s="131" t="n">
        <v>347.8756485030455</v>
      </c>
      <c r="L99" s="131" t="n">
        <v>130.6682137649017</v>
      </c>
      <c r="M99" s="131" t="n">
        <v>663.9327169755762</v>
      </c>
      <c r="N99" s="132" t="n">
        <v>3107.351651027931</v>
      </c>
      <c r="P99" s="130" t="n">
        <v>2163.155319482375</v>
      </c>
      <c r="Q99" s="131" t="n">
        <v>372.0859813343213</v>
      </c>
      <c r="R99" s="131" t="n">
        <v>143.0165673943964</v>
      </c>
      <c r="S99" s="131" t="n">
        <v>753.6182474419381</v>
      </c>
      <c r="T99" s="132" t="n">
        <v>3431.876115653031</v>
      </c>
      <c r="V99" s="130" t="n">
        <v>2378.866087308556</v>
      </c>
      <c r="W99" s="131" t="n">
        <v>407.7078036315903</v>
      </c>
      <c r="X99" s="131" t="n">
        <v>157.7761316534636</v>
      </c>
      <c r="Y99" s="131" t="n">
        <v>854.1693686244977</v>
      </c>
      <c r="Z99" s="132" t="n">
        <v>3798.519391218107</v>
      </c>
    </row>
    <row r="100">
      <c r="B100" s="64" t="inlineStr">
        <is>
          <t>Specialty</t>
        </is>
      </c>
      <c r="D100" s="133" t="n">
        <v>0</v>
      </c>
      <c r="E100" s="134" t="n">
        <v>0</v>
      </c>
      <c r="F100" s="134" t="n">
        <v>0</v>
      </c>
      <c r="G100" s="134" t="n">
        <v>0</v>
      </c>
      <c r="H100" s="135" t="n">
        <v>0</v>
      </c>
      <c r="J100" s="133" t="n">
        <v>0</v>
      </c>
      <c r="K100" s="134" t="n">
        <v>0</v>
      </c>
      <c r="L100" s="134" t="n">
        <v>0</v>
      </c>
      <c r="M100" s="134" t="n">
        <v>0</v>
      </c>
      <c r="N100" s="135" t="n">
        <v>0</v>
      </c>
      <c r="P100" s="133" t="n">
        <v>0</v>
      </c>
      <c r="Q100" s="134" t="n">
        <v>0</v>
      </c>
      <c r="R100" s="134" t="n">
        <v>0</v>
      </c>
      <c r="S100" s="134" t="n">
        <v>0</v>
      </c>
      <c r="T100" s="135" t="n">
        <v>0</v>
      </c>
      <c r="V100" s="133" t="n">
        <v>0</v>
      </c>
      <c r="W100" s="134" t="n">
        <v>0</v>
      </c>
      <c r="X100" s="134" t="n">
        <v>0</v>
      </c>
      <c r="Y100" s="134" t="n">
        <v>0</v>
      </c>
      <c r="Z100" s="135" t="n">
        <v>0</v>
      </c>
    </row>
    <row r="101">
      <c r="A101" s="98" t="inlineStr">
        <is>
          <t>Added MFP row but needs adjusting for non-CY</t>
        </is>
      </c>
      <c r="B101" s="64" t="inlineStr">
        <is>
          <t>MFP</t>
        </is>
      </c>
      <c r="D101" s="133" t="n">
        <v>0</v>
      </c>
      <c r="E101" s="134" t="n">
        <v>0</v>
      </c>
      <c r="F101" s="134" t="n">
        <v>0</v>
      </c>
      <c r="G101" s="134" t="n">
        <v>0</v>
      </c>
      <c r="H101" s="135" t="n">
        <v>0</v>
      </c>
      <c r="J101" s="133" t="n">
        <v>0</v>
      </c>
      <c r="K101" s="134" t="n">
        <v>0</v>
      </c>
      <c r="L101" s="134" t="n">
        <v>0</v>
      </c>
      <c r="M101" s="134" t="n">
        <v>0</v>
      </c>
      <c r="N101" s="135" t="n">
        <v>0</v>
      </c>
      <c r="P101" s="133" t="n">
        <v>0</v>
      </c>
      <c r="Q101" s="134" t="n">
        <v>0</v>
      </c>
      <c r="R101" s="134" t="n">
        <v>0</v>
      </c>
      <c r="S101" s="134" t="n">
        <v>0</v>
      </c>
      <c r="T101" s="135" t="n">
        <v>0</v>
      </c>
      <c r="V101" s="133" t="n">
        <v>0</v>
      </c>
      <c r="W101" s="134" t="n">
        <v>0</v>
      </c>
      <c r="X101" s="134" t="n">
        <v>0</v>
      </c>
      <c r="Y101" s="134" t="n">
        <v>0</v>
      </c>
      <c r="Z101" s="135" t="n">
        <v>0</v>
      </c>
    </row>
    <row r="102">
      <c r="B102" s="100">
        <f>$B$66</f>
        <v/>
      </c>
      <c r="D102" s="133" t="n">
        <v>0</v>
      </c>
      <c r="E102" s="134" t="n">
        <v>0</v>
      </c>
      <c r="F102" s="134" t="n">
        <v>0</v>
      </c>
      <c r="G102" s="134" t="n">
        <v>0</v>
      </c>
      <c r="H102" s="135" t="n">
        <v>0</v>
      </c>
      <c r="J102" s="133" t="n">
        <v>0</v>
      </c>
      <c r="K102" s="134" t="n">
        <v>0</v>
      </c>
      <c r="L102" s="134" t="n">
        <v>0</v>
      </c>
      <c r="M102" s="134" t="n">
        <v>0</v>
      </c>
      <c r="N102" s="135" t="n">
        <v>0</v>
      </c>
      <c r="P102" s="133" t="n">
        <v>0</v>
      </c>
      <c r="Q102" s="134" t="n">
        <v>0</v>
      </c>
      <c r="R102" s="134" t="n">
        <v>0</v>
      </c>
      <c r="S102" s="134" t="n">
        <v>0</v>
      </c>
      <c r="T102" s="135" t="n">
        <v>0</v>
      </c>
      <c r="V102" s="133" t="n">
        <v>0</v>
      </c>
      <c r="W102" s="134" t="n">
        <v>0</v>
      </c>
      <c r="X102" s="134" t="n">
        <v>0</v>
      </c>
      <c r="Y102" s="134" t="n">
        <v>0</v>
      </c>
      <c r="Z102" s="135" t="n">
        <v>0</v>
      </c>
    </row>
    <row r="103" ht="15" customHeight="1" thickBot="1">
      <c r="B103" s="59" t="inlineStr">
        <is>
          <t>Non-Rebatable</t>
        </is>
      </c>
      <c r="D103" s="136" t="n">
        <v>0</v>
      </c>
      <c r="E103" s="137" t="n">
        <v>0</v>
      </c>
      <c r="F103" s="137" t="n">
        <v>0</v>
      </c>
      <c r="G103" s="137" t="n">
        <v>0</v>
      </c>
      <c r="H103" s="138" t="n">
        <v>0</v>
      </c>
      <c r="J103" s="139" t="n">
        <v>0</v>
      </c>
      <c r="K103" s="140" t="n">
        <v>0</v>
      </c>
      <c r="L103" s="140" t="n">
        <v>0</v>
      </c>
      <c r="M103" s="140" t="n">
        <v>0</v>
      </c>
      <c r="N103" s="141" t="n">
        <v>0</v>
      </c>
      <c r="P103" s="139" t="n">
        <v>0</v>
      </c>
      <c r="Q103" s="140" t="n">
        <v>0</v>
      </c>
      <c r="R103" s="140" t="n">
        <v>0</v>
      </c>
      <c r="S103" s="140" t="n">
        <v>0</v>
      </c>
      <c r="T103" s="141" t="n">
        <v>0</v>
      </c>
      <c r="V103" s="139" t="n">
        <v>0</v>
      </c>
      <c r="W103" s="140" t="n">
        <v>0</v>
      </c>
      <c r="X103" s="140" t="n">
        <v>0</v>
      </c>
      <c r="Y103" s="140" t="n">
        <v>0</v>
      </c>
      <c r="Z103" s="141" t="n">
        <v>0</v>
      </c>
    </row>
    <row r="104" ht="15.6" customHeight="1" thickBot="1" thickTop="1">
      <c r="B104" s="69" t="inlineStr">
        <is>
          <t>Total</t>
        </is>
      </c>
      <c r="D104" s="142" t="n">
        <v>0</v>
      </c>
      <c r="E104" s="143" t="n">
        <v>0</v>
      </c>
      <c r="F104" s="143" t="n">
        <v>0</v>
      </c>
      <c r="G104" s="143" t="n">
        <v>0</v>
      </c>
      <c r="H104" s="144" t="n">
        <v>0</v>
      </c>
      <c r="J104" s="142" t="n">
        <v>1964.875071784408</v>
      </c>
      <c r="K104" s="143" t="n">
        <v>347.8756485030455</v>
      </c>
      <c r="L104" s="143" t="n">
        <v>130.6682137649017</v>
      </c>
      <c r="M104" s="143" t="n">
        <v>663.9327169755762</v>
      </c>
      <c r="N104" s="144" t="n">
        <v>3107.351651027931</v>
      </c>
      <c r="P104" s="142" t="n">
        <v>2163.155319482375</v>
      </c>
      <c r="Q104" s="143" t="n">
        <v>372.0859813343213</v>
      </c>
      <c r="R104" s="143" t="n">
        <v>143.0165673943964</v>
      </c>
      <c r="S104" s="143" t="n">
        <v>753.6182474419381</v>
      </c>
      <c r="T104" s="144" t="n">
        <v>3431.876115653031</v>
      </c>
      <c r="V104" s="142" t="n">
        <v>2378.866087308556</v>
      </c>
      <c r="W104" s="143" t="n">
        <v>407.7078036315903</v>
      </c>
      <c r="X104" s="143" t="n">
        <v>157.7761316534636</v>
      </c>
      <c r="Y104" s="143" t="n">
        <v>854.1693686244977</v>
      </c>
      <c r="Z104" s="144" t="n">
        <v>3798.519391218107</v>
      </c>
    </row>
    <row r="105" ht="30.3" customHeight="1" thickBot="1"/>
    <row r="106" ht="15" customHeight="1" thickBot="1">
      <c r="B106" s="110" t="inlineStr">
        <is>
          <t>Removed Claims</t>
        </is>
      </c>
      <c r="H106" s="111" t="n">
        <v>0</v>
      </c>
    </row>
    <row r="107" ht="15" customHeight="1" thickBot="1"/>
    <row r="108" ht="15" customHeight="1" thickBot="1">
      <c r="B108" s="112" t="inlineStr">
        <is>
          <t>Total</t>
        </is>
      </c>
      <c r="H108" s="113" t="n">
        <v>1576682</v>
      </c>
    </row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 ht="30.3" customHeight="1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 ht="30.3" customHeight="1"/>
    <row r="154">
      <c r="AM154" s="117" t="n"/>
      <c r="AN154" s="117" t="n"/>
    </row>
    <row r="155">
      <c r="AM155" s="117" t="n"/>
      <c r="AN155" s="117" t="n"/>
    </row>
    <row r="156">
      <c r="AM156" s="117" t="n"/>
      <c r="AN156" s="117" t="n"/>
    </row>
    <row r="157">
      <c r="AM157" s="117" t="n"/>
      <c r="AN157" s="117" t="n"/>
    </row>
    <row r="158">
      <c r="AM158" s="117" t="n"/>
      <c r="AN158" s="117" t="n"/>
    </row>
    <row r="159">
      <c r="AM159" s="117" t="n"/>
      <c r="AN159" s="117" t="n"/>
    </row>
    <row r="160">
      <c r="AM160" s="117" t="n"/>
      <c r="AN160" s="117" t="n"/>
    </row>
    <row r="161">
      <c r="AM161" s="117" t="n"/>
      <c r="AN161" s="117" t="n"/>
    </row>
    <row r="162">
      <c r="AM162" s="117" t="n"/>
      <c r="AN162" s="117" t="n"/>
    </row>
    <row r="163">
      <c r="AM163" s="117" t="n"/>
      <c r="AN163" s="117" t="n"/>
    </row>
    <row r="164">
      <c r="AM164" s="117" t="n"/>
      <c r="AN164" s="117" t="n"/>
    </row>
    <row r="165">
      <c r="AM165" s="117" t="n"/>
      <c r="AN165" s="117" t="n"/>
    </row>
    <row r="166">
      <c r="AM166" s="117" t="n"/>
      <c r="AN166" s="117" t="n"/>
    </row>
    <row r="167">
      <c r="AM167" s="117" t="n"/>
      <c r="AN167" s="117" t="n"/>
    </row>
    <row r="168">
      <c r="AM168" s="117" t="n"/>
      <c r="AN168" s="117" t="n"/>
    </row>
    <row r="169">
      <c r="AM169" s="117" t="n"/>
      <c r="AN169" s="117" t="n"/>
    </row>
    <row r="170">
      <c r="AM170" s="117" t="n"/>
      <c r="AN170" s="117" t="n"/>
    </row>
    <row r="171">
      <c r="AM171" s="117" t="n"/>
      <c r="AN171" s="117" t="n"/>
    </row>
    <row r="172">
      <c r="AM172" s="117" t="n"/>
      <c r="AN172" s="117" t="n"/>
    </row>
    <row r="173">
      <c r="AM173" s="117" t="n"/>
      <c r="AN173" s="117" t="n"/>
    </row>
    <row r="174">
      <c r="AM174" s="117" t="n"/>
      <c r="AN174" s="117" t="n"/>
    </row>
    <row r="175">
      <c r="AM175" s="117" t="n"/>
      <c r="AN175" s="117" t="n"/>
    </row>
    <row r="176">
      <c r="AM176" s="117" t="n"/>
      <c r="AN176" s="117" t="n"/>
    </row>
    <row r="177">
      <c r="AM177" s="117" t="n"/>
      <c r="AN177" s="117" t="n"/>
    </row>
    <row r="178">
      <c r="AM178" s="117" t="n"/>
      <c r="AN178" s="117" t="n"/>
    </row>
    <row r="179">
      <c r="AM179" s="117" t="n"/>
      <c r="AN179" s="117" t="n"/>
    </row>
    <row r="180">
      <c r="AM180" s="117" t="n"/>
      <c r="AN180" s="117" t="n"/>
    </row>
    <row r="181">
      <c r="AM181" s="117" t="n"/>
      <c r="AN181" s="117" t="n"/>
    </row>
    <row r="182">
      <c r="AM182" s="117" t="n"/>
      <c r="AN182" s="117" t="n"/>
    </row>
    <row r="183">
      <c r="AM183" s="117" t="n"/>
      <c r="AN183" s="117" t="n"/>
    </row>
    <row r="184">
      <c r="AM184" s="117" t="n"/>
      <c r="AN184" s="117" t="n"/>
    </row>
    <row r="185">
      <c r="AM185" s="117" t="n"/>
      <c r="AN185" s="117" t="n"/>
    </row>
    <row r="186">
      <c r="AM186" s="117" t="n"/>
      <c r="AN186" s="117" t="n"/>
    </row>
    <row r="187">
      <c r="AM187" s="117" t="n"/>
      <c r="AN187" s="117" t="n"/>
    </row>
    <row r="188">
      <c r="AM188" s="117" t="n"/>
      <c r="AN188" s="117" t="n"/>
    </row>
    <row r="189">
      <c r="AM189" s="117" t="n"/>
      <c r="AN189" s="117" t="n"/>
    </row>
    <row r="190">
      <c r="AM190" s="117" t="n"/>
      <c r="AN190" s="117" t="n"/>
    </row>
    <row r="191">
      <c r="AM191" s="117" t="n"/>
      <c r="AN191" s="117" t="n"/>
    </row>
    <row r="192">
      <c r="AM192" s="117" t="n"/>
      <c r="AN192" s="117" t="n"/>
    </row>
    <row r="193">
      <c r="AM193" s="117" t="n"/>
      <c r="AN193" s="117" t="n"/>
    </row>
    <row r="194">
      <c r="AM194" s="117" t="n"/>
      <c r="AN194" s="117" t="n"/>
    </row>
    <row r="195">
      <c r="AM195" s="117" t="n"/>
      <c r="AN195" s="117" t="n"/>
    </row>
    <row r="196">
      <c r="AM196" s="117" t="n"/>
      <c r="AN196" s="117" t="n"/>
    </row>
    <row r="197">
      <c r="AM197" s="117" t="n"/>
      <c r="AN197" s="117" t="n"/>
    </row>
    <row r="198">
      <c r="AM198" s="117" t="n"/>
      <c r="AN198" s="117" t="n"/>
    </row>
    <row r="199">
      <c r="AM199" s="117" t="n"/>
      <c r="AN199" s="117" t="n"/>
    </row>
    <row r="200">
      <c r="AM200" s="117" t="n"/>
      <c r="AN200" s="117" t="n"/>
    </row>
    <row r="201">
      <c r="AM201" s="117" t="n"/>
      <c r="AN201" s="117" t="n"/>
    </row>
    <row r="202">
      <c r="AM202" s="117" t="n"/>
      <c r="AN202" s="117" t="n"/>
    </row>
    <row r="203">
      <c r="AM203" s="117" t="n"/>
      <c r="AN203" s="117" t="n"/>
    </row>
    <row r="204">
      <c r="AM204" s="117" t="n"/>
      <c r="AN204" s="117" t="n"/>
    </row>
    <row r="205">
      <c r="AM205" s="117" t="n"/>
      <c r="AN205" s="117" t="n"/>
    </row>
    <row r="206">
      <c r="AM206" s="117" t="n"/>
      <c r="AN206" s="117" t="n"/>
    </row>
    <row r="207">
      <c r="AM207" s="117" t="n"/>
      <c r="AN207" s="117" t="n"/>
    </row>
    <row r="208">
      <c r="AM208" s="117" t="n"/>
      <c r="AN208" s="117" t="n"/>
    </row>
    <row r="209">
      <c r="AM209" s="117" t="n"/>
      <c r="AN209" s="117" t="n"/>
    </row>
    <row r="210">
      <c r="AM210" s="117" t="n"/>
      <c r="AN210" s="117" t="n"/>
    </row>
    <row r="211">
      <c r="AM211" s="117" t="n"/>
      <c r="AN211" s="117" t="n"/>
    </row>
    <row r="212">
      <c r="AM212" s="117" t="n"/>
      <c r="AN212" s="117" t="n"/>
    </row>
    <row r="213">
      <c r="AM213" s="117" t="n"/>
      <c r="AN213" s="117" t="n"/>
    </row>
    <row r="214">
      <c r="AM214" s="117" t="n"/>
      <c r="AN214" s="117" t="n"/>
    </row>
    <row r="215">
      <c r="AM215" s="117" t="n"/>
      <c r="AN215" s="117" t="n"/>
    </row>
    <row r="216">
      <c r="AM216" s="117" t="n"/>
      <c r="AN216" s="117" t="n"/>
    </row>
    <row r="217">
      <c r="AM217" s="117" t="n"/>
      <c r="AN217" s="117" t="n"/>
    </row>
    <row r="218">
      <c r="AM218" s="117" t="n"/>
      <c r="AN218" s="117" t="n"/>
    </row>
    <row r="219">
      <c r="AM219" s="117" t="n"/>
      <c r="AN219" s="117" t="n"/>
    </row>
    <row r="220">
      <c r="AM220" s="117" t="n"/>
      <c r="AN220" s="117" t="n"/>
    </row>
    <row r="221">
      <c r="AM221" s="117" t="n"/>
      <c r="AN221" s="117" t="n"/>
    </row>
    <row r="222">
      <c r="AM222" s="117" t="n"/>
      <c r="AN222" s="117" t="n"/>
    </row>
    <row r="223">
      <c r="AM223" s="117" t="n"/>
      <c r="AN223" s="117" t="n"/>
    </row>
    <row r="224">
      <c r="AM224" s="117" t="n"/>
      <c r="AN224" s="117" t="n"/>
    </row>
    <row r="225">
      <c r="AM225" s="117" t="n"/>
      <c r="AN225" s="117" t="n"/>
    </row>
    <row r="226">
      <c r="AM226" s="117" t="n"/>
      <c r="AN226" s="117" t="n"/>
    </row>
    <row r="227">
      <c r="AM227" s="117" t="n"/>
      <c r="AN227" s="117" t="n"/>
    </row>
    <row r="228">
      <c r="AM228" s="117" t="n"/>
      <c r="AN228" s="117" t="n"/>
    </row>
    <row r="229">
      <c r="AM229" s="117" t="n"/>
      <c r="AN229" s="117" t="n"/>
    </row>
    <row r="230">
      <c r="AM230" s="117" t="n"/>
      <c r="AN230" s="117" t="n"/>
    </row>
    <row r="231">
      <c r="AM231" s="117" t="n"/>
      <c r="AN231" s="117" t="n"/>
    </row>
    <row r="232">
      <c r="AM232" s="117" t="n"/>
      <c r="AN232" s="117" t="n"/>
    </row>
    <row r="233">
      <c r="AM233" s="117" t="n"/>
      <c r="AN233" s="117" t="n"/>
    </row>
    <row r="234">
      <c r="AM234" s="117" t="n"/>
      <c r="AN234" s="117" t="n"/>
    </row>
    <row r="235">
      <c r="AM235" s="117" t="n"/>
      <c r="AN235" s="117" t="n"/>
    </row>
    <row r="236">
      <c r="AM236" s="117" t="n"/>
      <c r="AN236" s="117" t="n"/>
    </row>
    <row r="237">
      <c r="AM237" s="117" t="n"/>
      <c r="AN237" s="117" t="n"/>
    </row>
    <row r="238">
      <c r="AM238" s="117" t="n"/>
      <c r="AN238" s="117" t="n"/>
    </row>
    <row r="239">
      <c r="AM239" s="117" t="n"/>
      <c r="AN239" s="117" t="n"/>
    </row>
    <row r="240">
      <c r="AM240" s="117" t="n"/>
      <c r="AN240" s="117" t="n"/>
    </row>
    <row r="241">
      <c r="AM241" s="117" t="n"/>
      <c r="AN241" s="117" t="n"/>
    </row>
    <row r="242">
      <c r="AM242" s="117" t="n"/>
      <c r="AN242" s="117" t="n"/>
    </row>
    <row r="243">
      <c r="AM243" s="117" t="n"/>
      <c r="AN243" s="117" t="n"/>
    </row>
    <row r="244">
      <c r="AM244" s="117" t="n"/>
      <c r="AN244" s="117" t="n"/>
    </row>
    <row r="245">
      <c r="AM245" s="117" t="n"/>
      <c r="AN245" s="117" t="n"/>
    </row>
    <row r="246">
      <c r="AM246" s="117" t="n"/>
      <c r="AN246" s="117" t="n"/>
    </row>
    <row r="247">
      <c r="AM247" s="117" t="n"/>
      <c r="AN247" s="117" t="n"/>
    </row>
    <row r="248">
      <c r="AM248" s="117" t="n"/>
      <c r="AN248" s="117" t="n"/>
    </row>
    <row r="249">
      <c r="AM249" s="117" t="n"/>
      <c r="AN249" s="117" t="n"/>
    </row>
    <row r="250">
      <c r="AM250" s="117" t="n"/>
      <c r="AN250" s="117" t="n"/>
    </row>
    <row r="251">
      <c r="AM251" s="117" t="n"/>
      <c r="AN251" s="117" t="n"/>
    </row>
    <row r="252">
      <c r="AM252" s="117" t="n"/>
      <c r="AN252" s="117" t="n"/>
    </row>
    <row r="253">
      <c r="AM253" s="117" t="n"/>
      <c r="AN253" s="117" t="n"/>
    </row>
    <row r="254">
      <c r="AM254" s="117" t="n"/>
      <c r="AN254" s="117" t="n"/>
    </row>
    <row r="255">
      <c r="AM255" s="117" t="n"/>
      <c r="AN255" s="117" t="n"/>
    </row>
    <row r="256">
      <c r="AM256" s="117" t="n"/>
      <c r="AN256" s="117" t="n"/>
    </row>
    <row r="257">
      <c r="AM257" s="117" t="n"/>
      <c r="AN257" s="117" t="n"/>
    </row>
    <row r="258">
      <c r="AM258" s="117" t="n"/>
      <c r="AN258" s="117" t="n"/>
    </row>
    <row r="259">
      <c r="AM259" s="117" t="n"/>
      <c r="AN259" s="117" t="n"/>
    </row>
    <row r="260">
      <c r="AM260" s="117" t="n"/>
      <c r="AN260" s="117" t="n"/>
    </row>
    <row r="261">
      <c r="AM261" s="117" t="n"/>
      <c r="AN261" s="117" t="n"/>
    </row>
    <row r="262">
      <c r="AM262" s="117" t="n"/>
      <c r="AN262" s="117" t="n"/>
    </row>
    <row r="263">
      <c r="AM263" s="117" t="n"/>
      <c r="AN263" s="117" t="n"/>
    </row>
    <row r="264">
      <c r="AM264" s="117" t="n"/>
      <c r="AN264" s="117" t="n"/>
    </row>
    <row r="265">
      <c r="AM265" s="117" t="n"/>
      <c r="AN265" s="117" t="n"/>
    </row>
    <row r="266">
      <c r="AM266" s="117" t="n"/>
      <c r="AN266" s="117" t="n"/>
    </row>
    <row r="267">
      <c r="AM267" s="117" t="n"/>
      <c r="AN267" s="117" t="n"/>
    </row>
    <row r="268">
      <c r="AM268" s="117" t="n"/>
      <c r="AN268" s="117" t="n"/>
    </row>
    <row r="269">
      <c r="AM269" s="117" t="n"/>
      <c r="AN269" s="117" t="n"/>
    </row>
    <row r="270">
      <c r="AM270" s="117" t="n"/>
      <c r="AN270" s="117" t="n"/>
    </row>
    <row r="271">
      <c r="AM271" s="117" t="n"/>
      <c r="AN271" s="117" t="n"/>
    </row>
    <row r="272">
      <c r="AM272" s="117" t="n"/>
      <c r="AN272" s="117" t="n"/>
    </row>
    <row r="273">
      <c r="AM273" s="117" t="n"/>
      <c r="AN273" s="117" t="n"/>
    </row>
    <row r="274">
      <c r="AM274" s="117" t="n"/>
      <c r="AN274" s="117" t="n"/>
    </row>
    <row r="275">
      <c r="AM275" s="117" t="n"/>
      <c r="AN275" s="117" t="n"/>
    </row>
    <row r="276">
      <c r="AM276" s="117" t="n"/>
      <c r="AN276" s="117" t="n"/>
    </row>
    <row r="277">
      <c r="AM277" s="117" t="n"/>
      <c r="AN277" s="117" t="n"/>
    </row>
    <row r="278">
      <c r="AM278" s="117" t="n"/>
      <c r="AN278" s="117" t="n"/>
    </row>
    <row r="279">
      <c r="AM279" s="117" t="n"/>
      <c r="AN279" s="117" t="n"/>
    </row>
    <row r="280">
      <c r="AM280" s="117" t="n"/>
      <c r="AN280" s="117" t="n"/>
    </row>
    <row r="281">
      <c r="AM281" s="117" t="n"/>
      <c r="AN281" s="117" t="n"/>
    </row>
    <row r="282">
      <c r="AM282" s="117" t="n"/>
      <c r="AN282" s="117" t="n"/>
    </row>
    <row r="283">
      <c r="AM283" s="117" t="n"/>
      <c r="AN283" s="117" t="n"/>
    </row>
    <row r="284">
      <c r="AM284" s="117" t="n"/>
      <c r="AN284" s="117" t="n"/>
    </row>
    <row r="285">
      <c r="AM285" s="117" t="n"/>
      <c r="AN285" s="117" t="n"/>
    </row>
    <row r="286">
      <c r="AM286" s="117" t="n"/>
      <c r="AN286" s="117" t="n"/>
    </row>
    <row r="287">
      <c r="AM287" s="117" t="n"/>
      <c r="AN287" s="117" t="n"/>
    </row>
    <row r="288">
      <c r="AM288" s="117" t="n"/>
      <c r="AN288" s="117" t="n"/>
    </row>
    <row r="289">
      <c r="AM289" s="117" t="n"/>
      <c r="AN289" s="117" t="n"/>
    </row>
    <row r="290">
      <c r="AM290" s="117" t="n"/>
      <c r="AN290" s="117" t="n"/>
    </row>
    <row r="291">
      <c r="AM291" s="117" t="n"/>
      <c r="AN291" s="117" t="n"/>
    </row>
    <row r="292">
      <c r="AM292" s="117" t="n"/>
      <c r="AN292" s="117" t="n"/>
    </row>
    <row r="293">
      <c r="AM293" s="117" t="n"/>
      <c r="AN293" s="117" t="n"/>
    </row>
    <row r="294">
      <c r="AM294" s="117" t="n"/>
      <c r="AN294" s="117" t="n"/>
    </row>
    <row r="295">
      <c r="AM295" s="117" t="n"/>
      <c r="AN295" s="117" t="n"/>
    </row>
    <row r="296">
      <c r="AM296" s="117" t="n"/>
      <c r="AN296" s="117" t="n"/>
    </row>
    <row r="297">
      <c r="AM297" s="117" t="n"/>
      <c r="AN297" s="117" t="n"/>
    </row>
    <row r="298">
      <c r="AM298" s="117" t="n"/>
      <c r="AN298" s="117" t="n"/>
    </row>
    <row r="299">
      <c r="AM299" s="117" t="n"/>
      <c r="AN299" s="117" t="n"/>
    </row>
    <row r="300">
      <c r="AM300" s="117" t="n"/>
      <c r="AN300" s="117" t="n"/>
    </row>
    <row r="301">
      <c r="AM301" s="117" t="n"/>
      <c r="AN301" s="117" t="n"/>
    </row>
    <row r="302">
      <c r="AM302" s="117" t="n"/>
      <c r="AN302" s="117" t="n"/>
    </row>
    <row r="303">
      <c r="AM303" s="117" t="n"/>
      <c r="AN303" s="117" t="n"/>
    </row>
  </sheetData>
  <pageMargins left="0.7" right="0.7" top="0.75" bottom="0.75" header="0.3" footer="0.3"/>
  <pageSetup orientation="portrait"/>
</worksheet>
</file>

<file path=xl/worksheets/sheet4.xml><?xml version="1.0" encoding="utf-8"?>
<worksheet xmlns="http://schemas.openxmlformats.org/spreadsheetml/2006/main">
  <sheetPr codeName="wrk_DStats_EX1">
    <outlinePr summaryBelow="1" summaryRight="1"/>
    <pageSetUpPr/>
  </sheetPr>
  <dimension ref="A1:AZ303"/>
  <sheetViews>
    <sheetView showGridLines="0" workbookViewId="0">
      <selection activeCell="A1" sqref="A1"/>
    </sheetView>
  </sheetViews>
  <sheetFormatPr baseColWidth="8" defaultColWidth="8.77734375" defaultRowHeight="14.4"/>
  <cols>
    <col width="20.6640625" customWidth="1" min="2" max="2"/>
    <col width="2.6640625" customWidth="1" min="3" max="3"/>
    <col width="15.6640625" customWidth="1" min="4" max="8"/>
    <col width="2.6640625" customWidth="1" min="9" max="9"/>
    <col width="15.6640625" customWidth="1" min="10" max="14"/>
    <col width="2.6640625" customWidth="1" min="15" max="15"/>
    <col width="15.6640625" customWidth="1" min="16" max="20"/>
    <col width="2.6640625" customWidth="1" min="21" max="21"/>
    <col width="15.6640625" customWidth="1" min="22" max="26"/>
    <col width="2.6640625" customWidth="1" min="27" max="27"/>
    <col width="8.6640625" customWidth="1" min="31" max="31"/>
    <col width="37.44140625" customWidth="1" min="32" max="32"/>
    <col width="46.6640625" bestFit="1" customWidth="1" min="33" max="33"/>
    <col width="15.6640625" customWidth="1" min="34" max="35"/>
    <col width="5.6640625" customWidth="1" min="36" max="36"/>
    <col width="8.6640625" customWidth="1" min="37" max="37"/>
    <col width="36.6640625" customWidth="1" min="38" max="38"/>
    <col width="46.6640625" customWidth="1" min="39" max="39"/>
    <col width="15.6640625" customWidth="1" min="40" max="40"/>
    <col width="5.6640625" customWidth="1" min="41" max="41"/>
    <col width="8.6640625" customWidth="1" min="42" max="42"/>
    <col width="30.6640625" customWidth="1" min="43" max="44"/>
    <col width="12.6640625" customWidth="1" min="45" max="47"/>
    <col width="15.6640625" customWidth="1" min="49" max="54"/>
  </cols>
  <sheetData>
    <row r="1" hidden="1"/>
    <row r="2" hidden="1"/>
    <row r="3" hidden="1"/>
    <row r="4" hidden="1"/>
    <row r="5" hidden="1"/>
    <row r="6" hidden="1"/>
    <row r="7" hidden="1"/>
    <row r="8" hidden="1"/>
    <row r="9" hidden="1"/>
    <row r="10" hidden="1"/>
    <row r="11" hidden="1"/>
    <row r="12" hidden="1"/>
    <row r="13" hidden="1"/>
    <row r="14" ht="15" customHeight="1" thickBot="1"/>
    <row r="15" ht="18.6" customHeight="1" thickBot="1">
      <c r="B15" s="1" t="n"/>
      <c r="C15" s="2" t="n"/>
      <c r="D15" s="114" t="inlineStr">
        <is>
          <t>General Dynamics</t>
        </is>
      </c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  <c r="AA15" s="2" t="n"/>
      <c r="AB15" s="2" t="n"/>
      <c r="AC15" s="2" t="n"/>
      <c r="AD15" s="2" t="n"/>
      <c r="AE15" s="2" t="n"/>
      <c r="AF15" s="2" t="n"/>
      <c r="AG15" s="2" t="n"/>
      <c r="AH15" s="2" t="n"/>
      <c r="AI15" s="2" t="n"/>
      <c r="AJ15" s="2" t="n"/>
      <c r="AK15" s="2" t="n"/>
      <c r="AL15" s="2" t="n"/>
      <c r="AM15" s="2" t="n"/>
      <c r="AN15" s="3" t="n"/>
    </row>
    <row r="16" ht="15" customHeight="1" thickBot="1"/>
    <row r="17" ht="15" customHeight="1" thickBot="1">
      <c r="B17" s="4" t="n"/>
      <c r="C17" s="4" t="inlineStr">
        <is>
          <t>Start Date:</t>
        </is>
      </c>
      <c r="D17" s="115" t="inlineStr">
        <is>
          <t>09/01/2024</t>
        </is>
      </c>
      <c r="AD17" s="4" t="n"/>
      <c r="AE17" s="4" t="n"/>
      <c r="AF17" s="6" t="n">
        <v>2030</v>
      </c>
    </row>
    <row r="18">
      <c r="B18" s="4" t="n"/>
      <c r="C18" s="4" t="inlineStr">
        <is>
          <t>End Date:</t>
        </is>
      </c>
      <c r="D18" s="116" t="inlineStr">
        <is>
          <t>08/31/2025</t>
        </is>
      </c>
      <c r="AJ18" s="117" t="n"/>
    </row>
    <row r="19" ht="15" customHeight="1" thickBot="1">
      <c r="B19" s="4" t="n"/>
      <c r="C19" s="4" t="inlineStr">
        <is>
          <t>Total Months:</t>
        </is>
      </c>
      <c r="D19" s="9" t="n">
        <v>12</v>
      </c>
    </row>
    <row r="20" ht="15" customHeight="1" thickBot="1"/>
    <row r="21" ht="15" customHeight="1" thickBot="1">
      <c r="B21" s="10" t="n"/>
      <c r="C21" s="10" t="n"/>
      <c r="D21" s="11" t="inlineStr">
        <is>
          <t xml:space="preserve">Base Yr Claims </t>
        </is>
      </c>
      <c r="E21" s="12" t="n"/>
      <c r="F21" s="12" t="n"/>
      <c r="G21" s="13" t="n"/>
      <c r="H21" s="14" t="n"/>
      <c r="AE21" s="11" t="inlineStr">
        <is>
          <t>Forecast based on time period: 2030</t>
        </is>
      </c>
      <c r="AF21" s="12" t="n"/>
      <c r="AG21" s="12" t="n"/>
      <c r="AH21" s="12" t="n"/>
      <c r="AI21" s="12" t="n"/>
      <c r="AJ21" s="12" t="n"/>
      <c r="AK21" s="12" t="n"/>
      <c r="AL21" s="12" t="n"/>
      <c r="AM21" s="15" t="n"/>
      <c r="AN21" s="15" t="n"/>
    </row>
    <row r="22" ht="15" customHeight="1" thickBot="1">
      <c r="B22" s="10" t="n"/>
      <c r="C22" s="10" t="n"/>
      <c r="D22" s="16" t="n"/>
      <c r="E22" s="16" t="n"/>
      <c r="F22" s="16" t="n"/>
      <c r="G22" s="17" t="n"/>
      <c r="H22" s="18" t="n"/>
    </row>
    <row r="23" ht="15" customHeight="1" thickBot="1">
      <c r="B23" s="19" t="n"/>
      <c r="C23" s="10" t="n"/>
      <c r="D23" s="20" t="inlineStr">
        <is>
          <t>w Exclusions</t>
        </is>
      </c>
      <c r="E23" s="21" t="n"/>
      <c r="F23" s="21" t="n"/>
      <c r="G23" s="21" t="n"/>
      <c r="H23" s="22" t="n"/>
      <c r="AE23" s="20" t="inlineStr">
        <is>
          <t>Overall - Rebatable</t>
        </is>
      </c>
      <c r="AF23" s="21" t="n"/>
      <c r="AG23" s="21" t="n"/>
      <c r="AH23" s="23" t="n"/>
      <c r="AI23" s="23" t="n"/>
      <c r="AK23" s="24" t="inlineStr">
        <is>
          <t>Overall - Non Rebatable (Brand Only)</t>
        </is>
      </c>
      <c r="AL23" s="25" t="n"/>
      <c r="AM23" s="25" t="n"/>
      <c r="AN23" s="26" t="n"/>
    </row>
    <row r="24" ht="30.3" customHeight="1" thickBot="1">
      <c r="B24" s="27" t="inlineStr">
        <is>
          <t>Brand</t>
        </is>
      </c>
      <c r="C24" s="10" t="n"/>
      <c r="D24" s="28" t="inlineStr">
        <is>
          <t>Rx Count</t>
        </is>
      </c>
      <c r="E24" s="29" t="inlineStr">
        <is>
          <t>Quantity</t>
        </is>
      </c>
      <c r="F24" s="29" t="inlineStr">
        <is>
          <t>Days Supply</t>
        </is>
      </c>
      <c r="G24" s="29" t="inlineStr">
        <is>
          <t>Avg Qnty</t>
        </is>
      </c>
      <c r="H24" s="30" t="inlineStr">
        <is>
          <t>Avg DS</t>
        </is>
      </c>
      <c r="I24" s="31" t="n"/>
      <c r="J24" s="31" t="n"/>
      <c r="K24" s="31" t="n"/>
      <c r="L24" s="31" t="n"/>
      <c r="M24" s="31" t="n"/>
      <c r="N24" s="31" t="n"/>
      <c r="O24" s="31" t="n"/>
      <c r="P24" s="31" t="n"/>
      <c r="Q24" s="31" t="n"/>
      <c r="R24" s="31" t="n"/>
      <c r="S24" s="31" t="n"/>
      <c r="T24" s="31" t="n"/>
      <c r="U24" s="31" t="n"/>
      <c r="V24" s="31" t="n"/>
      <c r="W24" s="31" t="n"/>
      <c r="X24" s="31" t="n"/>
      <c r="Y24" s="31" t="n"/>
      <c r="Z24" s="31" t="n"/>
      <c r="AA24" s="31" t="n"/>
      <c r="AE24" s="32" t="inlineStr">
        <is>
          <t>Rank</t>
        </is>
      </c>
      <c r="AF24" s="33" t="inlineStr">
        <is>
          <t>Drug Name</t>
        </is>
      </c>
      <c r="AG24" s="33" t="inlineStr">
        <is>
          <t>Therapeutic Class</t>
        </is>
      </c>
      <c r="AH24" s="33" t="inlineStr">
        <is>
          <t>Total Rebates</t>
        </is>
      </c>
      <c r="AI24" s="34" t="inlineStr">
        <is>
          <t>Scripts</t>
        </is>
      </c>
      <c r="AK24" s="35" t="inlineStr">
        <is>
          <t>Rank</t>
        </is>
      </c>
      <c r="AL24" s="36" t="inlineStr">
        <is>
          <t>Drug Name</t>
        </is>
      </c>
      <c r="AM24" s="36" t="inlineStr">
        <is>
          <t>Therapeutic Class</t>
        </is>
      </c>
      <c r="AN24" s="37" t="inlineStr">
        <is>
          <t>Scripts</t>
        </is>
      </c>
    </row>
    <row r="25">
      <c r="B25" s="38" t="inlineStr">
        <is>
          <t>Retail 30</t>
        </is>
      </c>
      <c r="C25" s="10" t="n"/>
      <c r="D25" s="39" t="n">
        <v>141238</v>
      </c>
      <c r="E25" s="40" t="n">
        <v>3797425.715195745</v>
      </c>
      <c r="F25" s="40" t="n">
        <v>3617119</v>
      </c>
      <c r="G25" s="41" t="n">
        <v>26.88671402310812</v>
      </c>
      <c r="H25" s="42" t="n">
        <v>25.6100978490208</v>
      </c>
      <c r="I25" s="31" t="n"/>
      <c r="J25" s="31" t="n"/>
      <c r="K25" s="31" t="n"/>
      <c r="L25" s="31" t="n"/>
      <c r="M25" s="31" t="n"/>
      <c r="N25" s="31" t="n"/>
      <c r="O25" s="31" t="n"/>
      <c r="P25" s="31" t="n"/>
      <c r="Q25" s="31" t="n"/>
      <c r="R25" s="31" t="n"/>
      <c r="S25" s="31" t="n"/>
      <c r="T25" s="31" t="n"/>
      <c r="U25" s="31" t="n"/>
      <c r="V25" s="31" t="n"/>
      <c r="W25" s="31" t="n"/>
      <c r="X25" s="31" t="n"/>
      <c r="Y25" s="31" t="n"/>
      <c r="Z25" s="31" t="n"/>
      <c r="AA25" s="31" t="n"/>
      <c r="AE25" s="118" t="n">
        <v>1</v>
      </c>
      <c r="AF25" s="44" t="inlineStr">
        <is>
          <t>MOUNJARO</t>
        </is>
      </c>
      <c r="AG25" s="44" t="inlineStr">
        <is>
          <t>GLUCAGON-LIKE PEPTIDE-1 AGONISTS (GLP1)</t>
        </is>
      </c>
      <c r="AH25" s="119" t="n">
        <v>48231122.17847328</v>
      </c>
      <c r="AI25" s="46" t="n">
        <v>68660.9096451264</v>
      </c>
      <c r="AK25" s="120" t="n">
        <v>1</v>
      </c>
      <c r="AL25" s="44" t="inlineStr">
        <is>
          <t>TRIKAFTA</t>
        </is>
      </c>
      <c r="AM25" s="44" t="inlineStr">
        <is>
          <t>CYSTIC FIBROSIS</t>
        </is>
      </c>
      <c r="AN25" s="48" t="n">
        <v>97.18045737499524</v>
      </c>
    </row>
    <row r="26">
      <c r="B26" s="49" t="inlineStr">
        <is>
          <t>Retail 90</t>
        </is>
      </c>
      <c r="C26" s="10" t="n"/>
      <c r="D26" s="50" t="n">
        <v>31427</v>
      </c>
      <c r="E26" s="51" t="n">
        <v>2338263.499864668</v>
      </c>
      <c r="F26" s="51" t="n">
        <v>2793930</v>
      </c>
      <c r="G26" s="52" t="n">
        <v>74.40301332817856</v>
      </c>
      <c r="H26" s="53" t="n">
        <v>88.90221783816463</v>
      </c>
      <c r="I26" s="31" t="n"/>
      <c r="J26" s="31" t="n"/>
      <c r="K26" s="31" t="n"/>
      <c r="L26" s="31" t="n"/>
      <c r="M26" s="31" t="n"/>
      <c r="N26" s="31" t="n"/>
      <c r="O26" s="31" t="n"/>
      <c r="P26" s="31" t="n"/>
      <c r="Q26" s="31" t="n"/>
      <c r="R26" s="31" t="n"/>
      <c r="S26" s="31" t="n"/>
      <c r="T26" s="31" t="n"/>
      <c r="U26" s="31" t="n"/>
      <c r="V26" s="31" t="n"/>
      <c r="W26" s="31" t="n"/>
      <c r="X26" s="31" t="n"/>
      <c r="Y26" s="31" t="n"/>
      <c r="Z26" s="31" t="n"/>
      <c r="AA26" s="31" t="n"/>
      <c r="AE26" s="121" t="n">
        <v>2</v>
      </c>
      <c r="AF26" t="inlineStr">
        <is>
          <t>SKYRIZI PEN</t>
        </is>
      </c>
      <c r="AG26" t="inlineStr">
        <is>
          <t>IMMUNOMODULATORS</t>
        </is>
      </c>
      <c r="AH26" s="122" t="n">
        <v>21060282.25210969</v>
      </c>
      <c r="AI26" s="56" t="n">
        <v>1727.330050412035</v>
      </c>
      <c r="AK26" s="123" t="n">
        <v>2</v>
      </c>
      <c r="AL26" t="inlineStr">
        <is>
          <t>BIKTARVY</t>
        </is>
      </c>
      <c r="AM26" t="inlineStr">
        <is>
          <t>HIV-MULTICLASS COMBO</t>
        </is>
      </c>
      <c r="AN26" s="58" t="n">
        <v>673.0449845814503</v>
      </c>
    </row>
    <row r="27" ht="15" customHeight="1" thickBot="1">
      <c r="B27" s="59" t="inlineStr">
        <is>
          <t>Mail</t>
        </is>
      </c>
      <c r="C27" s="10" t="n"/>
      <c r="D27" s="60" t="n">
        <v>10741</v>
      </c>
      <c r="E27" s="61" t="n">
        <v>805466.9249405116</v>
      </c>
      <c r="F27" s="61" t="n">
        <v>760053</v>
      </c>
      <c r="G27" s="62" t="n">
        <v>74.98993808216289</v>
      </c>
      <c r="H27" s="63" t="n">
        <v>70.76184712782795</v>
      </c>
      <c r="I27" s="31" t="n"/>
      <c r="J27" s="31" t="n"/>
      <c r="K27" s="31" t="n"/>
      <c r="L27" s="31" t="n"/>
      <c r="M27" s="31" t="n"/>
      <c r="N27" s="31" t="n"/>
      <c r="O27" s="31" t="n"/>
      <c r="P27" s="31" t="n"/>
      <c r="Q27" s="31" t="n"/>
      <c r="R27" s="31" t="n"/>
      <c r="S27" s="31" t="n"/>
      <c r="T27" s="31" t="n"/>
      <c r="U27" s="31" t="n"/>
      <c r="V27" s="31" t="n"/>
      <c r="W27" s="31" t="n"/>
      <c r="X27" s="31" t="n"/>
      <c r="Y27" s="31" t="n"/>
      <c r="Z27" s="31" t="n"/>
      <c r="AA27" s="31" t="n"/>
      <c r="AE27" s="121" t="n">
        <v>3</v>
      </c>
      <c r="AF27" t="inlineStr">
        <is>
          <t>SKYRIZI</t>
        </is>
      </c>
      <c r="AG27" t="inlineStr">
        <is>
          <t>IMMUNOMODULATORS</t>
        </is>
      </c>
      <c r="AH27" s="122" t="n">
        <v>13225898.83652163</v>
      </c>
      <c r="AI27" s="56" t="n">
        <v>964.0204682757308</v>
      </c>
      <c r="AK27" s="123" t="n">
        <v>3</v>
      </c>
      <c r="AL27" t="inlineStr">
        <is>
          <t>DESCOVY</t>
        </is>
      </c>
      <c r="AM27" t="inlineStr">
        <is>
          <t>HIV-MULTICLASS COMBO</t>
        </is>
      </c>
      <c r="AN27" s="58" t="n">
        <v>964.697811233412</v>
      </c>
    </row>
    <row r="28" ht="15" customHeight="1" thickTop="1">
      <c r="B28" s="64" t="inlineStr">
        <is>
          <t>Non-Specialty</t>
        </is>
      </c>
      <c r="C28" s="10" t="n"/>
      <c r="D28" s="65" t="n">
        <v>183406</v>
      </c>
      <c r="E28" s="66" t="n">
        <v>6941156.140000924</v>
      </c>
      <c r="F28" s="66" t="n">
        <v>7171102</v>
      </c>
      <c r="G28" s="67" t="n">
        <v>37.84585095362706</v>
      </c>
      <c r="H28" s="68" t="n">
        <v>39.09960415689781</v>
      </c>
      <c r="I28" s="31" t="n"/>
      <c r="J28" s="31" t="n"/>
      <c r="K28" s="31" t="n"/>
      <c r="L28" s="31" t="n"/>
      <c r="M28" s="31" t="n"/>
      <c r="N28" s="31" t="n"/>
      <c r="O28" s="31" t="n"/>
      <c r="P28" s="31" t="n"/>
      <c r="Q28" s="31" t="n"/>
      <c r="R28" s="31" t="n"/>
      <c r="S28" s="31" t="n"/>
      <c r="T28" s="31" t="n"/>
      <c r="U28" s="31" t="n"/>
      <c r="V28" s="31" t="n"/>
      <c r="W28" s="31" t="n"/>
      <c r="X28" s="31" t="n"/>
      <c r="Y28" s="31" t="n"/>
      <c r="Z28" s="31" t="n"/>
      <c r="AA28" s="31" t="n"/>
      <c r="AE28" s="121" t="n">
        <v>4</v>
      </c>
      <c r="AF28" t="inlineStr">
        <is>
          <t>DUPIXENT</t>
        </is>
      </c>
      <c r="AG28" t="inlineStr">
        <is>
          <t>CHRONIC INFLAMMATORY DISEASE</t>
        </is>
      </c>
      <c r="AH28" s="122" t="n">
        <v>11098738.97340335</v>
      </c>
      <c r="AI28" s="56" t="n">
        <v>6257.992427689867</v>
      </c>
      <c r="AK28" s="123" t="n">
        <v>4</v>
      </c>
      <c r="AL28" t="inlineStr">
        <is>
          <t>OXERVATE</t>
        </is>
      </c>
      <c r="AM28" t="inlineStr">
        <is>
          <t>OPHTHALMIC NERVE GROWTH FACTORS</t>
        </is>
      </c>
      <c r="AN28" s="58" t="n">
        <v>47.44310219467467</v>
      </c>
    </row>
    <row r="29" ht="15" customHeight="1" thickBot="1">
      <c r="B29" s="59" t="inlineStr">
        <is>
          <t>Specialty</t>
        </is>
      </c>
      <c r="C29" s="10" t="n"/>
      <c r="D29" s="60" t="n">
        <v>17682</v>
      </c>
      <c r="E29" s="61" t="n">
        <v>1276137.360008448</v>
      </c>
      <c r="F29" s="61" t="n">
        <v>729525</v>
      </c>
      <c r="G29" s="62" t="n">
        <v>72.17155073003327</v>
      </c>
      <c r="H29" s="63" t="n">
        <v>41.25805904309468</v>
      </c>
      <c r="I29" s="31" t="n"/>
      <c r="J29" s="31" t="n"/>
      <c r="K29" s="31" t="n"/>
      <c r="L29" s="31" t="n"/>
      <c r="M29" s="31" t="n"/>
      <c r="N29" s="31" t="n"/>
      <c r="O29" s="31" t="n"/>
      <c r="P29" s="31" t="n"/>
      <c r="Q29" s="31" t="n"/>
      <c r="R29" s="31" t="n"/>
      <c r="S29" s="31" t="n"/>
      <c r="T29" s="31" t="n"/>
      <c r="U29" s="31" t="n"/>
      <c r="V29" s="31" t="n"/>
      <c r="W29" s="31" t="n"/>
      <c r="X29" s="31" t="n"/>
      <c r="Y29" s="31" t="n"/>
      <c r="Z29" s="31" t="n"/>
      <c r="AA29" s="31" t="n"/>
      <c r="AE29" s="121" t="n">
        <v>5</v>
      </c>
      <c r="AF29" t="inlineStr">
        <is>
          <t>RINVOQ</t>
        </is>
      </c>
      <c r="AG29" t="inlineStr">
        <is>
          <t>IMMUNOMODULATORS</t>
        </is>
      </c>
      <c r="AH29" s="122" t="n">
        <v>9809122.361841766</v>
      </c>
      <c r="AI29" s="56" t="n">
        <v>1286.37431571178</v>
      </c>
      <c r="AK29" s="123" t="n">
        <v>5</v>
      </c>
      <c r="AL29" t="inlineStr">
        <is>
          <t>GONAL-F RFF REDIJECT</t>
        </is>
      </c>
      <c r="AM29" t="inlineStr">
        <is>
          <t>FERTILITY MEDICATIONS</t>
        </is>
      </c>
      <c r="AN29" s="58" t="n">
        <v>238.9504409358379</v>
      </c>
    </row>
    <row r="30" ht="15.6" customHeight="1" thickBot="1" thickTop="1">
      <c r="B30" s="69" t="inlineStr">
        <is>
          <t>Total</t>
        </is>
      </c>
      <c r="C30" s="10" t="n"/>
      <c r="D30" s="70" t="n">
        <v>201088</v>
      </c>
      <c r="E30" s="71" t="n">
        <v>8217293.500009373</v>
      </c>
      <c r="F30" s="71" t="n">
        <v>7900627</v>
      </c>
      <c r="G30" s="72" t="n">
        <v>40.86416643464241</v>
      </c>
      <c r="H30" s="73" t="n">
        <v>39.28940066040738</v>
      </c>
      <c r="I30" s="31" t="n"/>
      <c r="J30" s="31" t="n"/>
      <c r="K30" s="31" t="n"/>
      <c r="L30" s="31" t="n"/>
      <c r="M30" s="31" t="n"/>
      <c r="N30" s="31" t="n"/>
      <c r="O30" s="31" t="n"/>
      <c r="P30" s="31" t="n"/>
      <c r="Q30" s="31" t="n"/>
      <c r="R30" s="31" t="n"/>
      <c r="S30" s="31" t="n"/>
      <c r="T30" s="31" t="n"/>
      <c r="U30" s="31" t="n"/>
      <c r="V30" s="31" t="n"/>
      <c r="W30" s="31" t="n"/>
      <c r="X30" s="31" t="n"/>
      <c r="Y30" s="31" t="n"/>
      <c r="Z30" s="31" t="n"/>
      <c r="AA30" s="31" t="n"/>
      <c r="AE30" s="121" t="n">
        <v>6</v>
      </c>
      <c r="AF30" t="inlineStr">
        <is>
          <t>OZEMPIC</t>
        </is>
      </c>
      <c r="AG30" t="inlineStr">
        <is>
          <t>GLUCAGON-LIKE PEPTIDE-1 AGONISTS (GLP1)</t>
        </is>
      </c>
      <c r="AH30" s="122" t="n">
        <v>9628060.155740913</v>
      </c>
      <c r="AI30" s="56" t="n">
        <v>13115.76309006336</v>
      </c>
      <c r="AK30" s="123" t="n">
        <v>6</v>
      </c>
      <c r="AL30" t="inlineStr">
        <is>
          <t>COSENTYX UNOREADY</t>
        </is>
      </c>
      <c r="AM30" t="inlineStr">
        <is>
          <t>IMMUNOMODULATORS</t>
        </is>
      </c>
      <c r="AN30" s="58" t="n">
        <v>166.4622171179572</v>
      </c>
    </row>
    <row r="31">
      <c r="B31" s="10" t="n"/>
      <c r="C31" s="10" t="n"/>
      <c r="D31" s="74" t="n"/>
      <c r="E31" s="74" t="n"/>
      <c r="F31" s="74" t="n"/>
      <c r="G31" s="75" t="n"/>
      <c r="H31" s="76" t="n"/>
      <c r="I31" s="31" t="n"/>
      <c r="J31" s="31" t="n"/>
      <c r="K31" s="31" t="n"/>
      <c r="L31" s="31" t="n"/>
      <c r="M31" s="31" t="n"/>
      <c r="N31" s="31" t="n"/>
      <c r="O31" s="31" t="n"/>
      <c r="P31" s="31" t="n"/>
      <c r="Q31" s="31" t="n"/>
      <c r="R31" s="31" t="n"/>
      <c r="S31" s="31" t="n"/>
      <c r="T31" s="31" t="n"/>
      <c r="U31" s="31" t="n"/>
      <c r="V31" s="31" t="n"/>
      <c r="W31" s="31" t="n"/>
      <c r="X31" s="31" t="n"/>
      <c r="Y31" s="31" t="n"/>
      <c r="Z31" s="31" t="n"/>
      <c r="AA31" s="31" t="n"/>
      <c r="AE31" s="121" t="n">
        <v>7</v>
      </c>
      <c r="AF31" t="inlineStr">
        <is>
          <t>STELARA</t>
        </is>
      </c>
      <c r="AG31" t="inlineStr">
        <is>
          <t>IMMUNOMODULATORS</t>
        </is>
      </c>
      <c r="AH31" s="122" t="n">
        <v>9215706.557009481</v>
      </c>
      <c r="AI31" s="56" t="n">
        <v>518.5073114282314</v>
      </c>
      <c r="AK31" s="123" t="n">
        <v>7</v>
      </c>
      <c r="AL31" t="inlineStr">
        <is>
          <t>COSENTYX SENSOREADY PEN</t>
        </is>
      </c>
      <c r="AM31" t="inlineStr">
        <is>
          <t>IMMUNOMODULATORS</t>
        </is>
      </c>
      <c r="AN31" s="58" t="n">
        <v>212.5767502384723</v>
      </c>
      <c r="AW31" s="77" t="n"/>
      <c r="AX31" s="78" t="n"/>
      <c r="AY31" s="78" t="n"/>
      <c r="AZ31" s="78" t="n"/>
    </row>
    <row r="32" ht="15" customHeight="1" thickBot="1">
      <c r="B32" s="27" t="inlineStr">
        <is>
          <t>Generic</t>
        </is>
      </c>
      <c r="C32" s="10" t="n"/>
      <c r="D32" s="79" t="n"/>
      <c r="E32" s="79" t="n"/>
      <c r="F32" s="79" t="n"/>
      <c r="G32" s="79" t="n"/>
      <c r="H32" s="80" t="n"/>
      <c r="I32" s="31" t="n"/>
      <c r="J32" s="31" t="n"/>
      <c r="K32" s="31" t="n"/>
      <c r="L32" s="31" t="n"/>
      <c r="M32" s="31" t="n"/>
      <c r="N32" s="31" t="n"/>
      <c r="O32" s="31" t="n"/>
      <c r="P32" s="31" t="n"/>
      <c r="Q32" s="31" t="n"/>
      <c r="R32" s="31" t="n"/>
      <c r="S32" s="31" t="n"/>
      <c r="T32" s="31" t="n"/>
      <c r="U32" s="31" t="n"/>
      <c r="V32" s="31" t="n"/>
      <c r="W32" s="31" t="n"/>
      <c r="X32" s="31" t="n"/>
      <c r="Y32" s="31" t="n"/>
      <c r="Z32" s="31" t="n"/>
      <c r="AA32" s="31" t="n"/>
      <c r="AE32" s="121" t="n">
        <v>8</v>
      </c>
      <c r="AF32" t="inlineStr">
        <is>
          <t>HUMIRA PEN</t>
        </is>
      </c>
      <c r="AG32" t="inlineStr">
        <is>
          <t>IMMUNOMODULATORS</t>
        </is>
      </c>
      <c r="AH32" s="122" t="n">
        <v>7965300.845107482</v>
      </c>
      <c r="AI32" s="56" t="n">
        <v>697.3417203590097</v>
      </c>
      <c r="AK32" s="123" t="n">
        <v>8</v>
      </c>
      <c r="AL32" t="inlineStr">
        <is>
          <t>HEMLIBRA</t>
        </is>
      </c>
      <c r="AM32" t="inlineStr">
        <is>
          <t>ANTIHEMOPHILIC PRODUCTS</t>
        </is>
      </c>
      <c r="AN32" s="58" t="n">
        <v>33.36158670091903</v>
      </c>
    </row>
    <row r="33">
      <c r="B33" s="38" t="inlineStr">
        <is>
          <t>Retail 30</t>
        </is>
      </c>
      <c r="C33" s="10" t="n"/>
      <c r="D33" s="39" t="n">
        <v>1070496</v>
      </c>
      <c r="E33" s="40" t="n">
        <v>47379914.577124</v>
      </c>
      <c r="F33" s="40" t="n">
        <v>25884807</v>
      </c>
      <c r="G33" s="41" t="n">
        <v>44.25977731549114</v>
      </c>
      <c r="H33" s="42" t="n">
        <v>24.18019964577168</v>
      </c>
      <c r="I33" s="31" t="n"/>
      <c r="J33" s="31" t="n"/>
      <c r="K33" s="31" t="n"/>
      <c r="L33" s="31" t="n"/>
      <c r="M33" s="31" t="n"/>
      <c r="N33" s="31" t="n"/>
      <c r="O33" s="31" t="n"/>
      <c r="P33" s="31" t="n"/>
      <c r="Q33" s="31" t="n"/>
      <c r="R33" s="31" t="n"/>
      <c r="S33" s="31" t="n"/>
      <c r="T33" s="31" t="n"/>
      <c r="U33" s="31" t="n"/>
      <c r="V33" s="31" t="n"/>
      <c r="W33" s="31" t="n"/>
      <c r="X33" s="31" t="n"/>
      <c r="Y33" s="31" t="n"/>
      <c r="Z33" s="31" t="n"/>
      <c r="AA33" s="31" t="n"/>
      <c r="AE33" s="121" t="n">
        <v>9</v>
      </c>
      <c r="AF33" t="inlineStr">
        <is>
          <t>JARDIANCE</t>
        </is>
      </c>
      <c r="AG33" t="inlineStr">
        <is>
          <t>SGLT-2 INHIBITORS &amp; COMBOS</t>
        </is>
      </c>
      <c r="AH33" s="122" t="n">
        <v>4545282.286439495</v>
      </c>
      <c r="AI33" s="56" t="n">
        <v>17635.78868488064</v>
      </c>
      <c r="AK33" s="123" t="n">
        <v>9</v>
      </c>
      <c r="AL33" t="inlineStr">
        <is>
          <t>ZILBRYSQ</t>
        </is>
      </c>
      <c r="AM33" t="inlineStr">
        <is>
          <t>COMPLEMENT INHIBITORS</t>
        </is>
      </c>
      <c r="AN33" s="58" t="n">
        <v>39.10462683645455</v>
      </c>
    </row>
    <row r="34">
      <c r="B34" s="49" t="inlineStr">
        <is>
          <t>Retail 90</t>
        </is>
      </c>
      <c r="C34" s="10" t="n"/>
      <c r="D34" s="50" t="n">
        <v>247394</v>
      </c>
      <c r="E34" s="51" t="n">
        <v>26440402.58003044</v>
      </c>
      <c r="F34" s="51" t="n">
        <v>22189170</v>
      </c>
      <c r="G34" s="52" t="n">
        <v>106.8756824338118</v>
      </c>
      <c r="H34" s="53" t="n">
        <v>89.69162550425636</v>
      </c>
      <c r="I34" s="31" t="n"/>
      <c r="J34" s="31" t="n"/>
      <c r="K34" s="31" t="n"/>
      <c r="L34" s="31" t="n"/>
      <c r="M34" s="31" t="n"/>
      <c r="N34" s="31" t="n"/>
      <c r="O34" s="31" t="n"/>
      <c r="P34" s="31" t="n"/>
      <c r="Q34" s="31" t="n"/>
      <c r="R34" s="31" t="n"/>
      <c r="S34" s="31" t="n"/>
      <c r="T34" s="31" t="n"/>
      <c r="U34" s="31" t="n"/>
      <c r="V34" s="31" t="n"/>
      <c r="W34" s="31" t="n"/>
      <c r="X34" s="31" t="n"/>
      <c r="Y34" s="31" t="n"/>
      <c r="Z34" s="31" t="n"/>
      <c r="AA34" s="31" t="n"/>
      <c r="AE34" s="121" t="n">
        <v>10</v>
      </c>
      <c r="AF34" t="inlineStr">
        <is>
          <t>TALTZ</t>
        </is>
      </c>
      <c r="AG34" t="inlineStr">
        <is>
          <t>IMMUNOMODULATORS</t>
        </is>
      </c>
      <c r="AH34" s="122" t="n">
        <v>3573509.386464554</v>
      </c>
      <c r="AI34" s="56" t="n">
        <v>510.6340984564362</v>
      </c>
      <c r="AK34" s="123" t="n">
        <v>10</v>
      </c>
      <c r="AL34" t="inlineStr">
        <is>
          <t>OTEZLA</t>
        </is>
      </c>
      <c r="AM34" t="inlineStr">
        <is>
          <t>IMMUNOMODULATORS</t>
        </is>
      </c>
      <c r="AN34" s="58" t="n">
        <v>191.7941861259826</v>
      </c>
    </row>
    <row r="35" ht="15" customHeight="1" thickBot="1">
      <c r="B35" s="59" t="inlineStr">
        <is>
          <t>Mail</t>
        </is>
      </c>
      <c r="C35" s="10" t="n"/>
      <c r="D35" s="60" t="n">
        <v>55194</v>
      </c>
      <c r="E35" s="61" t="n">
        <v>5556804.190032244</v>
      </c>
      <c r="F35" s="61" t="n">
        <v>4384361</v>
      </c>
      <c r="G35" s="62" t="n">
        <v>100.6776857997653</v>
      </c>
      <c r="H35" s="63" t="n">
        <v>79.43546399971011</v>
      </c>
      <c r="I35" s="31" t="n"/>
      <c r="J35" s="31" t="n"/>
      <c r="K35" s="31" t="n"/>
      <c r="L35" s="31" t="n"/>
      <c r="M35" s="31" t="n"/>
      <c r="N35" s="31" t="n"/>
      <c r="O35" s="31" t="n"/>
      <c r="P35" s="31" t="n"/>
      <c r="Q35" s="31" t="n"/>
      <c r="R35" s="31" t="n"/>
      <c r="S35" s="31" t="n"/>
      <c r="T35" s="31" t="n"/>
      <c r="U35" s="31" t="n"/>
      <c r="V35" s="31" t="n"/>
      <c r="W35" s="31" t="n"/>
      <c r="X35" s="31" t="n"/>
      <c r="Y35" s="31" t="n"/>
      <c r="Z35" s="31" t="n"/>
      <c r="AA35" s="31" t="n"/>
      <c r="AE35" s="121" t="n">
        <v>11</v>
      </c>
      <c r="AF35" t="inlineStr">
        <is>
          <t>NURTEC</t>
        </is>
      </c>
      <c r="AG35" t="inlineStr">
        <is>
          <t>MIGRAINE PRODUCTS</t>
        </is>
      </c>
      <c r="AH35" s="122" t="n">
        <v>3544729.107520737</v>
      </c>
      <c r="AI35" s="56" t="n">
        <v>3709.279945752467</v>
      </c>
      <c r="AK35" s="123" t="n">
        <v>11</v>
      </c>
      <c r="AL35" t="inlineStr">
        <is>
          <t>FREESTYLE LIBRE 3 PLUS/SENSOR/GLUCOSE MONITORING SYSTEM</t>
        </is>
      </c>
      <c r="AM35" t="inlineStr">
        <is>
          <t>DIABETES MONITORING AND TESTING SUPPLIES</t>
        </is>
      </c>
      <c r="AN35" s="58" t="n">
        <v>4425.476253541168</v>
      </c>
    </row>
    <row r="36" ht="15" customHeight="1" thickTop="1">
      <c r="B36" s="64" t="inlineStr">
        <is>
          <t>Non-Specialty</t>
        </is>
      </c>
      <c r="C36" s="10" t="n"/>
      <c r="D36" s="65" t="n">
        <v>1373084</v>
      </c>
      <c r="E36" s="66" t="n">
        <v>79377121.34718668</v>
      </c>
      <c r="F36" s="66" t="n">
        <v>52458338</v>
      </c>
      <c r="G36" s="67" t="n">
        <v>57.80937025497835</v>
      </c>
      <c r="H36" s="68" t="n">
        <v>38.20475513515561</v>
      </c>
      <c r="I36" s="31" t="n"/>
      <c r="J36" s="31" t="n"/>
      <c r="K36" s="31" t="n"/>
      <c r="L36" s="31" t="n"/>
      <c r="M36" s="31" t="n"/>
      <c r="N36" s="31" t="n"/>
      <c r="O36" s="31" t="n"/>
      <c r="P36" s="31" t="n"/>
      <c r="Q36" s="31" t="n"/>
      <c r="R36" s="31" t="n"/>
      <c r="S36" s="31" t="n"/>
      <c r="T36" s="31" t="n"/>
      <c r="U36" s="31" t="n"/>
      <c r="V36" s="31" t="n"/>
      <c r="W36" s="31" t="n"/>
      <c r="X36" s="31" t="n"/>
      <c r="Y36" s="31" t="n"/>
      <c r="Z36" s="31" t="n"/>
      <c r="AA36" s="31" t="n"/>
      <c r="AE36" s="121" t="n">
        <v>12</v>
      </c>
      <c r="AF36" t="inlineStr">
        <is>
          <t>OMNIPOD 5 DEXCOM G7G6 PODS (GEN 5)</t>
        </is>
      </c>
      <c r="AG36" t="inlineStr">
        <is>
          <t>INSULIN ADMINISTRATION SUPPLIES</t>
        </is>
      </c>
      <c r="AH36" s="122" t="n">
        <v>3159783.330210902</v>
      </c>
      <c r="AI36" s="56" t="n">
        <v>11271.648789632</v>
      </c>
      <c r="AK36" s="123" t="n">
        <v>12</v>
      </c>
      <c r="AL36" t="inlineStr">
        <is>
          <t>EVRYSDI</t>
        </is>
      </c>
      <c r="AM36" t="inlineStr">
        <is>
          <t>SPINAL MUSCULAR ATROPHY (SMA) AGENT</t>
        </is>
      </c>
      <c r="AN36" s="58" t="n">
        <v>48.97352484611579</v>
      </c>
    </row>
    <row r="37" ht="15" customHeight="1" thickBot="1">
      <c r="B37" s="59" t="inlineStr">
        <is>
          <t>Specialty</t>
        </is>
      </c>
      <c r="C37" s="10" t="n"/>
      <c r="D37" s="60" t="n">
        <v>2510</v>
      </c>
      <c r="E37" s="61" t="n">
        <v>94070.66000258923</v>
      </c>
      <c r="F37" s="61" t="n">
        <v>107685</v>
      </c>
      <c r="G37" s="62" t="n">
        <v>37.47835059864113</v>
      </c>
      <c r="H37" s="63" t="n">
        <v>42.90239043824701</v>
      </c>
      <c r="I37" s="31" t="n"/>
      <c r="J37" s="31" t="n"/>
      <c r="K37" s="31" t="n"/>
      <c r="L37" s="31" t="n"/>
      <c r="M37" s="31" t="n"/>
      <c r="N37" s="31" t="n"/>
      <c r="O37" s="31" t="n"/>
      <c r="P37" s="31" t="n"/>
      <c r="Q37" s="31" t="n"/>
      <c r="R37" s="31" t="n"/>
      <c r="S37" s="31" t="n"/>
      <c r="T37" s="31" t="n"/>
      <c r="U37" s="31" t="n"/>
      <c r="V37" s="31" t="n"/>
      <c r="W37" s="31" t="n"/>
      <c r="X37" s="31" t="n"/>
      <c r="Y37" s="31" t="n"/>
      <c r="Z37" s="31" t="n"/>
      <c r="AA37" s="31" t="n"/>
      <c r="AE37" s="121" t="n">
        <v>13</v>
      </c>
      <c r="AF37" t="inlineStr">
        <is>
          <t>TREMFYA</t>
        </is>
      </c>
      <c r="AG37" t="inlineStr">
        <is>
          <t>IMMUNOMODULATORS</t>
        </is>
      </c>
      <c r="AH37" s="122" t="n">
        <v>2987967.996837878</v>
      </c>
      <c r="AI37" s="56" t="n">
        <v>363.292541412839</v>
      </c>
      <c r="AK37" s="123" t="n">
        <v>13</v>
      </c>
      <c r="AL37" t="inlineStr">
        <is>
          <t>GENOTROPIN</t>
        </is>
      </c>
      <c r="AM37" t="inlineStr">
        <is>
          <t>GROWTH HORMONES</t>
        </is>
      </c>
      <c r="AN37" s="58" t="n">
        <v>177.5029144854337</v>
      </c>
    </row>
    <row r="38" ht="15.6" customHeight="1" thickBot="1" thickTop="1">
      <c r="B38" s="69" t="inlineStr">
        <is>
          <t>Total</t>
        </is>
      </c>
      <c r="C38" s="10" t="n"/>
      <c r="D38" s="70" t="n">
        <v>1375594</v>
      </c>
      <c r="E38" s="71" t="n">
        <v>79471192.00718927</v>
      </c>
      <c r="F38" s="71" t="n">
        <v>52566023</v>
      </c>
      <c r="G38" s="72" t="n">
        <v>57.77227292877787</v>
      </c>
      <c r="H38" s="73" t="n">
        <v>38.21332675193408</v>
      </c>
      <c r="I38" s="31" t="n"/>
      <c r="J38" s="31" t="n"/>
      <c r="K38" s="31" t="n"/>
      <c r="L38" s="31" t="n"/>
      <c r="M38" s="31" t="n"/>
      <c r="N38" s="31" t="n"/>
      <c r="O38" s="31" t="n"/>
      <c r="P38" s="31" t="n"/>
      <c r="Q38" s="31" t="n"/>
      <c r="R38" s="31" t="n"/>
      <c r="S38" s="31" t="n"/>
      <c r="T38" s="31" t="n"/>
      <c r="U38" s="31" t="n"/>
      <c r="V38" s="31" t="n"/>
      <c r="W38" s="31" t="n"/>
      <c r="X38" s="31" t="n"/>
      <c r="Y38" s="31" t="n"/>
      <c r="Z38" s="31" t="n"/>
      <c r="AA38" s="31" t="n"/>
      <c r="AE38" s="121" t="n">
        <v>14</v>
      </c>
      <c r="AF38" t="inlineStr">
        <is>
          <t>DEXCOM G7 SENSOR</t>
        </is>
      </c>
      <c r="AG38" t="inlineStr">
        <is>
          <t>DIABETES MONITORING AND TESTING SUPPLIES</t>
        </is>
      </c>
      <c r="AH38" s="122" t="n">
        <v>2866001.833220612</v>
      </c>
      <c r="AI38" s="56" t="n">
        <v>6744.89382343755</v>
      </c>
      <c r="AK38" s="123" t="n">
        <v>14</v>
      </c>
      <c r="AL38" t="inlineStr">
        <is>
          <t>WAKIX</t>
        </is>
      </c>
      <c r="AM38" t="inlineStr">
        <is>
          <t>NARCOLEPSY</t>
        </is>
      </c>
      <c r="AN38" s="58" t="n">
        <v>73.16363142680652</v>
      </c>
    </row>
    <row r="39">
      <c r="B39" s="10" t="n"/>
      <c r="C39" s="10" t="n"/>
      <c r="D39" s="74" t="n"/>
      <c r="E39" s="74" t="n"/>
      <c r="F39" s="74" t="n"/>
      <c r="G39" s="75" t="n"/>
      <c r="H39" s="76" t="n"/>
      <c r="I39" s="31" t="n"/>
      <c r="J39" s="31" t="n"/>
      <c r="K39" s="31" t="n"/>
      <c r="L39" s="31" t="n"/>
      <c r="M39" s="31" t="n"/>
      <c r="N39" s="31" t="n"/>
      <c r="O39" s="31" t="n"/>
      <c r="P39" s="31" t="n"/>
      <c r="Q39" s="31" t="n"/>
      <c r="R39" s="31" t="n"/>
      <c r="S39" s="31" t="n"/>
      <c r="T39" s="31" t="n"/>
      <c r="U39" s="31" t="n"/>
      <c r="V39" s="31" t="n"/>
      <c r="W39" s="31" t="n"/>
      <c r="X39" s="31" t="n"/>
      <c r="Y39" s="31" t="n"/>
      <c r="Z39" s="31" t="n"/>
      <c r="AA39" s="31" t="n"/>
      <c r="AE39" s="121" t="n">
        <v>15</v>
      </c>
      <c r="AF39" t="inlineStr">
        <is>
          <t>QULIPTA</t>
        </is>
      </c>
      <c r="AG39" t="inlineStr">
        <is>
          <t>MIGRAINE PRODUCTS</t>
        </is>
      </c>
      <c r="AH39" s="122" t="n">
        <v>2525955.663309997</v>
      </c>
      <c r="AI39" s="56" t="n">
        <v>2574.249362596877</v>
      </c>
      <c r="AK39" s="123" t="n">
        <v>15</v>
      </c>
      <c r="AL39" t="inlineStr">
        <is>
          <t>SPRAVATO 84MG DOSE</t>
        </is>
      </c>
      <c r="AM39" t="inlineStr">
        <is>
          <t>ANTIDEPRESSANTS</t>
        </is>
      </c>
      <c r="AN39" s="58" t="n">
        <v>827.9586544296449</v>
      </c>
    </row>
    <row r="40" ht="15" customHeight="1" thickBot="1">
      <c r="B40" s="27" t="inlineStr">
        <is>
          <t>Total</t>
        </is>
      </c>
      <c r="C40" s="10" t="n"/>
      <c r="D40" s="79" t="n"/>
      <c r="E40" s="79" t="n"/>
      <c r="F40" s="79" t="n"/>
      <c r="G40" s="79" t="n"/>
      <c r="H40" s="80" t="n"/>
      <c r="I40" s="31" t="n"/>
      <c r="J40" s="31" t="n"/>
      <c r="K40" s="31" t="n"/>
      <c r="L40" s="31" t="n"/>
      <c r="M40" s="31" t="n"/>
      <c r="N40" s="31" t="n"/>
      <c r="O40" s="31" t="n"/>
      <c r="P40" s="31" t="n"/>
      <c r="Q40" s="31" t="n"/>
      <c r="R40" s="31" t="n"/>
      <c r="S40" s="31" t="n"/>
      <c r="T40" s="31" t="n"/>
      <c r="U40" s="31" t="n"/>
      <c r="V40" s="31" t="n"/>
      <c r="W40" s="31" t="n"/>
      <c r="X40" s="31" t="n"/>
      <c r="Y40" s="31" t="n"/>
      <c r="Z40" s="31" t="n"/>
      <c r="AA40" s="31" t="n"/>
      <c r="AE40" s="121" t="n">
        <v>16</v>
      </c>
      <c r="AF40" t="inlineStr">
        <is>
          <t>XYWAV</t>
        </is>
      </c>
      <c r="AG40" t="inlineStr">
        <is>
          <t>NARCOLEPSY</t>
        </is>
      </c>
      <c r="AH40" s="122" t="n">
        <v>2286258.409116118</v>
      </c>
      <c r="AI40" s="56" t="n">
        <v>379.795065741434</v>
      </c>
      <c r="AK40" s="123" t="n">
        <v>16</v>
      </c>
      <c r="AL40" t="inlineStr">
        <is>
          <t>BENLYSTA</t>
        </is>
      </c>
      <c r="AM40" t="inlineStr">
        <is>
          <t>LUPUS AGENT</t>
        </is>
      </c>
      <c r="AN40" s="58" t="n">
        <v>151.5118424926707</v>
      </c>
    </row>
    <row r="41">
      <c r="B41" s="38" t="inlineStr">
        <is>
          <t>Retail 30</t>
        </is>
      </c>
      <c r="C41" s="10" t="n"/>
      <c r="D41" s="39" t="n">
        <v>1211734</v>
      </c>
      <c r="E41" s="40" t="n">
        <v>51177340.29231974</v>
      </c>
      <c r="F41" s="40" t="n">
        <v>29501926</v>
      </c>
      <c r="G41" s="41" t="n">
        <v>42.23479764727221</v>
      </c>
      <c r="H41" s="42" t="n">
        <v>24.34686655652148</v>
      </c>
      <c r="I41" s="31" t="n"/>
      <c r="J41" s="31" t="n"/>
      <c r="K41" s="31" t="n"/>
      <c r="L41" s="31" t="n"/>
      <c r="M41" s="31" t="n"/>
      <c r="N41" s="31" t="n"/>
      <c r="O41" s="31" t="n"/>
      <c r="P41" s="31" t="n"/>
      <c r="Q41" s="31" t="n"/>
      <c r="R41" s="31" t="n"/>
      <c r="S41" s="31" t="n"/>
      <c r="T41" s="31" t="n"/>
      <c r="U41" s="31" t="n"/>
      <c r="V41" s="31" t="n"/>
      <c r="W41" s="31" t="n"/>
      <c r="X41" s="31" t="n"/>
      <c r="Y41" s="31" t="n"/>
      <c r="Z41" s="31" t="n"/>
      <c r="AA41" s="31" t="n"/>
      <c r="AE41" s="121" t="n">
        <v>17</v>
      </c>
      <c r="AF41" t="inlineStr">
        <is>
          <t>ENBREL SURECLICK</t>
        </is>
      </c>
      <c r="AG41" t="inlineStr">
        <is>
          <t>IMMUNOMODULATORS</t>
        </is>
      </c>
      <c r="AH41" s="122" t="n">
        <v>1980461.311262639</v>
      </c>
      <c r="AI41" s="56" t="n">
        <v>404.9080956923283</v>
      </c>
      <c r="AK41" s="123" t="n">
        <v>17</v>
      </c>
      <c r="AL41" t="inlineStr">
        <is>
          <t>PALYNZIQ</t>
        </is>
      </c>
      <c r="AM41" t="inlineStr">
        <is>
          <t>METABOLIC MODIFIERS</t>
        </is>
      </c>
      <c r="AN41" s="58" t="n">
        <v>62.07213153491598</v>
      </c>
    </row>
    <row r="42">
      <c r="B42" s="49" t="inlineStr">
        <is>
          <t>Retail 90</t>
        </is>
      </c>
      <c r="C42" s="10" t="n"/>
      <c r="D42" s="50" t="n">
        <v>278821</v>
      </c>
      <c r="E42" s="51" t="n">
        <v>28778666.07989511</v>
      </c>
      <c r="F42" s="51" t="n">
        <v>24983100</v>
      </c>
      <c r="G42" s="52" t="n">
        <v>103.21556152476</v>
      </c>
      <c r="H42" s="53" t="n">
        <v>89.6026482940668</v>
      </c>
      <c r="I42" s="31" t="n"/>
      <c r="J42" s="31" t="n"/>
      <c r="K42" s="31" t="n"/>
      <c r="L42" s="31" t="n"/>
      <c r="M42" s="31" t="n"/>
      <c r="N42" s="31" t="n"/>
      <c r="O42" s="31" t="n"/>
      <c r="P42" s="31" t="n"/>
      <c r="Q42" s="31" t="n"/>
      <c r="R42" s="31" t="n"/>
      <c r="S42" s="31" t="n"/>
      <c r="T42" s="31" t="n"/>
      <c r="U42" s="31" t="n"/>
      <c r="V42" s="31" t="n"/>
      <c r="W42" s="31" t="n"/>
      <c r="X42" s="31" t="n"/>
      <c r="Y42" s="31" t="n"/>
      <c r="Z42" s="31" t="n"/>
      <c r="AA42" s="31" t="n"/>
      <c r="AE42" s="121" t="n">
        <v>18</v>
      </c>
      <c r="AF42" t="inlineStr">
        <is>
          <t>REPATHA SURECLICK</t>
        </is>
      </c>
      <c r="AG42" t="inlineStr">
        <is>
          <t>PCSK9 INHIBITORS</t>
        </is>
      </c>
      <c r="AH42" s="122" t="n">
        <v>1764370.350051832</v>
      </c>
      <c r="AI42" s="56" t="n">
        <v>4658.58096142627</v>
      </c>
      <c r="AK42" s="123" t="n">
        <v>18</v>
      </c>
      <c r="AL42" t="inlineStr">
        <is>
          <t>VENCLEXTA</t>
        </is>
      </c>
      <c r="AM42" t="inlineStr">
        <is>
          <t>ONCOLOGY</t>
        </is>
      </c>
      <c r="AN42" s="58" t="n">
        <v>75.11773332868127</v>
      </c>
    </row>
    <row r="43" ht="15" customHeight="1" thickBot="1">
      <c r="B43" s="59" t="inlineStr">
        <is>
          <t>Mail</t>
        </is>
      </c>
      <c r="C43" s="10" t="n"/>
      <c r="D43" s="60" t="n">
        <v>65935</v>
      </c>
      <c r="E43" s="61" t="n">
        <v>6362271.114972755</v>
      </c>
      <c r="F43" s="61" t="n">
        <v>5144414</v>
      </c>
      <c r="G43" s="62" t="n">
        <v>96.49307825847812</v>
      </c>
      <c r="H43" s="63" t="n">
        <v>78.02250701448396</v>
      </c>
      <c r="I43" s="31" t="n"/>
      <c r="J43" s="31" t="n"/>
      <c r="K43" s="31" t="n"/>
      <c r="L43" s="31" t="n"/>
      <c r="M43" s="31" t="n"/>
      <c r="N43" s="31" t="n"/>
      <c r="O43" s="31" t="n"/>
      <c r="P43" s="31" t="n"/>
      <c r="Q43" s="31" t="n"/>
      <c r="R43" s="31" t="n"/>
      <c r="S43" s="31" t="n"/>
      <c r="T43" s="31" t="n"/>
      <c r="U43" s="31" t="n"/>
      <c r="V43" s="31" t="n"/>
      <c r="W43" s="31" t="n"/>
      <c r="X43" s="31" t="n"/>
      <c r="Y43" s="31" t="n"/>
      <c r="Z43" s="31" t="n"/>
      <c r="AA43" s="31" t="n"/>
      <c r="AE43" s="121" t="n">
        <v>19</v>
      </c>
      <c r="AF43" t="inlineStr">
        <is>
          <t>TRELEGY ELLIPTA</t>
        </is>
      </c>
      <c r="AG43" t="inlineStr">
        <is>
          <t>LABA LAMA COMBO</t>
        </is>
      </c>
      <c r="AH43" s="122" t="n">
        <v>1737401.030718165</v>
      </c>
      <c r="AI43" s="56" t="n">
        <v>3570.123843302602</v>
      </c>
      <c r="AK43" s="123" t="n">
        <v>19</v>
      </c>
      <c r="AL43" t="inlineStr">
        <is>
          <t>REVLIMID</t>
        </is>
      </c>
      <c r="AM43" t="inlineStr">
        <is>
          <t>ONCOLOGY</t>
        </is>
      </c>
      <c r="AN43" s="58" t="n">
        <v>63.09202187070322</v>
      </c>
    </row>
    <row r="44" ht="15.6" customHeight="1" thickBot="1" thickTop="1">
      <c r="B44" s="64" t="inlineStr">
        <is>
          <t>Non-Specialty</t>
        </is>
      </c>
      <c r="C44" s="10" t="n"/>
      <c r="D44" s="65" t="n">
        <v>1556490</v>
      </c>
      <c r="E44" s="66" t="n">
        <v>86318277.48718761</v>
      </c>
      <c r="F44" s="66" t="n">
        <v>59629440</v>
      </c>
      <c r="G44" s="67" t="n">
        <v>55.45700742516021</v>
      </c>
      <c r="H44" s="68" t="n">
        <v>38.3101979453771</v>
      </c>
      <c r="I44" s="31" t="n"/>
      <c r="J44" s="31" t="n"/>
      <c r="K44" s="31" t="n"/>
      <c r="L44" s="31" t="n"/>
      <c r="M44" s="31" t="n"/>
      <c r="N44" s="31" t="n"/>
      <c r="O44" s="31" t="n"/>
      <c r="P44" s="31" t="n"/>
      <c r="Q44" s="31" t="n"/>
      <c r="R44" s="31" t="n"/>
      <c r="S44" s="31" t="n"/>
      <c r="T44" s="31" t="n"/>
      <c r="U44" s="31" t="n"/>
      <c r="V44" s="31" t="n"/>
      <c r="W44" s="31" t="n"/>
      <c r="X44" s="31" t="n"/>
      <c r="Y44" s="31" t="n"/>
      <c r="Z44" s="31" t="n"/>
      <c r="AA44" s="31" t="n"/>
      <c r="AE44" s="124" t="n">
        <v>20</v>
      </c>
      <c r="AF44" s="82" t="inlineStr">
        <is>
          <t>UBRELVY</t>
        </is>
      </c>
      <c r="AG44" s="82" t="inlineStr">
        <is>
          <t>MIGRAINE PRODUCTS</t>
        </is>
      </c>
      <c r="AH44" s="125" t="n">
        <v>1689422.365110991</v>
      </c>
      <c r="AI44" s="84" t="n">
        <v>2751.314133569148</v>
      </c>
      <c r="AK44" s="126" t="n">
        <v>20</v>
      </c>
      <c r="AL44" s="86" t="inlineStr">
        <is>
          <t>ARCALYST</t>
        </is>
      </c>
      <c r="AM44" s="86" t="inlineStr">
        <is>
          <t>CHRONIC INFLAMMATORY DISEASE</t>
        </is>
      </c>
      <c r="AN44" s="87" t="n">
        <v>33.74234130769402</v>
      </c>
    </row>
    <row r="45" ht="15" customHeight="1" thickBot="1">
      <c r="B45" s="59" t="inlineStr">
        <is>
          <t>Specialty</t>
        </is>
      </c>
      <c r="C45" s="10" t="n"/>
      <c r="D45" s="60" t="n">
        <v>20192</v>
      </c>
      <c r="E45" s="61" t="n">
        <v>1370208.020011038</v>
      </c>
      <c r="F45" s="61" t="n">
        <v>837210</v>
      </c>
      <c r="G45" s="62" t="n">
        <v>67.85895503224235</v>
      </c>
      <c r="H45" s="63" t="n">
        <v>41.46246038034865</v>
      </c>
      <c r="I45" s="31" t="n"/>
      <c r="J45" s="31" t="n"/>
      <c r="K45" s="31" t="n"/>
      <c r="L45" s="31" t="n"/>
      <c r="M45" s="31" t="n"/>
      <c r="N45" s="31" t="n"/>
      <c r="O45" s="31" t="n"/>
      <c r="P45" s="31" t="n"/>
      <c r="Q45" s="31" t="n"/>
      <c r="R45" s="31" t="n"/>
      <c r="S45" s="31" t="n"/>
      <c r="T45" s="31" t="n"/>
      <c r="U45" s="31" t="n"/>
      <c r="V45" s="31" t="n"/>
      <c r="W45" s="31" t="n"/>
      <c r="X45" s="31" t="n"/>
      <c r="Y45" s="31" t="n"/>
      <c r="Z45" s="31" t="n"/>
      <c r="AA45" s="31" t="n"/>
    </row>
    <row r="46" ht="15.6" customHeight="1" thickBot="1" thickTop="1">
      <c r="B46" s="69" t="inlineStr">
        <is>
          <t>Total</t>
        </is>
      </c>
      <c r="C46" s="10" t="n"/>
      <c r="D46" s="70" t="n">
        <v>1576682</v>
      </c>
      <c r="E46" s="71" t="n">
        <v>87688485.50719865</v>
      </c>
      <c r="F46" s="71" t="n">
        <v>60466650</v>
      </c>
      <c r="G46" s="72" t="n">
        <v>55.61583471314992</v>
      </c>
      <c r="H46" s="73" t="n">
        <v>38.35056783802948</v>
      </c>
      <c r="I46" s="31" t="n"/>
      <c r="J46" s="31" t="n"/>
      <c r="K46" s="31" t="n"/>
      <c r="L46" s="31" t="n"/>
      <c r="M46" s="31" t="n"/>
      <c r="N46" s="31" t="n"/>
      <c r="O46" s="31" t="n"/>
      <c r="P46" s="31" t="n"/>
      <c r="Q46" s="31" t="n"/>
      <c r="R46" s="31" t="n"/>
      <c r="S46" s="31" t="n"/>
      <c r="T46" s="31" t="n"/>
      <c r="U46" s="31" t="n"/>
      <c r="V46" s="31" t="n"/>
      <c r="W46" s="31" t="n"/>
      <c r="X46" s="31" t="n"/>
      <c r="Y46" s="31" t="n"/>
      <c r="Z46" s="31" t="n"/>
      <c r="AA46" s="31" t="n"/>
    </row>
    <row r="47" ht="15" customHeight="1" thickBot="1">
      <c r="AE47" s="20" t="inlineStr">
        <is>
          <t>Overall - Brand Only</t>
        </is>
      </c>
      <c r="AF47" s="21" t="n"/>
      <c r="AG47" s="23" t="n"/>
      <c r="AH47" s="23" t="n"/>
    </row>
    <row r="48" ht="34.95" customHeight="1" thickBot="1">
      <c r="B48" s="88" t="n"/>
      <c r="C48" s="88" t="n"/>
      <c r="D48" s="88" t="n"/>
      <c r="E48" s="88" t="n"/>
      <c r="F48" s="88" t="n"/>
      <c r="G48" s="88" t="n"/>
      <c r="H48" s="88" t="n"/>
      <c r="I48" s="88" t="n"/>
      <c r="J48" s="88" t="n"/>
      <c r="K48" s="88" t="n"/>
      <c r="L48" s="88" t="n"/>
      <c r="M48" s="88" t="n"/>
      <c r="N48" s="88" t="n"/>
      <c r="O48" s="88" t="n"/>
      <c r="P48" s="88" t="n"/>
      <c r="Q48" s="88" t="n"/>
      <c r="R48" s="88" t="n"/>
      <c r="S48" s="88" t="n"/>
      <c r="T48" s="88" t="n"/>
      <c r="U48" s="88" t="n"/>
      <c r="V48" s="88" t="n"/>
      <c r="W48" s="88" t="n"/>
      <c r="X48" s="88" t="n"/>
      <c r="Y48" s="88" t="n"/>
      <c r="Z48" s="88" t="n"/>
      <c r="AA48" s="88" t="n"/>
      <c r="AE48" s="32" t="inlineStr">
        <is>
          <t>Rank</t>
        </is>
      </c>
      <c r="AF48" s="33" t="inlineStr">
        <is>
          <t>Therapeutic Class</t>
        </is>
      </c>
      <c r="AG48" s="33" t="inlineStr">
        <is>
          <t>Total Rebates</t>
        </is>
      </c>
      <c r="AH48" s="34" t="inlineStr">
        <is>
          <t>Brand Scripts</t>
        </is>
      </c>
    </row>
    <row r="49" ht="15" customHeight="1" thickTop="1">
      <c r="AE49" s="118" t="n">
        <v>1</v>
      </c>
      <c r="AF49" s="44" t="inlineStr">
        <is>
          <t>IMMUNOMODULATORS</t>
        </is>
      </c>
      <c r="AG49" s="119" t="n">
        <v>72914059.77609868</v>
      </c>
      <c r="AH49" s="46" t="n">
        <v>7828.257255851085</v>
      </c>
    </row>
    <row r="50" ht="15" customHeight="1" thickBot="1">
      <c r="AE50" s="121" t="n">
        <v>2</v>
      </c>
      <c r="AF50" t="inlineStr">
        <is>
          <t>GLUCAGON-LIKE PEPTIDE-1 AGONISTS (GLP1)</t>
        </is>
      </c>
      <c r="AG50" s="122" t="n">
        <v>60401675.40707625</v>
      </c>
      <c r="AH50" s="56" t="n">
        <v>85020.26893827227</v>
      </c>
    </row>
    <row r="51" ht="15" customHeight="1" thickBot="1">
      <c r="D51" s="11" t="inlineStr">
        <is>
          <t>Base Yr</t>
        </is>
      </c>
      <c r="E51" s="12" t="n"/>
      <c r="F51" s="12" t="n"/>
      <c r="G51" s="13" t="n"/>
      <c r="H51" s="14" t="n"/>
      <c r="J51" s="11" t="n">
        <v>2030</v>
      </c>
      <c r="K51" s="12" t="n"/>
      <c r="L51" s="12" t="n"/>
      <c r="M51" s="13" t="n"/>
      <c r="N51" s="14" t="n"/>
      <c r="P51" s="11" t="n">
        <v>2028</v>
      </c>
      <c r="Q51" s="12" t="n"/>
      <c r="R51" s="12" t="n"/>
      <c r="S51" s="13" t="n"/>
      <c r="T51" s="14" t="n"/>
      <c r="V51" s="11" t="n">
        <v>2029</v>
      </c>
      <c r="W51" s="12" t="n"/>
      <c r="X51" s="12" t="n"/>
      <c r="Y51" s="13" t="n"/>
      <c r="Z51" s="14" t="n"/>
      <c r="AE51" s="121" t="n">
        <v>3</v>
      </c>
      <c r="AF51" t="inlineStr">
        <is>
          <t>CHRONIC INFLAMMATORY DISEASE</t>
        </is>
      </c>
      <c r="AG51" s="122" t="n">
        <v>12833999.91920361</v>
      </c>
      <c r="AH51" s="56" t="n">
        <v>7017.358741446606</v>
      </c>
    </row>
    <row r="52" ht="15" customHeight="1" thickBot="1">
      <c r="B52" s="27" t="inlineStr">
        <is>
          <t>Excl - Brand</t>
        </is>
      </c>
      <c r="D52" s="28" t="inlineStr">
        <is>
          <t>R30</t>
        </is>
      </c>
      <c r="E52" s="29" t="inlineStr">
        <is>
          <t>R90</t>
        </is>
      </c>
      <c r="F52" s="29" t="inlineStr">
        <is>
          <t>Mail</t>
        </is>
      </c>
      <c r="G52" s="29" t="inlineStr">
        <is>
          <t>Specialty</t>
        </is>
      </c>
      <c r="H52" s="30" t="inlineStr">
        <is>
          <t>Total</t>
        </is>
      </c>
      <c r="J52" s="28" t="inlineStr">
        <is>
          <t>R30</t>
        </is>
      </c>
      <c r="K52" s="29" t="inlineStr">
        <is>
          <t>R90</t>
        </is>
      </c>
      <c r="L52" s="29" t="inlineStr">
        <is>
          <t>Mail</t>
        </is>
      </c>
      <c r="M52" s="29" t="inlineStr">
        <is>
          <t>Specialty</t>
        </is>
      </c>
      <c r="N52" s="30" t="inlineStr">
        <is>
          <t>Total</t>
        </is>
      </c>
      <c r="P52" s="28" t="inlineStr">
        <is>
          <t>R30</t>
        </is>
      </c>
      <c r="Q52" s="29" t="inlineStr">
        <is>
          <t>R90</t>
        </is>
      </c>
      <c r="R52" s="29" t="inlineStr">
        <is>
          <t>Mail</t>
        </is>
      </c>
      <c r="S52" s="29" t="inlineStr">
        <is>
          <t>Specialty</t>
        </is>
      </c>
      <c r="T52" s="30" t="inlineStr">
        <is>
          <t>Total</t>
        </is>
      </c>
      <c r="V52" s="28" t="inlineStr">
        <is>
          <t>R30</t>
        </is>
      </c>
      <c r="W52" s="29" t="inlineStr">
        <is>
          <t>R90</t>
        </is>
      </c>
      <c r="X52" s="29" t="inlineStr">
        <is>
          <t>Mail</t>
        </is>
      </c>
      <c r="Y52" s="29" t="inlineStr">
        <is>
          <t>Specialty</t>
        </is>
      </c>
      <c r="Z52" s="30" t="inlineStr">
        <is>
          <t>Total</t>
        </is>
      </c>
      <c r="AE52" s="121" t="n">
        <v>4</v>
      </c>
      <c r="AF52" t="inlineStr">
        <is>
          <t>MIGRAINE PRODUCTS</t>
        </is>
      </c>
      <c r="AG52" s="122" t="n">
        <v>9763585.741472377</v>
      </c>
      <c r="AH52" s="56" t="n">
        <v>13739.45626015746</v>
      </c>
    </row>
    <row r="53">
      <c r="B53" s="38" t="inlineStr">
        <is>
          <t>OTCs</t>
        </is>
      </c>
      <c r="D53" s="127" t="n">
        <v>0</v>
      </c>
      <c r="E53" s="128" t="n">
        <v>0</v>
      </c>
      <c r="F53" s="128" t="n">
        <v>0</v>
      </c>
      <c r="G53" s="128" t="n">
        <v>0</v>
      </c>
      <c r="H53" s="129" t="n">
        <v>0</v>
      </c>
      <c r="J53" s="127" t="n">
        <v>0</v>
      </c>
      <c r="K53" s="128" t="n">
        <v>0</v>
      </c>
      <c r="L53" s="128" t="n">
        <v>0</v>
      </c>
      <c r="M53" s="128" t="n">
        <v>0</v>
      </c>
      <c r="N53" s="129" t="n">
        <v>0</v>
      </c>
      <c r="P53" s="127" t="n">
        <v>0</v>
      </c>
      <c r="Q53" s="128" t="n">
        <v>0</v>
      </c>
      <c r="R53" s="128" t="n">
        <v>0</v>
      </c>
      <c r="S53" s="128" t="n">
        <v>0</v>
      </c>
      <c r="T53" s="129" t="n">
        <v>0</v>
      </c>
      <c r="V53" s="127" t="n">
        <v>0</v>
      </c>
      <c r="W53" s="128" t="n">
        <v>0</v>
      </c>
      <c r="X53" s="128" t="n">
        <v>0</v>
      </c>
      <c r="Y53" s="128" t="n">
        <v>0</v>
      </c>
      <c r="Z53" s="129" t="n">
        <v>0</v>
      </c>
      <c r="AE53" s="121" t="n">
        <v>5</v>
      </c>
      <c r="AF53" t="inlineStr">
        <is>
          <t>SGLT-2 INHIBITORS &amp; COMBOS</t>
        </is>
      </c>
      <c r="AG53" s="122" t="n">
        <v>4907266.147851759</v>
      </c>
      <c r="AH53" s="56" t="n">
        <v>19394.37404755965</v>
      </c>
    </row>
    <row r="54">
      <c r="B54" s="49" t="inlineStr">
        <is>
          <t>Devices</t>
        </is>
      </c>
      <c r="D54" s="130" t="n">
        <v>0</v>
      </c>
      <c r="E54" s="131" t="n">
        <v>0</v>
      </c>
      <c r="F54" s="131" t="n">
        <v>0</v>
      </c>
      <c r="G54" s="131" t="n">
        <v>0</v>
      </c>
      <c r="H54" s="132" t="n">
        <v>0</v>
      </c>
      <c r="J54" s="130" t="n">
        <v>0</v>
      </c>
      <c r="K54" s="131" t="n">
        <v>0</v>
      </c>
      <c r="L54" s="131" t="n">
        <v>0</v>
      </c>
      <c r="M54" s="131" t="n">
        <v>0</v>
      </c>
      <c r="N54" s="132" t="n">
        <v>0</v>
      </c>
      <c r="P54" s="130" t="n">
        <v>0</v>
      </c>
      <c r="Q54" s="131" t="n">
        <v>0</v>
      </c>
      <c r="R54" s="131" t="n">
        <v>0</v>
      </c>
      <c r="S54" s="131" t="n">
        <v>0</v>
      </c>
      <c r="T54" s="132" t="n">
        <v>0</v>
      </c>
      <c r="V54" s="130" t="n">
        <v>0</v>
      </c>
      <c r="W54" s="131" t="n">
        <v>0</v>
      </c>
      <c r="X54" s="131" t="n">
        <v>0</v>
      </c>
      <c r="Y54" s="131" t="n">
        <v>0</v>
      </c>
      <c r="Z54" s="132" t="n">
        <v>0</v>
      </c>
      <c r="AE54" s="121" t="n">
        <v>6</v>
      </c>
      <c r="AF54" t="inlineStr">
        <is>
          <t>DIABETES MONITORING AND TESTING SUPPLIES</t>
        </is>
      </c>
      <c r="AG54" s="122" t="n">
        <v>4545886.849449811</v>
      </c>
      <c r="AH54" s="56" t="n">
        <v>24631.48045419634</v>
      </c>
    </row>
    <row r="55">
      <c r="B55" s="64" t="inlineStr">
        <is>
          <t>Vaccines</t>
        </is>
      </c>
      <c r="D55" s="130" t="n">
        <v>0</v>
      </c>
      <c r="E55" s="131" t="n">
        <v>0</v>
      </c>
      <c r="F55" s="131" t="n">
        <v>0</v>
      </c>
      <c r="G55" s="131" t="n">
        <v>0</v>
      </c>
      <c r="H55" s="132" t="n">
        <v>0</v>
      </c>
      <c r="J55" s="130" t="n">
        <v>0</v>
      </c>
      <c r="K55" s="131" t="n">
        <v>0</v>
      </c>
      <c r="L55" s="131" t="n">
        <v>0</v>
      </c>
      <c r="M55" s="131" t="n">
        <v>0</v>
      </c>
      <c r="N55" s="132" t="n">
        <v>0</v>
      </c>
      <c r="P55" s="130" t="n">
        <v>0</v>
      </c>
      <c r="Q55" s="131" t="n">
        <v>0</v>
      </c>
      <c r="R55" s="131" t="n">
        <v>0</v>
      </c>
      <c r="S55" s="131" t="n">
        <v>0</v>
      </c>
      <c r="T55" s="132" t="n">
        <v>0</v>
      </c>
      <c r="V55" s="130" t="n">
        <v>0</v>
      </c>
      <c r="W55" s="131" t="n">
        <v>0</v>
      </c>
      <c r="X55" s="131" t="n">
        <v>0</v>
      </c>
      <c r="Y55" s="131" t="n">
        <v>0</v>
      </c>
      <c r="Z55" s="132" t="n">
        <v>0</v>
      </c>
      <c r="AE55" s="121" t="n">
        <v>7</v>
      </c>
      <c r="AF55" t="inlineStr">
        <is>
          <t>LABA LAMA COMBO</t>
        </is>
      </c>
      <c r="AG55" s="122" t="n">
        <v>3549081.484895905</v>
      </c>
      <c r="AH55" s="56" t="n">
        <v>9509.717978483148</v>
      </c>
    </row>
    <row r="56">
      <c r="B56" s="64" t="inlineStr">
        <is>
          <t>Repackaged</t>
        </is>
      </c>
      <c r="D56" s="130" t="n">
        <v>0</v>
      </c>
      <c r="E56" s="131" t="n">
        <v>0</v>
      </c>
      <c r="F56" s="131" t="n">
        <v>0</v>
      </c>
      <c r="G56" s="131" t="n">
        <v>0</v>
      </c>
      <c r="H56" s="132" t="n">
        <v>0</v>
      </c>
      <c r="J56" s="130" t="n">
        <v>0</v>
      </c>
      <c r="K56" s="131" t="n">
        <v>0</v>
      </c>
      <c r="L56" s="131" t="n">
        <v>0</v>
      </c>
      <c r="M56" s="131" t="n">
        <v>0</v>
      </c>
      <c r="N56" s="132" t="n">
        <v>0</v>
      </c>
      <c r="P56" s="130" t="n">
        <v>0</v>
      </c>
      <c r="Q56" s="131" t="n">
        <v>0</v>
      </c>
      <c r="R56" s="131" t="n">
        <v>0</v>
      </c>
      <c r="S56" s="131" t="n">
        <v>0</v>
      </c>
      <c r="T56" s="132" t="n">
        <v>0</v>
      </c>
      <c r="V56" s="130" t="n">
        <v>0</v>
      </c>
      <c r="W56" s="131" t="n">
        <v>0</v>
      </c>
      <c r="X56" s="131" t="n">
        <v>0</v>
      </c>
      <c r="Y56" s="131" t="n">
        <v>0</v>
      </c>
      <c r="Z56" s="132" t="n">
        <v>0</v>
      </c>
      <c r="AE56" s="121" t="n">
        <v>8</v>
      </c>
      <c r="AF56" t="inlineStr">
        <is>
          <t>INSULIN ADMINISTRATION SUPPLIES</t>
        </is>
      </c>
      <c r="AG56" s="122" t="n">
        <v>3448330.110171889</v>
      </c>
      <c r="AH56" s="56" t="n">
        <v>12535.421478272</v>
      </c>
    </row>
    <row r="57">
      <c r="B57" s="64" t="inlineStr">
        <is>
          <t>MSBs</t>
        </is>
      </c>
      <c r="D57" s="130" t="n">
        <v>0</v>
      </c>
      <c r="E57" s="131" t="n">
        <v>0</v>
      </c>
      <c r="F57" s="131" t="n">
        <v>0</v>
      </c>
      <c r="G57" s="131" t="n">
        <v>0</v>
      </c>
      <c r="H57" s="132" t="n">
        <v>0</v>
      </c>
      <c r="J57" s="130" t="n">
        <v>0</v>
      </c>
      <c r="K57" s="131" t="n">
        <v>0</v>
      </c>
      <c r="L57" s="131" t="n">
        <v>0</v>
      </c>
      <c r="M57" s="131" t="n">
        <v>0</v>
      </c>
      <c r="N57" s="132" t="n">
        <v>0</v>
      </c>
      <c r="P57" s="130" t="n">
        <v>0</v>
      </c>
      <c r="Q57" s="131" t="n">
        <v>0</v>
      </c>
      <c r="R57" s="131" t="n">
        <v>0</v>
      </c>
      <c r="S57" s="131" t="n">
        <v>0</v>
      </c>
      <c r="T57" s="132" t="n">
        <v>0</v>
      </c>
      <c r="V57" s="130" t="n">
        <v>0</v>
      </c>
      <c r="W57" s="131" t="n">
        <v>0</v>
      </c>
      <c r="X57" s="131" t="n">
        <v>0</v>
      </c>
      <c r="Y57" s="131" t="n">
        <v>0</v>
      </c>
      <c r="Z57" s="132" t="n">
        <v>0</v>
      </c>
      <c r="AE57" s="121" t="n">
        <v>9</v>
      </c>
      <c r="AF57" t="inlineStr">
        <is>
          <t>NARCOLEPSY</t>
        </is>
      </c>
      <c r="AG57" s="122" t="n">
        <v>2599201.938715006</v>
      </c>
      <c r="AH57" s="56" t="n">
        <v>746.4683132581458</v>
      </c>
    </row>
    <row r="58">
      <c r="B58" s="64" t="inlineStr">
        <is>
          <t>Non FDA Approved</t>
        </is>
      </c>
      <c r="D58" s="130" t="n">
        <v>0</v>
      </c>
      <c r="E58" s="131" t="n">
        <v>0</v>
      </c>
      <c r="F58" s="131" t="n">
        <v>0</v>
      </c>
      <c r="G58" s="131" t="n">
        <v>0</v>
      </c>
      <c r="H58" s="132" t="n">
        <v>0</v>
      </c>
      <c r="J58" s="130" t="n">
        <v>0</v>
      </c>
      <c r="K58" s="131" t="n">
        <v>0</v>
      </c>
      <c r="L58" s="131" t="n">
        <v>0</v>
      </c>
      <c r="M58" s="131" t="n">
        <v>0</v>
      </c>
      <c r="N58" s="132" t="n">
        <v>0</v>
      </c>
      <c r="P58" s="130" t="n">
        <v>0</v>
      </c>
      <c r="Q58" s="131" t="n">
        <v>0</v>
      </c>
      <c r="R58" s="131" t="n">
        <v>0</v>
      </c>
      <c r="S58" s="131" t="n">
        <v>0</v>
      </c>
      <c r="T58" s="132" t="n">
        <v>0</v>
      </c>
      <c r="V58" s="130" t="n">
        <v>0</v>
      </c>
      <c r="W58" s="131" t="n">
        <v>0</v>
      </c>
      <c r="X58" s="131" t="n">
        <v>0</v>
      </c>
      <c r="Y58" s="131" t="n">
        <v>0</v>
      </c>
      <c r="Z58" s="132" t="n">
        <v>0</v>
      </c>
      <c r="AE58" s="121" t="n">
        <v>10</v>
      </c>
      <c r="AF58" t="inlineStr">
        <is>
          <t>ASTHMA</t>
        </is>
      </c>
      <c r="AG58" s="122" t="n">
        <v>1968397.509648616</v>
      </c>
      <c r="AH58" s="56" t="n">
        <v>1913.62175231616</v>
      </c>
    </row>
    <row r="59">
      <c r="B59" s="64" t="inlineStr">
        <is>
          <t>LDD</t>
        </is>
      </c>
      <c r="D59" s="130" t="n">
        <v>0</v>
      </c>
      <c r="E59" s="131" t="n">
        <v>0</v>
      </c>
      <c r="F59" s="131" t="n">
        <v>0</v>
      </c>
      <c r="G59" s="131" t="n">
        <v>0</v>
      </c>
      <c r="H59" s="132" t="n">
        <v>0</v>
      </c>
      <c r="J59" s="130" t="n">
        <v>0</v>
      </c>
      <c r="K59" s="131" t="n">
        <v>0</v>
      </c>
      <c r="L59" s="131" t="n">
        <v>0</v>
      </c>
      <c r="M59" s="131" t="n">
        <v>0</v>
      </c>
      <c r="N59" s="132" t="n">
        <v>0</v>
      </c>
      <c r="P59" s="130" t="n">
        <v>0</v>
      </c>
      <c r="Q59" s="131" t="n">
        <v>0</v>
      </c>
      <c r="R59" s="131" t="n">
        <v>0</v>
      </c>
      <c r="S59" s="131" t="n">
        <v>0</v>
      </c>
      <c r="T59" s="132" t="n">
        <v>0</v>
      </c>
      <c r="V59" s="130" t="n">
        <v>0</v>
      </c>
      <c r="W59" s="131" t="n">
        <v>0</v>
      </c>
      <c r="X59" s="131" t="n">
        <v>0</v>
      </c>
      <c r="Y59" s="131" t="n">
        <v>0</v>
      </c>
      <c r="Z59" s="132" t="n">
        <v>0</v>
      </c>
      <c r="AE59" s="121" t="n">
        <v>11</v>
      </c>
      <c r="AF59" t="inlineStr">
        <is>
          <t>PCSK9 INHIBITORS</t>
        </is>
      </c>
      <c r="AG59" s="122" t="n">
        <v>1830699.741757585</v>
      </c>
      <c r="AH59" s="56" t="n">
        <v>5120.54880206875</v>
      </c>
    </row>
    <row r="60">
      <c r="B60" s="64" t="inlineStr">
        <is>
          <t>Institutional NDCs</t>
        </is>
      </c>
      <c r="D60" s="130" t="n">
        <v>0</v>
      </c>
      <c r="E60" s="131" t="n">
        <v>0</v>
      </c>
      <c r="F60" s="131" t="n">
        <v>0</v>
      </c>
      <c r="G60" s="131" t="n">
        <v>0</v>
      </c>
      <c r="H60" s="132" t="n">
        <v>0</v>
      </c>
      <c r="J60" s="130" t="n">
        <v>0</v>
      </c>
      <c r="K60" s="131" t="n">
        <v>0</v>
      </c>
      <c r="L60" s="131" t="n">
        <v>0</v>
      </c>
      <c r="M60" s="131" t="n">
        <v>0</v>
      </c>
      <c r="N60" s="132" t="n">
        <v>0</v>
      </c>
      <c r="P60" s="130" t="n">
        <v>0</v>
      </c>
      <c r="Q60" s="131" t="n">
        <v>0</v>
      </c>
      <c r="R60" s="131" t="n">
        <v>0</v>
      </c>
      <c r="S60" s="131" t="n">
        <v>0</v>
      </c>
      <c r="T60" s="132" t="n">
        <v>0</v>
      </c>
      <c r="V60" s="130" t="n">
        <v>0</v>
      </c>
      <c r="W60" s="131" t="n">
        <v>0</v>
      </c>
      <c r="X60" s="131" t="n">
        <v>0</v>
      </c>
      <c r="Y60" s="131" t="n">
        <v>0</v>
      </c>
      <c r="Z60" s="132" t="n">
        <v>0</v>
      </c>
      <c r="AE60" s="121" t="n">
        <v>12</v>
      </c>
      <c r="AF60" t="inlineStr">
        <is>
          <t>GROWTH HORMONES</t>
        </is>
      </c>
      <c r="AG60" s="122" t="n">
        <v>1523457.866212379</v>
      </c>
      <c r="AH60" s="56" t="n">
        <v>439.2059294319066</v>
      </c>
    </row>
    <row r="61">
      <c r="B61" s="64" t="inlineStr">
        <is>
          <t>Formulary Exclusions</t>
        </is>
      </c>
      <c r="D61" s="130" t="n">
        <v>0</v>
      </c>
      <c r="E61" s="131" t="n">
        <v>0</v>
      </c>
      <c r="F61" s="131" t="n">
        <v>0</v>
      </c>
      <c r="G61" s="131" t="n">
        <v>0</v>
      </c>
      <c r="H61" s="132" t="n">
        <v>0</v>
      </c>
      <c r="J61" s="130" t="n">
        <v>0</v>
      </c>
      <c r="K61" s="131" t="n">
        <v>0</v>
      </c>
      <c r="L61" s="131" t="n">
        <v>0</v>
      </c>
      <c r="M61" s="131" t="n">
        <v>0</v>
      </c>
      <c r="N61" s="132" t="n">
        <v>0</v>
      </c>
      <c r="P61" s="130" t="n">
        <v>0</v>
      </c>
      <c r="Q61" s="131" t="n">
        <v>0</v>
      </c>
      <c r="R61" s="131" t="n">
        <v>0</v>
      </c>
      <c r="S61" s="131" t="n">
        <v>0</v>
      </c>
      <c r="T61" s="132" t="n">
        <v>0</v>
      </c>
      <c r="V61" s="130" t="n">
        <v>0</v>
      </c>
      <c r="W61" s="131" t="n">
        <v>0</v>
      </c>
      <c r="X61" s="131" t="n">
        <v>0</v>
      </c>
      <c r="Y61" s="131" t="n">
        <v>0</v>
      </c>
      <c r="Z61" s="132" t="n">
        <v>0</v>
      </c>
      <c r="AE61" s="121" t="n">
        <v>13</v>
      </c>
      <c r="AF61" t="inlineStr">
        <is>
          <t>ONCOLOGY</t>
        </is>
      </c>
      <c r="AG61" s="122" t="n">
        <v>1121852.657889074</v>
      </c>
      <c r="AH61" s="56" t="n">
        <v>1356.093560047119</v>
      </c>
    </row>
    <row r="62">
      <c r="B62" s="64" t="inlineStr">
        <is>
          <t>Synthroid</t>
        </is>
      </c>
      <c r="D62" s="130" t="n">
        <v>0</v>
      </c>
      <c r="E62" s="131" t="n">
        <v>0</v>
      </c>
      <c r="F62" s="131" t="n">
        <v>0</v>
      </c>
      <c r="G62" s="131" t="n">
        <v>0</v>
      </c>
      <c r="H62" s="132" t="n">
        <v>0</v>
      </c>
      <c r="J62" s="130" t="n">
        <v>0</v>
      </c>
      <c r="K62" s="131" t="n">
        <v>0</v>
      </c>
      <c r="L62" s="131" t="n">
        <v>0</v>
      </c>
      <c r="M62" s="131" t="n">
        <v>0</v>
      </c>
      <c r="N62" s="132" t="n">
        <v>0</v>
      </c>
      <c r="P62" s="130" t="n">
        <v>0</v>
      </c>
      <c r="Q62" s="131" t="n">
        <v>0</v>
      </c>
      <c r="R62" s="131" t="n">
        <v>0</v>
      </c>
      <c r="S62" s="131" t="n">
        <v>0</v>
      </c>
      <c r="T62" s="132" t="n">
        <v>0</v>
      </c>
      <c r="V62" s="130" t="n">
        <v>0</v>
      </c>
      <c r="W62" s="131" t="n">
        <v>0</v>
      </c>
      <c r="X62" s="131" t="n">
        <v>0</v>
      </c>
      <c r="Y62" s="131" t="n">
        <v>0</v>
      </c>
      <c r="Z62" s="132" t="n">
        <v>0</v>
      </c>
      <c r="AE62" s="121" t="n">
        <v>14</v>
      </c>
      <c r="AF62" t="inlineStr">
        <is>
          <t>MS</t>
        </is>
      </c>
      <c r="AG62" s="122" t="n">
        <v>1091160.920685299</v>
      </c>
      <c r="AH62" s="56" t="n">
        <v>303.3444534207736</v>
      </c>
    </row>
    <row r="63">
      <c r="B63" s="64" t="inlineStr">
        <is>
          <t>Misc</t>
        </is>
      </c>
      <c r="D63" s="130" t="n">
        <v>0</v>
      </c>
      <c r="E63" s="131" t="n">
        <v>0</v>
      </c>
      <c r="F63" s="131" t="n">
        <v>0</v>
      </c>
      <c r="G63" s="131" t="n">
        <v>0</v>
      </c>
      <c r="H63" s="132" t="n">
        <v>0</v>
      </c>
      <c r="J63" s="130" t="n">
        <v>1964.875071784408</v>
      </c>
      <c r="K63" s="131" t="n">
        <v>347.8756485030455</v>
      </c>
      <c r="L63" s="131" t="n">
        <v>130.6682137649017</v>
      </c>
      <c r="M63" s="131" t="n">
        <v>663.9327169755762</v>
      </c>
      <c r="N63" s="132" t="n">
        <v>3107.351651027931</v>
      </c>
      <c r="P63" s="130" t="n">
        <v>2163.155319482375</v>
      </c>
      <c r="Q63" s="131" t="n">
        <v>372.0859813343213</v>
      </c>
      <c r="R63" s="131" t="n">
        <v>143.0165673943964</v>
      </c>
      <c r="S63" s="131" t="n">
        <v>753.6182474419381</v>
      </c>
      <c r="T63" s="132" t="n">
        <v>3431.876115653031</v>
      </c>
      <c r="V63" s="130" t="n">
        <v>2378.866087308556</v>
      </c>
      <c r="W63" s="131" t="n">
        <v>407.7078036315903</v>
      </c>
      <c r="X63" s="131" t="n">
        <v>157.7761316534636</v>
      </c>
      <c r="Y63" s="131" t="n">
        <v>854.1693686244977</v>
      </c>
      <c r="Z63" s="132" t="n">
        <v>3798.519391218107</v>
      </c>
      <c r="AE63" s="121" t="n">
        <v>15</v>
      </c>
      <c r="AF63" t="inlineStr">
        <is>
          <t>BASAL INSULIN</t>
        </is>
      </c>
      <c r="AG63" s="122" t="n">
        <v>847361.6369201627</v>
      </c>
      <c r="AH63" s="56" t="n">
        <v>4559.025258243213</v>
      </c>
    </row>
    <row r="64">
      <c r="B64" s="64" t="inlineStr">
        <is>
          <t>Specialty</t>
        </is>
      </c>
      <c r="D64" s="133" t="n">
        <v>0</v>
      </c>
      <c r="E64" s="134" t="n">
        <v>0</v>
      </c>
      <c r="F64" s="134" t="n">
        <v>0</v>
      </c>
      <c r="G64" s="134" t="n">
        <v>0</v>
      </c>
      <c r="H64" s="135" t="n">
        <v>0</v>
      </c>
      <c r="J64" s="133" t="n">
        <v>0</v>
      </c>
      <c r="K64" s="134" t="n">
        <v>0</v>
      </c>
      <c r="L64" s="134" t="n">
        <v>0</v>
      </c>
      <c r="M64" s="134" t="n">
        <v>0</v>
      </c>
      <c r="N64" s="135" t="n">
        <v>0</v>
      </c>
      <c r="P64" s="133" t="n">
        <v>0</v>
      </c>
      <c r="Q64" s="134" t="n">
        <v>0</v>
      </c>
      <c r="R64" s="134" t="n">
        <v>0</v>
      </c>
      <c r="S64" s="134" t="n">
        <v>0</v>
      </c>
      <c r="T64" s="135" t="n">
        <v>0</v>
      </c>
      <c r="V64" s="133" t="n">
        <v>0</v>
      </c>
      <c r="W64" s="134" t="n">
        <v>0</v>
      </c>
      <c r="X64" s="134" t="n">
        <v>0</v>
      </c>
      <c r="Y64" s="134" t="n">
        <v>0</v>
      </c>
      <c r="Z64" s="135" t="n">
        <v>0</v>
      </c>
      <c r="AE64" s="121" t="n">
        <v>16</v>
      </c>
      <c r="AF64" t="inlineStr">
        <is>
          <t>DIGESTIVE ENZYMES</t>
        </is>
      </c>
      <c r="AG64" s="122" t="n">
        <v>738111.2132528919</v>
      </c>
      <c r="AH64" s="56" t="n">
        <v>572.0217893287144</v>
      </c>
    </row>
    <row r="65">
      <c r="A65" s="98" t="inlineStr">
        <is>
          <t>Added MFP row but needs adjusting for non-CY(Should just need adjustment in Exclusion Summary)</t>
        </is>
      </c>
      <c r="B65" s="64" t="inlineStr">
        <is>
          <t>MFP</t>
        </is>
      </c>
      <c r="D65" s="133" t="n">
        <v>0</v>
      </c>
      <c r="E65" s="134" t="n">
        <v>0</v>
      </c>
      <c r="F65" s="134" t="n">
        <v>0</v>
      </c>
      <c r="G65" s="134" t="n">
        <v>0</v>
      </c>
      <c r="H65" s="135" t="n">
        <v>0</v>
      </c>
      <c r="J65" s="133" t="n">
        <v>0</v>
      </c>
      <c r="K65" s="134" t="n">
        <v>0</v>
      </c>
      <c r="L65" s="134" t="n">
        <v>0</v>
      </c>
      <c r="M65" s="134" t="n">
        <v>0</v>
      </c>
      <c r="N65" s="135" t="n">
        <v>0</v>
      </c>
      <c r="P65" s="133" t="n">
        <v>0</v>
      </c>
      <c r="Q65" s="134" t="n">
        <v>0</v>
      </c>
      <c r="R65" s="134" t="n">
        <v>0</v>
      </c>
      <c r="S65" s="134" t="n">
        <v>0</v>
      </c>
      <c r="T65" s="135" t="n">
        <v>0</v>
      </c>
      <c r="V65" s="133" t="n">
        <v>0</v>
      </c>
      <c r="W65" s="134" t="n">
        <v>0</v>
      </c>
      <c r="X65" s="134" t="n">
        <v>0</v>
      </c>
      <c r="Y65" s="134" t="n">
        <v>0</v>
      </c>
      <c r="Z65" s="135" t="n">
        <v>0</v>
      </c>
      <c r="AE65" s="121" t="n">
        <v>17</v>
      </c>
      <c r="AF65" t="inlineStr">
        <is>
          <t>RAPID ACTING</t>
        </is>
      </c>
      <c r="AG65" s="122" t="n">
        <v>665972.8425054174</v>
      </c>
      <c r="AH65" s="56" t="n">
        <v>2303.581052657973</v>
      </c>
    </row>
    <row r="66">
      <c r="A66" s="99" t="n"/>
      <c r="B66" s="100" t="inlineStr">
        <is>
          <t>ENTER DESC</t>
        </is>
      </c>
      <c r="D66" s="133" t="n">
        <v>0</v>
      </c>
      <c r="E66" s="134" t="n">
        <v>0</v>
      </c>
      <c r="F66" s="134" t="n">
        <v>0</v>
      </c>
      <c r="G66" s="134" t="n">
        <v>0</v>
      </c>
      <c r="H66" s="135" t="n">
        <v>0</v>
      </c>
      <c r="J66" s="133" t="n">
        <v>0</v>
      </c>
      <c r="K66" s="134" t="n">
        <v>0</v>
      </c>
      <c r="L66" s="134" t="n">
        <v>0</v>
      </c>
      <c r="M66" s="134" t="n">
        <v>0</v>
      </c>
      <c r="N66" s="135" t="n">
        <v>0</v>
      </c>
      <c r="P66" s="133" t="n">
        <v>0</v>
      </c>
      <c r="Q66" s="134" t="n">
        <v>0</v>
      </c>
      <c r="R66" s="134" t="n">
        <v>0</v>
      </c>
      <c r="S66" s="134" t="n">
        <v>0</v>
      </c>
      <c r="T66" s="135" t="n">
        <v>0</v>
      </c>
      <c r="V66" s="133" t="n">
        <v>0</v>
      </c>
      <c r="W66" s="134" t="n">
        <v>0</v>
      </c>
      <c r="X66" s="134" t="n">
        <v>0</v>
      </c>
      <c r="Y66" s="134" t="n">
        <v>0</v>
      </c>
      <c r="Z66" s="135" t="n">
        <v>0</v>
      </c>
      <c r="AE66" s="121" t="n">
        <v>18</v>
      </c>
      <c r="AF66" t="inlineStr">
        <is>
          <t>ANTIPSORIATICS - TOPICAL</t>
        </is>
      </c>
      <c r="AG66" s="122" t="n">
        <v>506300.4689490067</v>
      </c>
      <c r="AH66" s="56" t="n">
        <v>539.185129658912</v>
      </c>
    </row>
    <row r="67" ht="15" customHeight="1" thickBot="1">
      <c r="B67" s="59" t="inlineStr">
        <is>
          <t>Non-Rebatable</t>
        </is>
      </c>
      <c r="D67" s="136" t="n">
        <v>0</v>
      </c>
      <c r="E67" s="137" t="n">
        <v>0</v>
      </c>
      <c r="F67" s="137" t="n">
        <v>0</v>
      </c>
      <c r="G67" s="137" t="n">
        <v>0</v>
      </c>
      <c r="H67" s="138" t="n">
        <v>0</v>
      </c>
      <c r="J67" s="139" t="n">
        <v>0</v>
      </c>
      <c r="K67" s="140" t="n">
        <v>0</v>
      </c>
      <c r="L67" s="140" t="n">
        <v>0</v>
      </c>
      <c r="M67" s="140" t="n">
        <v>0</v>
      </c>
      <c r="N67" s="141" t="n">
        <v>0</v>
      </c>
      <c r="P67" s="139" t="n">
        <v>0</v>
      </c>
      <c r="Q67" s="140" t="n">
        <v>0</v>
      </c>
      <c r="R67" s="140" t="n">
        <v>0</v>
      </c>
      <c r="S67" s="140" t="n">
        <v>0</v>
      </c>
      <c r="T67" s="141" t="n">
        <v>0</v>
      </c>
      <c r="V67" s="139" t="n">
        <v>0</v>
      </c>
      <c r="W67" s="140" t="n">
        <v>0</v>
      </c>
      <c r="X67" s="140" t="n">
        <v>0</v>
      </c>
      <c r="Y67" s="140" t="n">
        <v>0</v>
      </c>
      <c r="Z67" s="141" t="n">
        <v>0</v>
      </c>
      <c r="AE67" s="121" t="n">
        <v>19</v>
      </c>
      <c r="AF67" t="inlineStr">
        <is>
          <t>ADHD &amp; NARCOLEPSY MEDICATIONS</t>
        </is>
      </c>
      <c r="AG67" s="122" t="n">
        <v>448820.0469253099</v>
      </c>
      <c r="AH67" s="56" t="n">
        <v>3956.458053460796</v>
      </c>
    </row>
    <row r="68" ht="15.6" customHeight="1" thickBot="1" thickTop="1">
      <c r="B68" s="69" t="inlineStr">
        <is>
          <t>Total</t>
        </is>
      </c>
      <c r="D68" s="142" t="n">
        <v>0</v>
      </c>
      <c r="E68" s="143" t="n">
        <v>0</v>
      </c>
      <c r="F68" s="143" t="n">
        <v>0</v>
      </c>
      <c r="G68" s="143" t="n">
        <v>0</v>
      </c>
      <c r="H68" s="144" t="n">
        <v>0</v>
      </c>
      <c r="J68" s="142" t="n">
        <v>1964.875071784408</v>
      </c>
      <c r="K68" s="143" t="n">
        <v>347.8756485030455</v>
      </c>
      <c r="L68" s="143" t="n">
        <v>130.6682137649017</v>
      </c>
      <c r="M68" s="143" t="n">
        <v>663.9327169755762</v>
      </c>
      <c r="N68" s="144" t="n">
        <v>3107.351651027931</v>
      </c>
      <c r="P68" s="142" t="n">
        <v>2163.155319482375</v>
      </c>
      <c r="Q68" s="143" t="n">
        <v>372.0859813343213</v>
      </c>
      <c r="R68" s="143" t="n">
        <v>143.0165673943964</v>
      </c>
      <c r="S68" s="143" t="n">
        <v>753.6182474419381</v>
      </c>
      <c r="T68" s="144" t="n">
        <v>3431.876115653031</v>
      </c>
      <c r="V68" s="142" t="n">
        <v>2378.866087308556</v>
      </c>
      <c r="W68" s="143" t="n">
        <v>407.7078036315903</v>
      </c>
      <c r="X68" s="143" t="n">
        <v>157.7761316534636</v>
      </c>
      <c r="Y68" s="143" t="n">
        <v>854.1693686244977</v>
      </c>
      <c r="Z68" s="144" t="n">
        <v>3798.519391218107</v>
      </c>
      <c r="AE68" s="124" t="n">
        <v>20</v>
      </c>
      <c r="AF68" s="82" t="inlineStr">
        <is>
          <t>MOVEMENT DISORDER DRUG THERAPY</t>
        </is>
      </c>
      <c r="AG68" s="125" t="n">
        <v>376515.7227415848</v>
      </c>
      <c r="AH68" s="84" t="n">
        <v>234.9247334314719</v>
      </c>
    </row>
    <row r="69" ht="15" customHeight="1" thickBot="1">
      <c r="D69" s="145" t="n"/>
      <c r="E69" s="145" t="n"/>
      <c r="F69" s="145" t="n"/>
      <c r="G69" s="145" t="n"/>
      <c r="H69" s="145" t="n"/>
      <c r="J69" s="145" t="n"/>
      <c r="K69" s="145" t="n"/>
      <c r="L69" s="145" t="n"/>
      <c r="M69" s="145" t="n"/>
      <c r="N69" s="145" t="n"/>
      <c r="P69" s="145" t="n"/>
      <c r="Q69" s="145" t="n"/>
      <c r="R69" s="145" t="n"/>
      <c r="S69" s="145" t="n"/>
      <c r="T69" s="145" t="n"/>
      <c r="V69" s="145" t="n"/>
      <c r="W69" s="145" t="n"/>
      <c r="X69" s="145" t="n"/>
      <c r="Y69" s="145" t="n"/>
      <c r="Z69" s="145" t="n"/>
    </row>
    <row r="70" ht="15" customHeight="1" thickBot="1">
      <c r="B70" s="27" t="inlineStr">
        <is>
          <t>Excl - Generic</t>
        </is>
      </c>
      <c r="D70" s="28" t="inlineStr">
        <is>
          <t>R30</t>
        </is>
      </c>
      <c r="E70" s="29" t="inlineStr">
        <is>
          <t>R90</t>
        </is>
      </c>
      <c r="F70" s="29" t="inlineStr">
        <is>
          <t>Mail</t>
        </is>
      </c>
      <c r="G70" s="29" t="inlineStr">
        <is>
          <t>Specialty</t>
        </is>
      </c>
      <c r="H70" s="30" t="inlineStr">
        <is>
          <t>Total</t>
        </is>
      </c>
      <c r="J70" s="28" t="inlineStr">
        <is>
          <t>R30</t>
        </is>
      </c>
      <c r="K70" s="29" t="inlineStr">
        <is>
          <t>R90</t>
        </is>
      </c>
      <c r="L70" s="29" t="inlineStr">
        <is>
          <t>Mail</t>
        </is>
      </c>
      <c r="M70" s="29" t="inlineStr">
        <is>
          <t>Specialty</t>
        </is>
      </c>
      <c r="N70" s="30" t="inlineStr">
        <is>
          <t>Total</t>
        </is>
      </c>
      <c r="P70" s="28" t="inlineStr">
        <is>
          <t>R30</t>
        </is>
      </c>
      <c r="Q70" s="29" t="inlineStr">
        <is>
          <t>R90</t>
        </is>
      </c>
      <c r="R70" s="29" t="inlineStr">
        <is>
          <t>Mail</t>
        </is>
      </c>
      <c r="S70" s="29" t="inlineStr">
        <is>
          <t>Specialty</t>
        </is>
      </c>
      <c r="T70" s="30" t="inlineStr">
        <is>
          <t>Total</t>
        </is>
      </c>
      <c r="V70" s="28" t="inlineStr">
        <is>
          <t>R30</t>
        </is>
      </c>
      <c r="W70" s="29" t="inlineStr">
        <is>
          <t>R90</t>
        </is>
      </c>
      <c r="X70" s="29" t="inlineStr">
        <is>
          <t>Mail</t>
        </is>
      </c>
      <c r="Y70" s="29" t="inlineStr">
        <is>
          <t>Specialty</t>
        </is>
      </c>
      <c r="Z70" s="30" t="inlineStr">
        <is>
          <t>Total</t>
        </is>
      </c>
    </row>
    <row r="71">
      <c r="B71" s="38" t="inlineStr">
        <is>
          <t>OTCs</t>
        </is>
      </c>
      <c r="D71" s="127" t="n">
        <v>0</v>
      </c>
      <c r="E71" s="128" t="n">
        <v>0</v>
      </c>
      <c r="F71" s="128" t="n">
        <v>0</v>
      </c>
      <c r="G71" s="128" t="n">
        <v>0</v>
      </c>
      <c r="H71" s="129" t="n">
        <v>0</v>
      </c>
      <c r="J71" s="127" t="n">
        <v>0</v>
      </c>
      <c r="K71" s="128" t="n">
        <v>0</v>
      </c>
      <c r="L71" s="128" t="n">
        <v>0</v>
      </c>
      <c r="M71" s="128" t="n">
        <v>0</v>
      </c>
      <c r="N71" s="129" t="n">
        <v>0</v>
      </c>
      <c r="P71" s="127" t="n">
        <v>0</v>
      </c>
      <c r="Q71" s="128" t="n">
        <v>0</v>
      </c>
      <c r="R71" s="128" t="n">
        <v>0</v>
      </c>
      <c r="S71" s="128" t="n">
        <v>0</v>
      </c>
      <c r="T71" s="129" t="n">
        <v>0</v>
      </c>
      <c r="V71" s="127" t="n">
        <v>0</v>
      </c>
      <c r="W71" s="128" t="n">
        <v>0</v>
      </c>
      <c r="X71" s="128" t="n">
        <v>0</v>
      </c>
      <c r="Y71" s="128" t="n">
        <v>0</v>
      </c>
      <c r="Z71" s="129" t="n">
        <v>0</v>
      </c>
    </row>
    <row r="72">
      <c r="B72" s="49" t="inlineStr">
        <is>
          <t>Devices</t>
        </is>
      </c>
      <c r="D72" s="130" t="n">
        <v>0</v>
      </c>
      <c r="E72" s="131" t="n">
        <v>0</v>
      </c>
      <c r="F72" s="131" t="n">
        <v>0</v>
      </c>
      <c r="G72" s="131" t="n">
        <v>0</v>
      </c>
      <c r="H72" s="132" t="n">
        <v>0</v>
      </c>
      <c r="J72" s="130" t="n">
        <v>0</v>
      </c>
      <c r="K72" s="131" t="n">
        <v>0</v>
      </c>
      <c r="L72" s="131" t="n">
        <v>0</v>
      </c>
      <c r="M72" s="131" t="n">
        <v>0</v>
      </c>
      <c r="N72" s="132" t="n">
        <v>0</v>
      </c>
      <c r="P72" s="130" t="n">
        <v>0</v>
      </c>
      <c r="Q72" s="131" t="n">
        <v>0</v>
      </c>
      <c r="R72" s="131" t="n">
        <v>0</v>
      </c>
      <c r="S72" s="131" t="n">
        <v>0</v>
      </c>
      <c r="T72" s="132" t="n">
        <v>0</v>
      </c>
      <c r="V72" s="130" t="n">
        <v>0</v>
      </c>
      <c r="W72" s="131" t="n">
        <v>0</v>
      </c>
      <c r="X72" s="131" t="n">
        <v>0</v>
      </c>
      <c r="Y72" s="131" t="n">
        <v>0</v>
      </c>
      <c r="Z72" s="132" t="n">
        <v>0</v>
      </c>
    </row>
    <row r="73">
      <c r="B73" s="64" t="inlineStr">
        <is>
          <t>Vaccines</t>
        </is>
      </c>
      <c r="D73" s="130" t="n">
        <v>0</v>
      </c>
      <c r="E73" s="131" t="n">
        <v>0</v>
      </c>
      <c r="F73" s="131" t="n">
        <v>0</v>
      </c>
      <c r="G73" s="131" t="n">
        <v>0</v>
      </c>
      <c r="H73" s="132" t="n">
        <v>0</v>
      </c>
      <c r="J73" s="130" t="n">
        <v>0</v>
      </c>
      <c r="K73" s="131" t="n">
        <v>0</v>
      </c>
      <c r="L73" s="131" t="n">
        <v>0</v>
      </c>
      <c r="M73" s="131" t="n">
        <v>0</v>
      </c>
      <c r="N73" s="132" t="n">
        <v>0</v>
      </c>
      <c r="P73" s="130" t="n">
        <v>0</v>
      </c>
      <c r="Q73" s="131" t="n">
        <v>0</v>
      </c>
      <c r="R73" s="131" t="n">
        <v>0</v>
      </c>
      <c r="S73" s="131" t="n">
        <v>0</v>
      </c>
      <c r="T73" s="132" t="n">
        <v>0</v>
      </c>
      <c r="V73" s="130" t="n">
        <v>0</v>
      </c>
      <c r="W73" s="131" t="n">
        <v>0</v>
      </c>
      <c r="X73" s="131" t="n">
        <v>0</v>
      </c>
      <c r="Y73" s="131" t="n">
        <v>0</v>
      </c>
      <c r="Z73" s="132" t="n">
        <v>0</v>
      </c>
    </row>
    <row r="74">
      <c r="B74" s="64" t="inlineStr">
        <is>
          <t>Repackaged</t>
        </is>
      </c>
      <c r="D74" s="130" t="n">
        <v>0</v>
      </c>
      <c r="E74" s="131" t="n">
        <v>0</v>
      </c>
      <c r="F74" s="131" t="n">
        <v>0</v>
      </c>
      <c r="G74" s="131" t="n">
        <v>0</v>
      </c>
      <c r="H74" s="132" t="n">
        <v>0</v>
      </c>
      <c r="J74" s="130" t="n">
        <v>0</v>
      </c>
      <c r="K74" s="131" t="n">
        <v>0</v>
      </c>
      <c r="L74" s="131" t="n">
        <v>0</v>
      </c>
      <c r="M74" s="131" t="n">
        <v>0</v>
      </c>
      <c r="N74" s="132" t="n">
        <v>0</v>
      </c>
      <c r="P74" s="130" t="n">
        <v>0</v>
      </c>
      <c r="Q74" s="131" t="n">
        <v>0</v>
      </c>
      <c r="R74" s="131" t="n">
        <v>0</v>
      </c>
      <c r="S74" s="131" t="n">
        <v>0</v>
      </c>
      <c r="T74" s="132" t="n">
        <v>0</v>
      </c>
      <c r="V74" s="130" t="n">
        <v>0</v>
      </c>
      <c r="W74" s="131" t="n">
        <v>0</v>
      </c>
      <c r="X74" s="131" t="n">
        <v>0</v>
      </c>
      <c r="Y74" s="131" t="n">
        <v>0</v>
      </c>
      <c r="Z74" s="132" t="n">
        <v>0</v>
      </c>
    </row>
    <row r="75">
      <c r="B75" s="64" t="inlineStr">
        <is>
          <t>MSBs</t>
        </is>
      </c>
      <c r="D75" s="130" t="n">
        <v>0</v>
      </c>
      <c r="E75" s="131" t="n">
        <v>0</v>
      </c>
      <c r="F75" s="131" t="n">
        <v>0</v>
      </c>
      <c r="G75" s="131" t="n">
        <v>0</v>
      </c>
      <c r="H75" s="132" t="n">
        <v>0</v>
      </c>
      <c r="J75" s="130" t="n">
        <v>0</v>
      </c>
      <c r="K75" s="131" t="n">
        <v>0</v>
      </c>
      <c r="L75" s="131" t="n">
        <v>0</v>
      </c>
      <c r="M75" s="131" t="n">
        <v>0</v>
      </c>
      <c r="N75" s="132" t="n">
        <v>0</v>
      </c>
      <c r="P75" s="130" t="n">
        <v>0</v>
      </c>
      <c r="Q75" s="131" t="n">
        <v>0</v>
      </c>
      <c r="R75" s="131" t="n">
        <v>0</v>
      </c>
      <c r="S75" s="131" t="n">
        <v>0</v>
      </c>
      <c r="T75" s="132" t="n">
        <v>0</v>
      </c>
      <c r="V75" s="130" t="n">
        <v>0</v>
      </c>
      <c r="W75" s="131" t="n">
        <v>0</v>
      </c>
      <c r="X75" s="131" t="n">
        <v>0</v>
      </c>
      <c r="Y75" s="131" t="n">
        <v>0</v>
      </c>
      <c r="Z75" s="132" t="n">
        <v>0</v>
      </c>
    </row>
    <row r="76">
      <c r="B76" s="64" t="inlineStr">
        <is>
          <t>Non FDA Approved</t>
        </is>
      </c>
      <c r="D76" s="130" t="n">
        <v>0</v>
      </c>
      <c r="E76" s="131" t="n">
        <v>0</v>
      </c>
      <c r="F76" s="131" t="n">
        <v>0</v>
      </c>
      <c r="G76" s="131" t="n">
        <v>0</v>
      </c>
      <c r="H76" s="132" t="n">
        <v>0</v>
      </c>
      <c r="J76" s="130" t="n">
        <v>0</v>
      </c>
      <c r="K76" s="131" t="n">
        <v>0</v>
      </c>
      <c r="L76" s="131" t="n">
        <v>0</v>
      </c>
      <c r="M76" s="131" t="n">
        <v>0</v>
      </c>
      <c r="N76" s="132" t="n">
        <v>0</v>
      </c>
      <c r="P76" s="130" t="n">
        <v>0</v>
      </c>
      <c r="Q76" s="131" t="n">
        <v>0</v>
      </c>
      <c r="R76" s="131" t="n">
        <v>0</v>
      </c>
      <c r="S76" s="131" t="n">
        <v>0</v>
      </c>
      <c r="T76" s="132" t="n">
        <v>0</v>
      </c>
      <c r="V76" s="130" t="n">
        <v>0</v>
      </c>
      <c r="W76" s="131" t="n">
        <v>0</v>
      </c>
      <c r="X76" s="131" t="n">
        <v>0</v>
      </c>
      <c r="Y76" s="131" t="n">
        <v>0</v>
      </c>
      <c r="Z76" s="132" t="n">
        <v>0</v>
      </c>
    </row>
    <row r="77">
      <c r="B77" s="64" t="inlineStr">
        <is>
          <t>LDD</t>
        </is>
      </c>
      <c r="D77" s="130" t="n">
        <v>0</v>
      </c>
      <c r="E77" s="131" t="n">
        <v>0</v>
      </c>
      <c r="F77" s="131" t="n">
        <v>0</v>
      </c>
      <c r="G77" s="131" t="n">
        <v>0</v>
      </c>
      <c r="H77" s="132" t="n">
        <v>0</v>
      </c>
      <c r="J77" s="130" t="n">
        <v>0</v>
      </c>
      <c r="K77" s="131" t="n">
        <v>0</v>
      </c>
      <c r="L77" s="131" t="n">
        <v>0</v>
      </c>
      <c r="M77" s="131" t="n">
        <v>0</v>
      </c>
      <c r="N77" s="132" t="n">
        <v>0</v>
      </c>
      <c r="P77" s="130" t="n">
        <v>0</v>
      </c>
      <c r="Q77" s="131" t="n">
        <v>0</v>
      </c>
      <c r="R77" s="131" t="n">
        <v>0</v>
      </c>
      <c r="S77" s="131" t="n">
        <v>0</v>
      </c>
      <c r="T77" s="132" t="n">
        <v>0</v>
      </c>
      <c r="V77" s="130" t="n">
        <v>0</v>
      </c>
      <c r="W77" s="131" t="n">
        <v>0</v>
      </c>
      <c r="X77" s="131" t="n">
        <v>0</v>
      </c>
      <c r="Y77" s="131" t="n">
        <v>0</v>
      </c>
      <c r="Z77" s="132" t="n">
        <v>0</v>
      </c>
    </row>
    <row r="78">
      <c r="B78" s="64" t="inlineStr">
        <is>
          <t>Institutional NDCs</t>
        </is>
      </c>
      <c r="D78" s="130" t="n">
        <v>0</v>
      </c>
      <c r="E78" s="131" t="n">
        <v>0</v>
      </c>
      <c r="F78" s="131" t="n">
        <v>0</v>
      </c>
      <c r="G78" s="131" t="n">
        <v>0</v>
      </c>
      <c r="H78" s="132" t="n">
        <v>0</v>
      </c>
      <c r="J78" s="130" t="n">
        <v>0</v>
      </c>
      <c r="K78" s="131" t="n">
        <v>0</v>
      </c>
      <c r="L78" s="131" t="n">
        <v>0</v>
      </c>
      <c r="M78" s="131" t="n">
        <v>0</v>
      </c>
      <c r="N78" s="132" t="n">
        <v>0</v>
      </c>
      <c r="P78" s="130" t="n">
        <v>0</v>
      </c>
      <c r="Q78" s="131" t="n">
        <v>0</v>
      </c>
      <c r="R78" s="131" t="n">
        <v>0</v>
      </c>
      <c r="S78" s="131" t="n">
        <v>0</v>
      </c>
      <c r="T78" s="132" t="n">
        <v>0</v>
      </c>
      <c r="V78" s="130" t="n">
        <v>0</v>
      </c>
      <c r="W78" s="131" t="n">
        <v>0</v>
      </c>
      <c r="X78" s="131" t="n">
        <v>0</v>
      </c>
      <c r="Y78" s="131" t="n">
        <v>0</v>
      </c>
      <c r="Z78" s="132" t="n">
        <v>0</v>
      </c>
    </row>
    <row r="79" ht="15" customHeight="1">
      <c r="B79" s="64" t="inlineStr">
        <is>
          <t>Formulary Exclusions</t>
        </is>
      </c>
      <c r="D79" s="130" t="n">
        <v>0</v>
      </c>
      <c r="E79" s="131" t="n">
        <v>0</v>
      </c>
      <c r="F79" s="131" t="n">
        <v>0</v>
      </c>
      <c r="G79" s="131" t="n">
        <v>0</v>
      </c>
      <c r="H79" s="132" t="n">
        <v>0</v>
      </c>
      <c r="J79" s="130" t="n">
        <v>0</v>
      </c>
      <c r="K79" s="131" t="n">
        <v>0</v>
      </c>
      <c r="L79" s="131" t="n">
        <v>0</v>
      </c>
      <c r="M79" s="131" t="n">
        <v>0</v>
      </c>
      <c r="N79" s="132" t="n">
        <v>0</v>
      </c>
      <c r="P79" s="130" t="n">
        <v>0</v>
      </c>
      <c r="Q79" s="131" t="n">
        <v>0</v>
      </c>
      <c r="R79" s="131" t="n">
        <v>0</v>
      </c>
      <c r="S79" s="131" t="n">
        <v>0</v>
      </c>
      <c r="T79" s="132" t="n">
        <v>0</v>
      </c>
      <c r="V79" s="130" t="n">
        <v>0</v>
      </c>
      <c r="W79" s="131" t="n">
        <v>0</v>
      </c>
      <c r="X79" s="131" t="n">
        <v>0</v>
      </c>
      <c r="Y79" s="131" t="n">
        <v>0</v>
      </c>
      <c r="Z79" s="132" t="n">
        <v>0</v>
      </c>
    </row>
    <row r="80">
      <c r="B80" s="64" t="inlineStr">
        <is>
          <t>Synthroid</t>
        </is>
      </c>
      <c r="D80" s="130" t="n">
        <v>0</v>
      </c>
      <c r="E80" s="131" t="n">
        <v>0</v>
      </c>
      <c r="F80" s="131" t="n">
        <v>0</v>
      </c>
      <c r="G80" s="131" t="n">
        <v>0</v>
      </c>
      <c r="H80" s="132" t="n">
        <v>0</v>
      </c>
      <c r="J80" s="130" t="n">
        <v>0</v>
      </c>
      <c r="K80" s="131" t="n">
        <v>0</v>
      </c>
      <c r="L80" s="131" t="n">
        <v>0</v>
      </c>
      <c r="M80" s="131" t="n">
        <v>0</v>
      </c>
      <c r="N80" s="132" t="n">
        <v>0</v>
      </c>
      <c r="P80" s="130" t="n">
        <v>0</v>
      </c>
      <c r="Q80" s="131" t="n">
        <v>0</v>
      </c>
      <c r="R80" s="131" t="n">
        <v>0</v>
      </c>
      <c r="S80" s="131" t="n">
        <v>0</v>
      </c>
      <c r="T80" s="132" t="n">
        <v>0</v>
      </c>
      <c r="V80" s="130" t="n">
        <v>0</v>
      </c>
      <c r="W80" s="131" t="n">
        <v>0</v>
      </c>
      <c r="X80" s="131" t="n">
        <v>0</v>
      </c>
      <c r="Y80" s="131" t="n">
        <v>0</v>
      </c>
      <c r="Z80" s="132" t="n">
        <v>0</v>
      </c>
    </row>
    <row r="81">
      <c r="B81" s="64" t="inlineStr">
        <is>
          <t>Misc</t>
        </is>
      </c>
      <c r="D81" s="130" t="n">
        <v>0</v>
      </c>
      <c r="E81" s="131" t="n">
        <v>0</v>
      </c>
      <c r="F81" s="131" t="n">
        <v>0</v>
      </c>
      <c r="G81" s="131" t="n">
        <v>0</v>
      </c>
      <c r="H81" s="132" t="n">
        <v>0</v>
      </c>
      <c r="J81" s="130" t="n">
        <v>0</v>
      </c>
      <c r="K81" s="131" t="n">
        <v>0</v>
      </c>
      <c r="L81" s="131" t="n">
        <v>0</v>
      </c>
      <c r="M81" s="131" t="n">
        <v>0</v>
      </c>
      <c r="N81" s="132" t="n">
        <v>0</v>
      </c>
      <c r="P81" s="130" t="n">
        <v>0</v>
      </c>
      <c r="Q81" s="131" t="n">
        <v>0</v>
      </c>
      <c r="R81" s="131" t="n">
        <v>0</v>
      </c>
      <c r="S81" s="131" t="n">
        <v>0</v>
      </c>
      <c r="T81" s="132" t="n">
        <v>0</v>
      </c>
      <c r="V81" s="130" t="n">
        <v>0</v>
      </c>
      <c r="W81" s="131" t="n">
        <v>0</v>
      </c>
      <c r="X81" s="131" t="n">
        <v>0</v>
      </c>
      <c r="Y81" s="131" t="n">
        <v>0</v>
      </c>
      <c r="Z81" s="132" t="n">
        <v>0</v>
      </c>
    </row>
    <row r="82">
      <c r="B82" s="64" t="inlineStr">
        <is>
          <t>Specialty</t>
        </is>
      </c>
      <c r="D82" s="133" t="n">
        <v>0</v>
      </c>
      <c r="E82" s="134" t="n">
        <v>0</v>
      </c>
      <c r="F82" s="134" t="n">
        <v>0</v>
      </c>
      <c r="G82" s="134" t="n">
        <v>0</v>
      </c>
      <c r="H82" s="135" t="n">
        <v>0</v>
      </c>
      <c r="J82" s="133" t="n">
        <v>0</v>
      </c>
      <c r="K82" s="134" t="n">
        <v>0</v>
      </c>
      <c r="L82" s="134" t="n">
        <v>0</v>
      </c>
      <c r="M82" s="134" t="n">
        <v>0</v>
      </c>
      <c r="N82" s="135" t="n">
        <v>0</v>
      </c>
      <c r="P82" s="133" t="n">
        <v>0</v>
      </c>
      <c r="Q82" s="134" t="n">
        <v>0</v>
      </c>
      <c r="R82" s="134" t="n">
        <v>0</v>
      </c>
      <c r="S82" s="134" t="n">
        <v>0</v>
      </c>
      <c r="T82" s="135" t="n">
        <v>0</v>
      </c>
      <c r="V82" s="133" t="n">
        <v>0</v>
      </c>
      <c r="W82" s="134" t="n">
        <v>0</v>
      </c>
      <c r="X82" s="134" t="n">
        <v>0</v>
      </c>
      <c r="Y82" s="134" t="n">
        <v>0</v>
      </c>
      <c r="Z82" s="135" t="n">
        <v>0</v>
      </c>
    </row>
    <row r="83">
      <c r="A83" s="98" t="inlineStr">
        <is>
          <t>Added MFP row but needs adjusting for non-CY</t>
        </is>
      </c>
      <c r="B83" s="64" t="inlineStr">
        <is>
          <t>MFP</t>
        </is>
      </c>
      <c r="D83" s="133" t="n">
        <v>0</v>
      </c>
      <c r="E83" s="134" t="n">
        <v>0</v>
      </c>
      <c r="F83" s="134" t="n">
        <v>0</v>
      </c>
      <c r="G83" s="134" t="n">
        <v>0</v>
      </c>
      <c r="H83" s="135" t="n">
        <v>0</v>
      </c>
      <c r="J83" s="133" t="n">
        <v>0</v>
      </c>
      <c r="K83" s="134" t="n">
        <v>0</v>
      </c>
      <c r="L83" s="134" t="n">
        <v>0</v>
      </c>
      <c r="M83" s="134" t="n">
        <v>0</v>
      </c>
      <c r="N83" s="135" t="n">
        <v>0</v>
      </c>
      <c r="P83" s="133" t="n">
        <v>0</v>
      </c>
      <c r="Q83" s="134" t="n">
        <v>0</v>
      </c>
      <c r="R83" s="134" t="n">
        <v>0</v>
      </c>
      <c r="S83" s="134" t="n">
        <v>0</v>
      </c>
      <c r="T83" s="135" t="n">
        <v>0</v>
      </c>
      <c r="V83" s="133" t="n">
        <v>0</v>
      </c>
      <c r="W83" s="134" t="n">
        <v>0</v>
      </c>
      <c r="X83" s="134" t="n">
        <v>0</v>
      </c>
      <c r="Y83" s="134" t="n">
        <v>0</v>
      </c>
      <c r="Z83" s="135" t="n">
        <v>0</v>
      </c>
    </row>
    <row r="84">
      <c r="B84" s="100">
        <f>$B$66</f>
        <v/>
      </c>
      <c r="D84" s="133" t="n">
        <v>0</v>
      </c>
      <c r="E84" s="134" t="n">
        <v>0</v>
      </c>
      <c r="F84" s="134" t="n">
        <v>0</v>
      </c>
      <c r="G84" s="134" t="n">
        <v>0</v>
      </c>
      <c r="H84" s="135" t="n">
        <v>0</v>
      </c>
      <c r="J84" s="133" t="n">
        <v>0</v>
      </c>
      <c r="K84" s="134" t="n">
        <v>0</v>
      </c>
      <c r="L84" s="134" t="n">
        <v>0</v>
      </c>
      <c r="M84" s="134" t="n">
        <v>0</v>
      </c>
      <c r="N84" s="135" t="n">
        <v>0</v>
      </c>
      <c r="P84" s="133" t="n">
        <v>0</v>
      </c>
      <c r="Q84" s="134" t="n">
        <v>0</v>
      </c>
      <c r="R84" s="134" t="n">
        <v>0</v>
      </c>
      <c r="S84" s="134" t="n">
        <v>0</v>
      </c>
      <c r="T84" s="135" t="n">
        <v>0</v>
      </c>
      <c r="V84" s="133" t="n">
        <v>0</v>
      </c>
      <c r="W84" s="134" t="n">
        <v>0</v>
      </c>
      <c r="X84" s="134" t="n">
        <v>0</v>
      </c>
      <c r="Y84" s="134" t="n">
        <v>0</v>
      </c>
      <c r="Z84" s="135" t="n">
        <v>0</v>
      </c>
    </row>
    <row r="85" ht="15" customHeight="1" thickBot="1">
      <c r="B85" s="59" t="inlineStr">
        <is>
          <t>Non-Rebatable</t>
        </is>
      </c>
      <c r="D85" s="136" t="n">
        <v>0</v>
      </c>
      <c r="E85" s="137" t="n">
        <v>0</v>
      </c>
      <c r="F85" s="137" t="n">
        <v>0</v>
      </c>
      <c r="G85" s="137" t="n">
        <v>0</v>
      </c>
      <c r="H85" s="138" t="n">
        <v>0</v>
      </c>
      <c r="J85" s="139" t="n">
        <v>0</v>
      </c>
      <c r="K85" s="140" t="n">
        <v>0</v>
      </c>
      <c r="L85" s="140" t="n">
        <v>0</v>
      </c>
      <c r="M85" s="140" t="n">
        <v>0</v>
      </c>
      <c r="N85" s="141" t="n">
        <v>0</v>
      </c>
      <c r="P85" s="139" t="n">
        <v>0</v>
      </c>
      <c r="Q85" s="140" t="n">
        <v>0</v>
      </c>
      <c r="R85" s="140" t="n">
        <v>0</v>
      </c>
      <c r="S85" s="140" t="n">
        <v>0</v>
      </c>
      <c r="T85" s="141" t="n">
        <v>0</v>
      </c>
      <c r="V85" s="139" t="n">
        <v>0</v>
      </c>
      <c r="W85" s="140" t="n">
        <v>0</v>
      </c>
      <c r="X85" s="140" t="n">
        <v>0</v>
      </c>
      <c r="Y85" s="140" t="n">
        <v>0</v>
      </c>
      <c r="Z85" s="141" t="n">
        <v>0</v>
      </c>
    </row>
    <row r="86" ht="15.6" customHeight="1" thickBot="1" thickTop="1">
      <c r="B86" s="69" t="inlineStr">
        <is>
          <t>Total</t>
        </is>
      </c>
      <c r="D86" s="142" t="n">
        <v>0</v>
      </c>
      <c r="E86" s="143" t="n">
        <v>0</v>
      </c>
      <c r="F86" s="143" t="n">
        <v>0</v>
      </c>
      <c r="G86" s="143" t="n">
        <v>0</v>
      </c>
      <c r="H86" s="144" t="n">
        <v>0</v>
      </c>
      <c r="J86" s="142" t="n">
        <v>0</v>
      </c>
      <c r="K86" s="143" t="n">
        <v>0</v>
      </c>
      <c r="L86" s="143" t="n">
        <v>0</v>
      </c>
      <c r="M86" s="143" t="n">
        <v>0</v>
      </c>
      <c r="N86" s="144" t="n">
        <v>0</v>
      </c>
      <c r="P86" s="142" t="n">
        <v>0</v>
      </c>
      <c r="Q86" s="143" t="n">
        <v>0</v>
      </c>
      <c r="R86" s="143" t="n">
        <v>0</v>
      </c>
      <c r="S86" s="143" t="n">
        <v>0</v>
      </c>
      <c r="T86" s="144" t="n">
        <v>0</v>
      </c>
      <c r="V86" s="142" t="n">
        <v>0</v>
      </c>
      <c r="W86" s="143" t="n">
        <v>0</v>
      </c>
      <c r="X86" s="143" t="n">
        <v>0</v>
      </c>
      <c r="Y86" s="143" t="n">
        <v>0</v>
      </c>
      <c r="Z86" s="144" t="n">
        <v>0</v>
      </c>
    </row>
    <row r="87" ht="15" customHeight="1" thickBot="1">
      <c r="D87" s="145" t="n"/>
      <c r="E87" s="145" t="n"/>
      <c r="F87" s="145" t="n"/>
      <c r="G87" s="145" t="n"/>
      <c r="H87" s="145" t="n"/>
      <c r="J87" s="145" t="n"/>
      <c r="K87" s="145" t="n"/>
      <c r="L87" s="145" t="n"/>
      <c r="M87" s="145" t="n"/>
      <c r="N87" s="145" t="n"/>
      <c r="P87" s="145" t="n"/>
      <c r="Q87" s="145" t="n"/>
      <c r="R87" s="145" t="n"/>
      <c r="S87" s="145" t="n"/>
      <c r="T87" s="145" t="n"/>
      <c r="V87" s="145" t="n"/>
      <c r="W87" s="145" t="n"/>
      <c r="X87" s="145" t="n"/>
      <c r="Y87" s="145" t="n"/>
      <c r="Z87" s="145" t="n"/>
    </row>
    <row r="88" ht="15" customHeight="1" thickBot="1">
      <c r="B88" s="27" t="inlineStr">
        <is>
          <t>Excl - Total</t>
        </is>
      </c>
      <c r="D88" s="28" t="inlineStr">
        <is>
          <t>R30</t>
        </is>
      </c>
      <c r="E88" s="29" t="inlineStr">
        <is>
          <t>R90</t>
        </is>
      </c>
      <c r="F88" s="29" t="inlineStr">
        <is>
          <t>Mail</t>
        </is>
      </c>
      <c r="G88" s="29" t="inlineStr">
        <is>
          <t>Specialty</t>
        </is>
      </c>
      <c r="H88" s="30" t="inlineStr">
        <is>
          <t>Total</t>
        </is>
      </c>
      <c r="J88" s="28" t="inlineStr">
        <is>
          <t>R30</t>
        </is>
      </c>
      <c r="K88" s="29" t="inlineStr">
        <is>
          <t>R90</t>
        </is>
      </c>
      <c r="L88" s="29" t="inlineStr">
        <is>
          <t>Mail</t>
        </is>
      </c>
      <c r="M88" s="29" t="inlineStr">
        <is>
          <t>Specialty</t>
        </is>
      </c>
      <c r="N88" s="30" t="inlineStr">
        <is>
          <t>Total</t>
        </is>
      </c>
      <c r="P88" s="28" t="inlineStr">
        <is>
          <t>R30</t>
        </is>
      </c>
      <c r="Q88" s="29" t="inlineStr">
        <is>
          <t>R90</t>
        </is>
      </c>
      <c r="R88" s="29" t="inlineStr">
        <is>
          <t>Mail</t>
        </is>
      </c>
      <c r="S88" s="29" t="inlineStr">
        <is>
          <t>Specialty</t>
        </is>
      </c>
      <c r="T88" s="30" t="inlineStr">
        <is>
          <t>Total</t>
        </is>
      </c>
      <c r="V88" s="28" t="inlineStr">
        <is>
          <t>R30</t>
        </is>
      </c>
      <c r="W88" s="29" t="inlineStr">
        <is>
          <t>R90</t>
        </is>
      </c>
      <c r="X88" s="29" t="inlineStr">
        <is>
          <t>Mail</t>
        </is>
      </c>
      <c r="Y88" s="29" t="inlineStr">
        <is>
          <t>Specialty</t>
        </is>
      </c>
      <c r="Z88" s="30" t="inlineStr">
        <is>
          <t>Total</t>
        </is>
      </c>
    </row>
    <row r="89">
      <c r="B89" s="38" t="inlineStr">
        <is>
          <t>OTCs</t>
        </is>
      </c>
      <c r="D89" s="127" t="n">
        <v>0</v>
      </c>
      <c r="E89" s="128" t="n">
        <v>0</v>
      </c>
      <c r="F89" s="128" t="n">
        <v>0</v>
      </c>
      <c r="G89" s="128" t="n">
        <v>0</v>
      </c>
      <c r="H89" s="129" t="n">
        <v>0</v>
      </c>
      <c r="J89" s="127" t="n">
        <v>0</v>
      </c>
      <c r="K89" s="128" t="n">
        <v>0</v>
      </c>
      <c r="L89" s="128" t="n">
        <v>0</v>
      </c>
      <c r="M89" s="128" t="n">
        <v>0</v>
      </c>
      <c r="N89" s="129" t="n">
        <v>0</v>
      </c>
      <c r="P89" s="127" t="n">
        <v>0</v>
      </c>
      <c r="Q89" s="128" t="n">
        <v>0</v>
      </c>
      <c r="R89" s="128" t="n">
        <v>0</v>
      </c>
      <c r="S89" s="128" t="n">
        <v>0</v>
      </c>
      <c r="T89" s="129" t="n">
        <v>0</v>
      </c>
      <c r="V89" s="127" t="n">
        <v>0</v>
      </c>
      <c r="W89" s="128" t="n">
        <v>0</v>
      </c>
      <c r="X89" s="128" t="n">
        <v>0</v>
      </c>
      <c r="Y89" s="128" t="n">
        <v>0</v>
      </c>
      <c r="Z89" s="129" t="n">
        <v>0</v>
      </c>
    </row>
    <row r="90">
      <c r="B90" s="49" t="inlineStr">
        <is>
          <t>Devices</t>
        </is>
      </c>
      <c r="D90" s="130" t="n">
        <v>0</v>
      </c>
      <c r="E90" s="131" t="n">
        <v>0</v>
      </c>
      <c r="F90" s="131" t="n">
        <v>0</v>
      </c>
      <c r="G90" s="131" t="n">
        <v>0</v>
      </c>
      <c r="H90" s="132" t="n">
        <v>0</v>
      </c>
      <c r="J90" s="130" t="n">
        <v>0</v>
      </c>
      <c r="K90" s="131" t="n">
        <v>0</v>
      </c>
      <c r="L90" s="131" t="n">
        <v>0</v>
      </c>
      <c r="M90" s="131" t="n">
        <v>0</v>
      </c>
      <c r="N90" s="132" t="n">
        <v>0</v>
      </c>
      <c r="P90" s="130" t="n">
        <v>0</v>
      </c>
      <c r="Q90" s="131" t="n">
        <v>0</v>
      </c>
      <c r="R90" s="131" t="n">
        <v>0</v>
      </c>
      <c r="S90" s="131" t="n">
        <v>0</v>
      </c>
      <c r="T90" s="132" t="n">
        <v>0</v>
      </c>
      <c r="V90" s="130" t="n">
        <v>0</v>
      </c>
      <c r="W90" s="131" t="n">
        <v>0</v>
      </c>
      <c r="X90" s="131" t="n">
        <v>0</v>
      </c>
      <c r="Y90" s="131" t="n">
        <v>0</v>
      </c>
      <c r="Z90" s="132" t="n">
        <v>0</v>
      </c>
    </row>
    <row r="91">
      <c r="B91" s="64" t="inlineStr">
        <is>
          <t>Vaccines</t>
        </is>
      </c>
      <c r="D91" s="130" t="n">
        <v>0</v>
      </c>
      <c r="E91" s="131" t="n">
        <v>0</v>
      </c>
      <c r="F91" s="131" t="n">
        <v>0</v>
      </c>
      <c r="G91" s="131" t="n">
        <v>0</v>
      </c>
      <c r="H91" s="132" t="n">
        <v>0</v>
      </c>
      <c r="J91" s="130" t="n">
        <v>0</v>
      </c>
      <c r="K91" s="131" t="n">
        <v>0</v>
      </c>
      <c r="L91" s="131" t="n">
        <v>0</v>
      </c>
      <c r="M91" s="131" t="n">
        <v>0</v>
      </c>
      <c r="N91" s="132" t="n">
        <v>0</v>
      </c>
      <c r="P91" s="130" t="n">
        <v>0</v>
      </c>
      <c r="Q91" s="131" t="n">
        <v>0</v>
      </c>
      <c r="R91" s="131" t="n">
        <v>0</v>
      </c>
      <c r="S91" s="131" t="n">
        <v>0</v>
      </c>
      <c r="T91" s="132" t="n">
        <v>0</v>
      </c>
      <c r="V91" s="130" t="n">
        <v>0</v>
      </c>
      <c r="W91" s="131" t="n">
        <v>0</v>
      </c>
      <c r="X91" s="131" t="n">
        <v>0</v>
      </c>
      <c r="Y91" s="131" t="n">
        <v>0</v>
      </c>
      <c r="Z91" s="132" t="n">
        <v>0</v>
      </c>
    </row>
    <row r="92">
      <c r="B92" s="64" t="inlineStr">
        <is>
          <t>Repackaged</t>
        </is>
      </c>
      <c r="D92" s="130" t="n">
        <v>0</v>
      </c>
      <c r="E92" s="131" t="n">
        <v>0</v>
      </c>
      <c r="F92" s="131" t="n">
        <v>0</v>
      </c>
      <c r="G92" s="131" t="n">
        <v>0</v>
      </c>
      <c r="H92" s="132" t="n">
        <v>0</v>
      </c>
      <c r="J92" s="130" t="n">
        <v>0</v>
      </c>
      <c r="K92" s="131" t="n">
        <v>0</v>
      </c>
      <c r="L92" s="131" t="n">
        <v>0</v>
      </c>
      <c r="M92" s="131" t="n">
        <v>0</v>
      </c>
      <c r="N92" s="132" t="n">
        <v>0</v>
      </c>
      <c r="P92" s="130" t="n">
        <v>0</v>
      </c>
      <c r="Q92" s="131" t="n">
        <v>0</v>
      </c>
      <c r="R92" s="131" t="n">
        <v>0</v>
      </c>
      <c r="S92" s="131" t="n">
        <v>0</v>
      </c>
      <c r="T92" s="132" t="n">
        <v>0</v>
      </c>
      <c r="V92" s="130" t="n">
        <v>0</v>
      </c>
      <c r="W92" s="131" t="n">
        <v>0</v>
      </c>
      <c r="X92" s="131" t="n">
        <v>0</v>
      </c>
      <c r="Y92" s="131" t="n">
        <v>0</v>
      </c>
      <c r="Z92" s="132" t="n">
        <v>0</v>
      </c>
    </row>
    <row r="93">
      <c r="B93" s="64" t="inlineStr">
        <is>
          <t>MSBs</t>
        </is>
      </c>
      <c r="D93" s="130" t="n">
        <v>0</v>
      </c>
      <c r="E93" s="131" t="n">
        <v>0</v>
      </c>
      <c r="F93" s="131" t="n">
        <v>0</v>
      </c>
      <c r="G93" s="131" t="n">
        <v>0</v>
      </c>
      <c r="H93" s="132" t="n">
        <v>0</v>
      </c>
      <c r="J93" s="130" t="n">
        <v>0</v>
      </c>
      <c r="K93" s="131" t="n">
        <v>0</v>
      </c>
      <c r="L93" s="131" t="n">
        <v>0</v>
      </c>
      <c r="M93" s="131" t="n">
        <v>0</v>
      </c>
      <c r="N93" s="132" t="n">
        <v>0</v>
      </c>
      <c r="P93" s="130" t="n">
        <v>0</v>
      </c>
      <c r="Q93" s="131" t="n">
        <v>0</v>
      </c>
      <c r="R93" s="131" t="n">
        <v>0</v>
      </c>
      <c r="S93" s="131" t="n">
        <v>0</v>
      </c>
      <c r="T93" s="132" t="n">
        <v>0</v>
      </c>
      <c r="V93" s="130" t="n">
        <v>0</v>
      </c>
      <c r="W93" s="131" t="n">
        <v>0</v>
      </c>
      <c r="X93" s="131" t="n">
        <v>0</v>
      </c>
      <c r="Y93" s="131" t="n">
        <v>0</v>
      </c>
      <c r="Z93" s="132" t="n">
        <v>0</v>
      </c>
    </row>
    <row r="94">
      <c r="B94" s="64" t="inlineStr">
        <is>
          <t>Non FDA Approved</t>
        </is>
      </c>
      <c r="D94" s="130" t="n">
        <v>0</v>
      </c>
      <c r="E94" s="131" t="n">
        <v>0</v>
      </c>
      <c r="F94" s="131" t="n">
        <v>0</v>
      </c>
      <c r="G94" s="131" t="n">
        <v>0</v>
      </c>
      <c r="H94" s="132" t="n">
        <v>0</v>
      </c>
      <c r="J94" s="130" t="n">
        <v>0</v>
      </c>
      <c r="K94" s="131" t="n">
        <v>0</v>
      </c>
      <c r="L94" s="131" t="n">
        <v>0</v>
      </c>
      <c r="M94" s="131" t="n">
        <v>0</v>
      </c>
      <c r="N94" s="132" t="n">
        <v>0</v>
      </c>
      <c r="P94" s="130" t="n">
        <v>0</v>
      </c>
      <c r="Q94" s="131" t="n">
        <v>0</v>
      </c>
      <c r="R94" s="131" t="n">
        <v>0</v>
      </c>
      <c r="S94" s="131" t="n">
        <v>0</v>
      </c>
      <c r="T94" s="132" t="n">
        <v>0</v>
      </c>
      <c r="V94" s="130" t="n">
        <v>0</v>
      </c>
      <c r="W94" s="131" t="n">
        <v>0</v>
      </c>
      <c r="X94" s="131" t="n">
        <v>0</v>
      </c>
      <c r="Y94" s="131" t="n">
        <v>0</v>
      </c>
      <c r="Z94" s="132" t="n">
        <v>0</v>
      </c>
    </row>
    <row r="95">
      <c r="B95" s="64" t="inlineStr">
        <is>
          <t>LDD</t>
        </is>
      </c>
      <c r="D95" s="130" t="n">
        <v>0</v>
      </c>
      <c r="E95" s="131" t="n">
        <v>0</v>
      </c>
      <c r="F95" s="131" t="n">
        <v>0</v>
      </c>
      <c r="G95" s="131" t="n">
        <v>0</v>
      </c>
      <c r="H95" s="132" t="n">
        <v>0</v>
      </c>
      <c r="J95" s="130" t="n">
        <v>0</v>
      </c>
      <c r="K95" s="131" t="n">
        <v>0</v>
      </c>
      <c r="L95" s="131" t="n">
        <v>0</v>
      </c>
      <c r="M95" s="131" t="n">
        <v>0</v>
      </c>
      <c r="N95" s="132" t="n">
        <v>0</v>
      </c>
      <c r="P95" s="130" t="n">
        <v>0</v>
      </c>
      <c r="Q95" s="131" t="n">
        <v>0</v>
      </c>
      <c r="R95" s="131" t="n">
        <v>0</v>
      </c>
      <c r="S95" s="131" t="n">
        <v>0</v>
      </c>
      <c r="T95" s="132" t="n">
        <v>0</v>
      </c>
      <c r="V95" s="130" t="n">
        <v>0</v>
      </c>
      <c r="W95" s="131" t="n">
        <v>0</v>
      </c>
      <c r="X95" s="131" t="n">
        <v>0</v>
      </c>
      <c r="Y95" s="131" t="n">
        <v>0</v>
      </c>
      <c r="Z95" s="132" t="n">
        <v>0</v>
      </c>
    </row>
    <row r="96">
      <c r="B96" s="64" t="inlineStr">
        <is>
          <t>Institutional NDCs</t>
        </is>
      </c>
      <c r="D96" s="130" t="n">
        <v>0</v>
      </c>
      <c r="E96" s="131" t="n">
        <v>0</v>
      </c>
      <c r="F96" s="131" t="n">
        <v>0</v>
      </c>
      <c r="G96" s="131" t="n">
        <v>0</v>
      </c>
      <c r="H96" s="132" t="n">
        <v>0</v>
      </c>
      <c r="J96" s="130" t="n">
        <v>0</v>
      </c>
      <c r="K96" s="131" t="n">
        <v>0</v>
      </c>
      <c r="L96" s="131" t="n">
        <v>0</v>
      </c>
      <c r="M96" s="131" t="n">
        <v>0</v>
      </c>
      <c r="N96" s="132" t="n">
        <v>0</v>
      </c>
      <c r="P96" s="130" t="n">
        <v>0</v>
      </c>
      <c r="Q96" s="131" t="n">
        <v>0</v>
      </c>
      <c r="R96" s="131" t="n">
        <v>0</v>
      </c>
      <c r="S96" s="131" t="n">
        <v>0</v>
      </c>
      <c r="T96" s="132" t="n">
        <v>0</v>
      </c>
      <c r="V96" s="130" t="n">
        <v>0</v>
      </c>
      <c r="W96" s="131" t="n">
        <v>0</v>
      </c>
      <c r="X96" s="131" t="n">
        <v>0</v>
      </c>
      <c r="Y96" s="131" t="n">
        <v>0</v>
      </c>
      <c r="Z96" s="132" t="n">
        <v>0</v>
      </c>
    </row>
    <row r="97">
      <c r="B97" s="64" t="inlineStr">
        <is>
          <t>Formulary Exclusions</t>
        </is>
      </c>
      <c r="D97" s="130" t="n">
        <v>0</v>
      </c>
      <c r="E97" s="131" t="n">
        <v>0</v>
      </c>
      <c r="F97" s="131" t="n">
        <v>0</v>
      </c>
      <c r="G97" s="131" t="n">
        <v>0</v>
      </c>
      <c r="H97" s="132" t="n">
        <v>0</v>
      </c>
      <c r="J97" s="130" t="n">
        <v>0</v>
      </c>
      <c r="K97" s="131" t="n">
        <v>0</v>
      </c>
      <c r="L97" s="131" t="n">
        <v>0</v>
      </c>
      <c r="M97" s="131" t="n">
        <v>0</v>
      </c>
      <c r="N97" s="132" t="n">
        <v>0</v>
      </c>
      <c r="P97" s="130" t="n">
        <v>0</v>
      </c>
      <c r="Q97" s="131" t="n">
        <v>0</v>
      </c>
      <c r="R97" s="131" t="n">
        <v>0</v>
      </c>
      <c r="S97" s="131" t="n">
        <v>0</v>
      </c>
      <c r="T97" s="132" t="n">
        <v>0</v>
      </c>
      <c r="V97" s="130" t="n">
        <v>0</v>
      </c>
      <c r="W97" s="131" t="n">
        <v>0</v>
      </c>
      <c r="X97" s="131" t="n">
        <v>0</v>
      </c>
      <c r="Y97" s="131" t="n">
        <v>0</v>
      </c>
      <c r="Z97" s="132" t="n">
        <v>0</v>
      </c>
    </row>
    <row r="98">
      <c r="B98" s="64" t="inlineStr">
        <is>
          <t>Synthroid</t>
        </is>
      </c>
      <c r="D98" s="130" t="n">
        <v>0</v>
      </c>
      <c r="E98" s="131" t="n">
        <v>0</v>
      </c>
      <c r="F98" s="131" t="n">
        <v>0</v>
      </c>
      <c r="G98" s="131" t="n">
        <v>0</v>
      </c>
      <c r="H98" s="132" t="n">
        <v>0</v>
      </c>
      <c r="J98" s="130" t="n">
        <v>0</v>
      </c>
      <c r="K98" s="131" t="n">
        <v>0</v>
      </c>
      <c r="L98" s="131" t="n">
        <v>0</v>
      </c>
      <c r="M98" s="131" t="n">
        <v>0</v>
      </c>
      <c r="N98" s="132" t="n">
        <v>0</v>
      </c>
      <c r="P98" s="130" t="n">
        <v>0</v>
      </c>
      <c r="Q98" s="131" t="n">
        <v>0</v>
      </c>
      <c r="R98" s="131" t="n">
        <v>0</v>
      </c>
      <c r="S98" s="131" t="n">
        <v>0</v>
      </c>
      <c r="T98" s="132" t="n">
        <v>0</v>
      </c>
      <c r="V98" s="130" t="n">
        <v>0</v>
      </c>
      <c r="W98" s="131" t="n">
        <v>0</v>
      </c>
      <c r="X98" s="131" t="n">
        <v>0</v>
      </c>
      <c r="Y98" s="131" t="n">
        <v>0</v>
      </c>
      <c r="Z98" s="132" t="n">
        <v>0</v>
      </c>
    </row>
    <row r="99">
      <c r="B99" s="64" t="inlineStr">
        <is>
          <t>Misc</t>
        </is>
      </c>
      <c r="D99" s="130" t="n">
        <v>0</v>
      </c>
      <c r="E99" s="131" t="n">
        <v>0</v>
      </c>
      <c r="F99" s="131" t="n">
        <v>0</v>
      </c>
      <c r="G99" s="131" t="n">
        <v>0</v>
      </c>
      <c r="H99" s="132" t="n">
        <v>0</v>
      </c>
      <c r="J99" s="130" t="n">
        <v>1964.875071784408</v>
      </c>
      <c r="K99" s="131" t="n">
        <v>347.8756485030455</v>
      </c>
      <c r="L99" s="131" t="n">
        <v>130.6682137649017</v>
      </c>
      <c r="M99" s="131" t="n">
        <v>663.9327169755762</v>
      </c>
      <c r="N99" s="132" t="n">
        <v>3107.351651027931</v>
      </c>
      <c r="P99" s="130" t="n">
        <v>2163.155319482375</v>
      </c>
      <c r="Q99" s="131" t="n">
        <v>372.0859813343213</v>
      </c>
      <c r="R99" s="131" t="n">
        <v>143.0165673943964</v>
      </c>
      <c r="S99" s="131" t="n">
        <v>753.6182474419381</v>
      </c>
      <c r="T99" s="132" t="n">
        <v>3431.876115653031</v>
      </c>
      <c r="V99" s="130" t="n">
        <v>2378.866087308556</v>
      </c>
      <c r="W99" s="131" t="n">
        <v>407.7078036315903</v>
      </c>
      <c r="X99" s="131" t="n">
        <v>157.7761316534636</v>
      </c>
      <c r="Y99" s="131" t="n">
        <v>854.1693686244977</v>
      </c>
      <c r="Z99" s="132" t="n">
        <v>3798.519391218107</v>
      </c>
    </row>
    <row r="100">
      <c r="B100" s="64" t="inlineStr">
        <is>
          <t>Specialty</t>
        </is>
      </c>
      <c r="D100" s="133" t="n">
        <v>0</v>
      </c>
      <c r="E100" s="134" t="n">
        <v>0</v>
      </c>
      <c r="F100" s="134" t="n">
        <v>0</v>
      </c>
      <c r="G100" s="134" t="n">
        <v>0</v>
      </c>
      <c r="H100" s="135" t="n">
        <v>0</v>
      </c>
      <c r="J100" s="133" t="n">
        <v>0</v>
      </c>
      <c r="K100" s="134" t="n">
        <v>0</v>
      </c>
      <c r="L100" s="134" t="n">
        <v>0</v>
      </c>
      <c r="M100" s="134" t="n">
        <v>0</v>
      </c>
      <c r="N100" s="135" t="n">
        <v>0</v>
      </c>
      <c r="P100" s="133" t="n">
        <v>0</v>
      </c>
      <c r="Q100" s="134" t="n">
        <v>0</v>
      </c>
      <c r="R100" s="134" t="n">
        <v>0</v>
      </c>
      <c r="S100" s="134" t="n">
        <v>0</v>
      </c>
      <c r="T100" s="135" t="n">
        <v>0</v>
      </c>
      <c r="V100" s="133" t="n">
        <v>0</v>
      </c>
      <c r="W100" s="134" t="n">
        <v>0</v>
      </c>
      <c r="X100" s="134" t="n">
        <v>0</v>
      </c>
      <c r="Y100" s="134" t="n">
        <v>0</v>
      </c>
      <c r="Z100" s="135" t="n">
        <v>0</v>
      </c>
    </row>
    <row r="101">
      <c r="A101" s="98" t="inlineStr">
        <is>
          <t>Added MFP row but needs adjusting for non-CY</t>
        </is>
      </c>
      <c r="B101" s="64" t="inlineStr">
        <is>
          <t>MFP</t>
        </is>
      </c>
      <c r="D101" s="133" t="n">
        <v>0</v>
      </c>
      <c r="E101" s="134" t="n">
        <v>0</v>
      </c>
      <c r="F101" s="134" t="n">
        <v>0</v>
      </c>
      <c r="G101" s="134" t="n">
        <v>0</v>
      </c>
      <c r="H101" s="135" t="n">
        <v>0</v>
      </c>
      <c r="J101" s="133" t="n">
        <v>0</v>
      </c>
      <c r="K101" s="134" t="n">
        <v>0</v>
      </c>
      <c r="L101" s="134" t="n">
        <v>0</v>
      </c>
      <c r="M101" s="134" t="n">
        <v>0</v>
      </c>
      <c r="N101" s="135" t="n">
        <v>0</v>
      </c>
      <c r="P101" s="133" t="n">
        <v>0</v>
      </c>
      <c r="Q101" s="134" t="n">
        <v>0</v>
      </c>
      <c r="R101" s="134" t="n">
        <v>0</v>
      </c>
      <c r="S101" s="134" t="n">
        <v>0</v>
      </c>
      <c r="T101" s="135" t="n">
        <v>0</v>
      </c>
      <c r="V101" s="133" t="n">
        <v>0</v>
      </c>
      <c r="W101" s="134" t="n">
        <v>0</v>
      </c>
      <c r="X101" s="134" t="n">
        <v>0</v>
      </c>
      <c r="Y101" s="134" t="n">
        <v>0</v>
      </c>
      <c r="Z101" s="135" t="n">
        <v>0</v>
      </c>
    </row>
    <row r="102">
      <c r="B102" s="100">
        <f>$B$66</f>
        <v/>
      </c>
      <c r="D102" s="133" t="n">
        <v>0</v>
      </c>
      <c r="E102" s="134" t="n">
        <v>0</v>
      </c>
      <c r="F102" s="134" t="n">
        <v>0</v>
      </c>
      <c r="G102" s="134" t="n">
        <v>0</v>
      </c>
      <c r="H102" s="135" t="n">
        <v>0</v>
      </c>
      <c r="J102" s="133" t="n">
        <v>0</v>
      </c>
      <c r="K102" s="134" t="n">
        <v>0</v>
      </c>
      <c r="L102" s="134" t="n">
        <v>0</v>
      </c>
      <c r="M102" s="134" t="n">
        <v>0</v>
      </c>
      <c r="N102" s="135" t="n">
        <v>0</v>
      </c>
      <c r="P102" s="133" t="n">
        <v>0</v>
      </c>
      <c r="Q102" s="134" t="n">
        <v>0</v>
      </c>
      <c r="R102" s="134" t="n">
        <v>0</v>
      </c>
      <c r="S102" s="134" t="n">
        <v>0</v>
      </c>
      <c r="T102" s="135" t="n">
        <v>0</v>
      </c>
      <c r="V102" s="133" t="n">
        <v>0</v>
      </c>
      <c r="W102" s="134" t="n">
        <v>0</v>
      </c>
      <c r="X102" s="134" t="n">
        <v>0</v>
      </c>
      <c r="Y102" s="134" t="n">
        <v>0</v>
      </c>
      <c r="Z102" s="135" t="n">
        <v>0</v>
      </c>
    </row>
    <row r="103" ht="15" customHeight="1" thickBot="1">
      <c r="B103" s="59" t="inlineStr">
        <is>
          <t>Non-Rebatable</t>
        </is>
      </c>
      <c r="D103" s="136" t="n">
        <v>0</v>
      </c>
      <c r="E103" s="137" t="n">
        <v>0</v>
      </c>
      <c r="F103" s="137" t="n">
        <v>0</v>
      </c>
      <c r="G103" s="137" t="n">
        <v>0</v>
      </c>
      <c r="H103" s="138" t="n">
        <v>0</v>
      </c>
      <c r="J103" s="139" t="n">
        <v>0</v>
      </c>
      <c r="K103" s="140" t="n">
        <v>0</v>
      </c>
      <c r="L103" s="140" t="n">
        <v>0</v>
      </c>
      <c r="M103" s="140" t="n">
        <v>0</v>
      </c>
      <c r="N103" s="141" t="n">
        <v>0</v>
      </c>
      <c r="P103" s="139" t="n">
        <v>0</v>
      </c>
      <c r="Q103" s="140" t="n">
        <v>0</v>
      </c>
      <c r="R103" s="140" t="n">
        <v>0</v>
      </c>
      <c r="S103" s="140" t="n">
        <v>0</v>
      </c>
      <c r="T103" s="141" t="n">
        <v>0</v>
      </c>
      <c r="V103" s="139" t="n">
        <v>0</v>
      </c>
      <c r="W103" s="140" t="n">
        <v>0</v>
      </c>
      <c r="X103" s="140" t="n">
        <v>0</v>
      </c>
      <c r="Y103" s="140" t="n">
        <v>0</v>
      </c>
      <c r="Z103" s="141" t="n">
        <v>0</v>
      </c>
    </row>
    <row r="104" ht="15.6" customHeight="1" thickBot="1" thickTop="1">
      <c r="B104" s="69" t="inlineStr">
        <is>
          <t>Total</t>
        </is>
      </c>
      <c r="D104" s="142" t="n">
        <v>0</v>
      </c>
      <c r="E104" s="143" t="n">
        <v>0</v>
      </c>
      <c r="F104" s="143" t="n">
        <v>0</v>
      </c>
      <c r="G104" s="143" t="n">
        <v>0</v>
      </c>
      <c r="H104" s="144" t="n">
        <v>0</v>
      </c>
      <c r="J104" s="142" t="n">
        <v>1964.875071784408</v>
      </c>
      <c r="K104" s="143" t="n">
        <v>347.8756485030455</v>
      </c>
      <c r="L104" s="143" t="n">
        <v>130.6682137649017</v>
      </c>
      <c r="M104" s="143" t="n">
        <v>663.9327169755762</v>
      </c>
      <c r="N104" s="144" t="n">
        <v>3107.351651027931</v>
      </c>
      <c r="P104" s="142" t="n">
        <v>2163.155319482375</v>
      </c>
      <c r="Q104" s="143" t="n">
        <v>372.0859813343213</v>
      </c>
      <c r="R104" s="143" t="n">
        <v>143.0165673943964</v>
      </c>
      <c r="S104" s="143" t="n">
        <v>753.6182474419381</v>
      </c>
      <c r="T104" s="144" t="n">
        <v>3431.876115653031</v>
      </c>
      <c r="V104" s="142" t="n">
        <v>2378.866087308556</v>
      </c>
      <c r="W104" s="143" t="n">
        <v>407.7078036315903</v>
      </c>
      <c r="X104" s="143" t="n">
        <v>157.7761316534636</v>
      </c>
      <c r="Y104" s="143" t="n">
        <v>854.1693686244977</v>
      </c>
      <c r="Z104" s="144" t="n">
        <v>3798.519391218107</v>
      </c>
    </row>
    <row r="105" ht="30.3" customHeight="1" thickBot="1"/>
    <row r="106" ht="15" customHeight="1" thickBot="1">
      <c r="B106" s="110" t="inlineStr">
        <is>
          <t>Removed Claims</t>
        </is>
      </c>
      <c r="H106" s="111" t="n">
        <v>0</v>
      </c>
    </row>
    <row r="107" ht="15" customHeight="1" thickBot="1"/>
    <row r="108" ht="15" customHeight="1" thickBot="1">
      <c r="B108" s="112" t="inlineStr">
        <is>
          <t>Total</t>
        </is>
      </c>
      <c r="H108" s="113" t="n">
        <v>1576682</v>
      </c>
    </row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 ht="30.3" customHeight="1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 ht="30.3" customHeight="1"/>
    <row r="154">
      <c r="AM154" s="117" t="n"/>
      <c r="AN154" s="117" t="n"/>
    </row>
    <row r="155">
      <c r="AM155" s="117" t="n"/>
      <c r="AN155" s="117" t="n"/>
    </row>
    <row r="156">
      <c r="AM156" s="117" t="n"/>
      <c r="AN156" s="117" t="n"/>
    </row>
    <row r="157">
      <c r="AM157" s="117" t="n"/>
      <c r="AN157" s="117" t="n"/>
    </row>
    <row r="158">
      <c r="AM158" s="117" t="n"/>
      <c r="AN158" s="117" t="n"/>
    </row>
    <row r="159">
      <c r="AM159" s="117" t="n"/>
      <c r="AN159" s="117" t="n"/>
    </row>
    <row r="160">
      <c r="AM160" s="117" t="n"/>
      <c r="AN160" s="117" t="n"/>
    </row>
    <row r="161">
      <c r="AM161" s="117" t="n"/>
      <c r="AN161" s="117" t="n"/>
    </row>
    <row r="162">
      <c r="AM162" s="117" t="n"/>
      <c r="AN162" s="117" t="n"/>
    </row>
    <row r="163">
      <c r="AM163" s="117" t="n"/>
      <c r="AN163" s="117" t="n"/>
    </row>
    <row r="164">
      <c r="AM164" s="117" t="n"/>
      <c r="AN164" s="117" t="n"/>
    </row>
    <row r="165">
      <c r="AM165" s="117" t="n"/>
      <c r="AN165" s="117" t="n"/>
    </row>
    <row r="166">
      <c r="AM166" s="117" t="n"/>
      <c r="AN166" s="117" t="n"/>
    </row>
    <row r="167">
      <c r="AM167" s="117" t="n"/>
      <c r="AN167" s="117" t="n"/>
    </row>
    <row r="168">
      <c r="AM168" s="117" t="n"/>
      <c r="AN168" s="117" t="n"/>
    </row>
    <row r="169">
      <c r="AM169" s="117" t="n"/>
      <c r="AN169" s="117" t="n"/>
    </row>
    <row r="170">
      <c r="AM170" s="117" t="n"/>
      <c r="AN170" s="117" t="n"/>
    </row>
    <row r="171">
      <c r="AM171" s="117" t="n"/>
      <c r="AN171" s="117" t="n"/>
    </row>
    <row r="172">
      <c r="AM172" s="117" t="n"/>
      <c r="AN172" s="117" t="n"/>
    </row>
    <row r="173">
      <c r="AM173" s="117" t="n"/>
      <c r="AN173" s="117" t="n"/>
    </row>
    <row r="174">
      <c r="AM174" s="117" t="n"/>
      <c r="AN174" s="117" t="n"/>
    </row>
    <row r="175">
      <c r="AM175" s="117" t="n"/>
      <c r="AN175" s="117" t="n"/>
    </row>
    <row r="176">
      <c r="AM176" s="117" t="n"/>
      <c r="AN176" s="117" t="n"/>
    </row>
    <row r="177">
      <c r="AM177" s="117" t="n"/>
      <c r="AN177" s="117" t="n"/>
    </row>
    <row r="178">
      <c r="AM178" s="117" t="n"/>
      <c r="AN178" s="117" t="n"/>
    </row>
    <row r="179">
      <c r="AM179" s="117" t="n"/>
      <c r="AN179" s="117" t="n"/>
    </row>
    <row r="180">
      <c r="AM180" s="117" t="n"/>
      <c r="AN180" s="117" t="n"/>
    </row>
    <row r="181">
      <c r="AM181" s="117" t="n"/>
      <c r="AN181" s="117" t="n"/>
    </row>
    <row r="182">
      <c r="AM182" s="117" t="n"/>
      <c r="AN182" s="117" t="n"/>
    </row>
    <row r="183">
      <c r="AM183" s="117" t="n"/>
      <c r="AN183" s="117" t="n"/>
    </row>
    <row r="184">
      <c r="AM184" s="117" t="n"/>
      <c r="AN184" s="117" t="n"/>
    </row>
    <row r="185">
      <c r="AM185" s="117" t="n"/>
      <c r="AN185" s="117" t="n"/>
    </row>
    <row r="186">
      <c r="AM186" s="117" t="n"/>
      <c r="AN186" s="117" t="n"/>
    </row>
    <row r="187">
      <c r="AM187" s="117" t="n"/>
      <c r="AN187" s="117" t="n"/>
    </row>
    <row r="188">
      <c r="AM188" s="117" t="n"/>
      <c r="AN188" s="117" t="n"/>
    </row>
    <row r="189">
      <c r="AM189" s="117" t="n"/>
      <c r="AN189" s="117" t="n"/>
    </row>
    <row r="190">
      <c r="AM190" s="117" t="n"/>
      <c r="AN190" s="117" t="n"/>
    </row>
    <row r="191">
      <c r="AM191" s="117" t="n"/>
      <c r="AN191" s="117" t="n"/>
    </row>
    <row r="192">
      <c r="AM192" s="117" t="n"/>
      <c r="AN192" s="117" t="n"/>
    </row>
    <row r="193">
      <c r="AM193" s="117" t="n"/>
      <c r="AN193" s="117" t="n"/>
    </row>
    <row r="194">
      <c r="AM194" s="117" t="n"/>
      <c r="AN194" s="117" t="n"/>
    </row>
    <row r="195">
      <c r="AM195" s="117" t="n"/>
      <c r="AN195" s="117" t="n"/>
    </row>
    <row r="196">
      <c r="AM196" s="117" t="n"/>
      <c r="AN196" s="117" t="n"/>
    </row>
    <row r="197">
      <c r="AM197" s="117" t="n"/>
      <c r="AN197" s="117" t="n"/>
    </row>
    <row r="198">
      <c r="AM198" s="117" t="n"/>
      <c r="AN198" s="117" t="n"/>
    </row>
    <row r="199">
      <c r="AM199" s="117" t="n"/>
      <c r="AN199" s="117" t="n"/>
    </row>
    <row r="200">
      <c r="AM200" s="117" t="n"/>
      <c r="AN200" s="117" t="n"/>
    </row>
    <row r="201">
      <c r="AM201" s="117" t="n"/>
      <c r="AN201" s="117" t="n"/>
    </row>
    <row r="202">
      <c r="AM202" s="117" t="n"/>
      <c r="AN202" s="117" t="n"/>
    </row>
    <row r="203">
      <c r="AM203" s="117" t="n"/>
      <c r="AN203" s="117" t="n"/>
    </row>
    <row r="204">
      <c r="AM204" s="117" t="n"/>
      <c r="AN204" s="117" t="n"/>
    </row>
    <row r="205">
      <c r="AM205" s="117" t="n"/>
      <c r="AN205" s="117" t="n"/>
    </row>
    <row r="206">
      <c r="AM206" s="117" t="n"/>
      <c r="AN206" s="117" t="n"/>
    </row>
    <row r="207">
      <c r="AM207" s="117" t="n"/>
      <c r="AN207" s="117" t="n"/>
    </row>
    <row r="208">
      <c r="AM208" s="117" t="n"/>
      <c r="AN208" s="117" t="n"/>
    </row>
    <row r="209">
      <c r="AM209" s="117" t="n"/>
      <c r="AN209" s="117" t="n"/>
    </row>
    <row r="210">
      <c r="AM210" s="117" t="n"/>
      <c r="AN210" s="117" t="n"/>
    </row>
    <row r="211">
      <c r="AM211" s="117" t="n"/>
      <c r="AN211" s="117" t="n"/>
    </row>
    <row r="212">
      <c r="AM212" s="117" t="n"/>
      <c r="AN212" s="117" t="n"/>
    </row>
    <row r="213">
      <c r="AM213" s="117" t="n"/>
      <c r="AN213" s="117" t="n"/>
    </row>
    <row r="214">
      <c r="AM214" s="117" t="n"/>
      <c r="AN214" s="117" t="n"/>
    </row>
    <row r="215">
      <c r="AM215" s="117" t="n"/>
      <c r="AN215" s="117" t="n"/>
    </row>
    <row r="216">
      <c r="AM216" s="117" t="n"/>
      <c r="AN216" s="117" t="n"/>
    </row>
    <row r="217">
      <c r="AM217" s="117" t="n"/>
      <c r="AN217" s="117" t="n"/>
    </row>
    <row r="218">
      <c r="AM218" s="117" t="n"/>
      <c r="AN218" s="117" t="n"/>
    </row>
    <row r="219">
      <c r="AM219" s="117" t="n"/>
      <c r="AN219" s="117" t="n"/>
    </row>
    <row r="220">
      <c r="AM220" s="117" t="n"/>
      <c r="AN220" s="117" t="n"/>
    </row>
    <row r="221">
      <c r="AM221" s="117" t="n"/>
      <c r="AN221" s="117" t="n"/>
    </row>
    <row r="222">
      <c r="AM222" s="117" t="n"/>
      <c r="AN222" s="117" t="n"/>
    </row>
    <row r="223">
      <c r="AM223" s="117" t="n"/>
      <c r="AN223" s="117" t="n"/>
    </row>
    <row r="224">
      <c r="AM224" s="117" t="n"/>
      <c r="AN224" s="117" t="n"/>
    </row>
    <row r="225">
      <c r="AM225" s="117" t="n"/>
      <c r="AN225" s="117" t="n"/>
    </row>
    <row r="226">
      <c r="AM226" s="117" t="n"/>
      <c r="AN226" s="117" t="n"/>
    </row>
    <row r="227">
      <c r="AM227" s="117" t="n"/>
      <c r="AN227" s="117" t="n"/>
    </row>
    <row r="228">
      <c r="AM228" s="117" t="n"/>
      <c r="AN228" s="117" t="n"/>
    </row>
    <row r="229">
      <c r="AM229" s="117" t="n"/>
      <c r="AN229" s="117" t="n"/>
    </row>
    <row r="230">
      <c r="AM230" s="117" t="n"/>
      <c r="AN230" s="117" t="n"/>
    </row>
    <row r="231">
      <c r="AM231" s="117" t="n"/>
      <c r="AN231" s="117" t="n"/>
    </row>
    <row r="232">
      <c r="AM232" s="117" t="n"/>
      <c r="AN232" s="117" t="n"/>
    </row>
    <row r="233">
      <c r="AM233" s="117" t="n"/>
      <c r="AN233" s="117" t="n"/>
    </row>
    <row r="234">
      <c r="AM234" s="117" t="n"/>
      <c r="AN234" s="117" t="n"/>
    </row>
    <row r="235">
      <c r="AM235" s="117" t="n"/>
      <c r="AN235" s="117" t="n"/>
    </row>
    <row r="236">
      <c r="AM236" s="117" t="n"/>
      <c r="AN236" s="117" t="n"/>
    </row>
    <row r="237">
      <c r="AM237" s="117" t="n"/>
      <c r="AN237" s="117" t="n"/>
    </row>
    <row r="238">
      <c r="AM238" s="117" t="n"/>
      <c r="AN238" s="117" t="n"/>
    </row>
    <row r="239">
      <c r="AM239" s="117" t="n"/>
      <c r="AN239" s="117" t="n"/>
    </row>
    <row r="240">
      <c r="AM240" s="117" t="n"/>
      <c r="AN240" s="117" t="n"/>
    </row>
    <row r="241">
      <c r="AM241" s="117" t="n"/>
      <c r="AN241" s="117" t="n"/>
    </row>
    <row r="242">
      <c r="AM242" s="117" t="n"/>
      <c r="AN242" s="117" t="n"/>
    </row>
    <row r="243">
      <c r="AM243" s="117" t="n"/>
      <c r="AN243" s="117" t="n"/>
    </row>
    <row r="244">
      <c r="AM244" s="117" t="n"/>
      <c r="AN244" s="117" t="n"/>
    </row>
    <row r="245">
      <c r="AM245" s="117" t="n"/>
      <c r="AN245" s="117" t="n"/>
    </row>
    <row r="246">
      <c r="AM246" s="117" t="n"/>
      <c r="AN246" s="117" t="n"/>
    </row>
    <row r="247">
      <c r="AM247" s="117" t="n"/>
      <c r="AN247" s="117" t="n"/>
    </row>
    <row r="248">
      <c r="AM248" s="117" t="n"/>
      <c r="AN248" s="117" t="n"/>
    </row>
    <row r="249">
      <c r="AM249" s="117" t="n"/>
      <c r="AN249" s="117" t="n"/>
    </row>
    <row r="250">
      <c r="AM250" s="117" t="n"/>
      <c r="AN250" s="117" t="n"/>
    </row>
    <row r="251">
      <c r="AM251" s="117" t="n"/>
      <c r="AN251" s="117" t="n"/>
    </row>
    <row r="252">
      <c r="AM252" s="117" t="n"/>
      <c r="AN252" s="117" t="n"/>
    </row>
    <row r="253">
      <c r="AM253" s="117" t="n"/>
      <c r="AN253" s="117" t="n"/>
    </row>
    <row r="254">
      <c r="AM254" s="117" t="n"/>
      <c r="AN254" s="117" t="n"/>
    </row>
    <row r="255">
      <c r="AM255" s="117" t="n"/>
      <c r="AN255" s="117" t="n"/>
    </row>
    <row r="256">
      <c r="AM256" s="117" t="n"/>
      <c r="AN256" s="117" t="n"/>
    </row>
    <row r="257">
      <c r="AM257" s="117" t="n"/>
      <c r="AN257" s="117" t="n"/>
    </row>
    <row r="258">
      <c r="AM258" s="117" t="n"/>
      <c r="AN258" s="117" t="n"/>
    </row>
    <row r="259">
      <c r="AM259" s="117" t="n"/>
      <c r="AN259" s="117" t="n"/>
    </row>
    <row r="260">
      <c r="AM260" s="117" t="n"/>
      <c r="AN260" s="117" t="n"/>
    </row>
    <row r="261">
      <c r="AM261" s="117" t="n"/>
      <c r="AN261" s="117" t="n"/>
    </row>
    <row r="262">
      <c r="AM262" s="117" t="n"/>
      <c r="AN262" s="117" t="n"/>
    </row>
    <row r="263">
      <c r="AM263" s="117" t="n"/>
      <c r="AN263" s="117" t="n"/>
    </row>
    <row r="264">
      <c r="AM264" s="117" t="n"/>
      <c r="AN264" s="117" t="n"/>
    </row>
    <row r="265">
      <c r="AM265" s="117" t="n"/>
      <c r="AN265" s="117" t="n"/>
    </row>
    <row r="266">
      <c r="AM266" s="117" t="n"/>
      <c r="AN266" s="117" t="n"/>
    </row>
    <row r="267">
      <c r="AM267" s="117" t="n"/>
      <c r="AN267" s="117" t="n"/>
    </row>
    <row r="268">
      <c r="AM268" s="117" t="n"/>
      <c r="AN268" s="117" t="n"/>
    </row>
    <row r="269">
      <c r="AM269" s="117" t="n"/>
      <c r="AN269" s="117" t="n"/>
    </row>
    <row r="270">
      <c r="AM270" s="117" t="n"/>
      <c r="AN270" s="117" t="n"/>
    </row>
    <row r="271">
      <c r="AM271" s="117" t="n"/>
      <c r="AN271" s="117" t="n"/>
    </row>
    <row r="272">
      <c r="AM272" s="117" t="n"/>
      <c r="AN272" s="117" t="n"/>
    </row>
    <row r="273">
      <c r="AM273" s="117" t="n"/>
      <c r="AN273" s="117" t="n"/>
    </row>
    <row r="274">
      <c r="AM274" s="117" t="n"/>
      <c r="AN274" s="117" t="n"/>
    </row>
    <row r="275">
      <c r="AM275" s="117" t="n"/>
      <c r="AN275" s="117" t="n"/>
    </row>
    <row r="276">
      <c r="AM276" s="117" t="n"/>
      <c r="AN276" s="117" t="n"/>
    </row>
    <row r="277">
      <c r="AM277" s="117" t="n"/>
      <c r="AN277" s="117" t="n"/>
    </row>
    <row r="278">
      <c r="AM278" s="117" t="n"/>
      <c r="AN278" s="117" t="n"/>
    </row>
    <row r="279">
      <c r="AM279" s="117" t="n"/>
      <c r="AN279" s="117" t="n"/>
    </row>
    <row r="280">
      <c r="AM280" s="117" t="n"/>
      <c r="AN280" s="117" t="n"/>
    </row>
    <row r="281">
      <c r="AM281" s="117" t="n"/>
      <c r="AN281" s="117" t="n"/>
    </row>
    <row r="282">
      <c r="AM282" s="117" t="n"/>
      <c r="AN282" s="117" t="n"/>
    </row>
    <row r="283">
      <c r="AM283" s="117" t="n"/>
      <c r="AN283" s="117" t="n"/>
    </row>
    <row r="284">
      <c r="AM284" s="117" t="n"/>
      <c r="AN284" s="117" t="n"/>
    </row>
    <row r="285">
      <c r="AM285" s="117" t="n"/>
      <c r="AN285" s="117" t="n"/>
    </row>
    <row r="286">
      <c r="AM286" s="117" t="n"/>
      <c r="AN286" s="117" t="n"/>
    </row>
    <row r="287">
      <c r="AM287" s="117" t="n"/>
      <c r="AN287" s="117" t="n"/>
    </row>
    <row r="288">
      <c r="AM288" s="117" t="n"/>
      <c r="AN288" s="117" t="n"/>
    </row>
    <row r="289">
      <c r="AM289" s="117" t="n"/>
      <c r="AN289" s="117" t="n"/>
    </row>
    <row r="290">
      <c r="AM290" s="117" t="n"/>
      <c r="AN290" s="117" t="n"/>
    </row>
    <row r="291">
      <c r="AM291" s="117" t="n"/>
      <c r="AN291" s="117" t="n"/>
    </row>
    <row r="292">
      <c r="AM292" s="117" t="n"/>
      <c r="AN292" s="117" t="n"/>
    </row>
    <row r="293">
      <c r="AM293" s="117" t="n"/>
      <c r="AN293" s="117" t="n"/>
    </row>
    <row r="294">
      <c r="AM294" s="117" t="n"/>
      <c r="AN294" s="117" t="n"/>
    </row>
    <row r="295">
      <c r="AM295" s="117" t="n"/>
      <c r="AN295" s="117" t="n"/>
    </row>
    <row r="296">
      <c r="AM296" s="117" t="n"/>
      <c r="AN296" s="117" t="n"/>
    </row>
    <row r="297">
      <c r="AM297" s="117" t="n"/>
      <c r="AN297" s="117" t="n"/>
    </row>
    <row r="298">
      <c r="AM298" s="117" t="n"/>
      <c r="AN298" s="117" t="n"/>
    </row>
    <row r="299">
      <c r="AM299" s="117" t="n"/>
      <c r="AN299" s="117" t="n"/>
    </row>
    <row r="300">
      <c r="AM300" s="117" t="n"/>
      <c r="AN300" s="117" t="n"/>
    </row>
    <row r="301">
      <c r="AM301" s="117" t="n"/>
      <c r="AN301" s="117" t="n"/>
    </row>
    <row r="302">
      <c r="AM302" s="117" t="n"/>
      <c r="AN302" s="117" t="n"/>
    </row>
    <row r="303">
      <c r="AM303" s="117" t="n"/>
      <c r="AN303" s="117" t="n"/>
    </row>
  </sheetData>
  <pageMargins left="0.7" right="0.7" top="0.75" bottom="0.75" header="0.3" footer="0.3"/>
  <pageSetup orientation="portrait"/>
</worksheet>
</file>

<file path=xl/worksheets/sheet5.xml><?xml version="1.0" encoding="utf-8"?>
<worksheet xmlns="http://schemas.openxmlformats.org/spreadsheetml/2006/main">
  <sheetPr codeName="wrk_DStats_EX1">
    <outlinePr summaryBelow="1" summaryRight="1"/>
    <pageSetUpPr/>
  </sheetPr>
  <dimension ref="A1:AZ303"/>
  <sheetViews>
    <sheetView showGridLines="0" workbookViewId="0">
      <selection activeCell="A1" sqref="A1"/>
    </sheetView>
  </sheetViews>
  <sheetFormatPr baseColWidth="8" defaultColWidth="8.77734375" defaultRowHeight="14.4"/>
  <cols>
    <col width="20.6640625" customWidth="1" min="2" max="2"/>
    <col width="2.6640625" customWidth="1" min="3" max="3"/>
    <col width="15.6640625" customWidth="1" min="4" max="8"/>
    <col width="2.6640625" customWidth="1" min="9" max="9"/>
    <col width="15.6640625" customWidth="1" min="10" max="14"/>
    <col width="2.6640625" customWidth="1" min="15" max="15"/>
    <col width="15.6640625" customWidth="1" min="16" max="20"/>
    <col width="2.6640625" customWidth="1" min="21" max="21"/>
    <col width="15.6640625" customWidth="1" min="22" max="26"/>
    <col width="2.6640625" customWidth="1" min="27" max="27"/>
    <col width="8.6640625" customWidth="1" min="31" max="31"/>
    <col width="37.44140625" customWidth="1" min="32" max="32"/>
    <col width="46.6640625" bestFit="1" customWidth="1" min="33" max="33"/>
    <col width="15.6640625" customWidth="1" min="34" max="35"/>
    <col width="5.6640625" customWidth="1" min="36" max="36"/>
    <col width="8.6640625" customWidth="1" min="37" max="37"/>
    <col width="36.6640625" customWidth="1" min="38" max="38"/>
    <col width="46.6640625" customWidth="1" min="39" max="39"/>
    <col width="15.6640625" customWidth="1" min="40" max="40"/>
    <col width="5.6640625" customWidth="1" min="41" max="41"/>
    <col width="8.6640625" customWidth="1" min="42" max="42"/>
    <col width="30.6640625" customWidth="1" min="43" max="44"/>
    <col width="12.6640625" customWidth="1" min="45" max="47"/>
    <col width="15.6640625" customWidth="1" min="49" max="54"/>
  </cols>
  <sheetData>
    <row r="1" hidden="1"/>
    <row r="2" hidden="1"/>
    <row r="3" hidden="1"/>
    <row r="4" hidden="1"/>
    <row r="5" hidden="1"/>
    <row r="6" hidden="1"/>
    <row r="7" hidden="1"/>
    <row r="8" hidden="1"/>
    <row r="9" hidden="1"/>
    <row r="10" hidden="1"/>
    <row r="11" hidden="1"/>
    <row r="12" hidden="1"/>
    <row r="13" hidden="1"/>
    <row r="14" ht="15" customHeight="1" thickBot="1"/>
    <row r="15" ht="18.6" customHeight="1" thickBot="1">
      <c r="B15" s="1" t="n"/>
      <c r="C15" s="2" t="n"/>
      <c r="D15" s="114" t="inlineStr">
        <is>
          <t>General Dynamics</t>
        </is>
      </c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  <c r="AA15" s="2" t="n"/>
      <c r="AB15" s="2" t="n"/>
      <c r="AC15" s="2" t="n"/>
      <c r="AD15" s="2" t="n"/>
      <c r="AE15" s="2" t="n"/>
      <c r="AF15" s="2" t="n"/>
      <c r="AG15" s="2" t="n"/>
      <c r="AH15" s="2" t="n"/>
      <c r="AI15" s="2" t="n"/>
      <c r="AJ15" s="2" t="n"/>
      <c r="AK15" s="2" t="n"/>
      <c r="AL15" s="2" t="n"/>
      <c r="AM15" s="2" t="n"/>
      <c r="AN15" s="3" t="n"/>
    </row>
    <row r="16" ht="15" customHeight="1" thickBot="1"/>
    <row r="17" ht="15" customHeight="1" thickBot="1">
      <c r="B17" s="4" t="n"/>
      <c r="C17" s="4" t="inlineStr">
        <is>
          <t>Start Date:</t>
        </is>
      </c>
      <c r="D17" s="115" t="inlineStr">
        <is>
          <t>09/01/2024</t>
        </is>
      </c>
      <c r="AD17" s="4" t="n"/>
      <c r="AE17" s="4" t="n"/>
      <c r="AF17" s="6" t="n">
        <v>2031</v>
      </c>
    </row>
    <row r="18">
      <c r="B18" s="4" t="n"/>
      <c r="C18" s="4" t="inlineStr">
        <is>
          <t>End Date:</t>
        </is>
      </c>
      <c r="D18" s="116" t="inlineStr">
        <is>
          <t>08/31/2025</t>
        </is>
      </c>
      <c r="AJ18" s="117" t="n"/>
    </row>
    <row r="19" ht="15" customHeight="1" thickBot="1">
      <c r="B19" s="4" t="n"/>
      <c r="C19" s="4" t="inlineStr">
        <is>
          <t>Total Months:</t>
        </is>
      </c>
      <c r="D19" s="9" t="n">
        <v>12</v>
      </c>
    </row>
    <row r="20" ht="15" customHeight="1" thickBot="1"/>
    <row r="21" ht="15" customHeight="1" thickBot="1">
      <c r="B21" s="10" t="n"/>
      <c r="C21" s="10" t="n"/>
      <c r="D21" s="11" t="inlineStr">
        <is>
          <t xml:space="preserve">Base Yr Claims </t>
        </is>
      </c>
      <c r="E21" s="12" t="n"/>
      <c r="F21" s="12" t="n"/>
      <c r="G21" s="13" t="n"/>
      <c r="H21" s="14" t="n"/>
      <c r="AE21" s="11" t="inlineStr">
        <is>
          <t>Forecast based on time period: 2031</t>
        </is>
      </c>
      <c r="AF21" s="12" t="n"/>
      <c r="AG21" s="12" t="n"/>
      <c r="AH21" s="12" t="n"/>
      <c r="AI21" s="12" t="n"/>
      <c r="AJ21" s="12" t="n"/>
      <c r="AK21" s="12" t="n"/>
      <c r="AL21" s="12" t="n"/>
      <c r="AM21" s="15" t="n"/>
      <c r="AN21" s="15" t="n"/>
    </row>
    <row r="22" ht="15" customHeight="1" thickBot="1">
      <c r="B22" s="10" t="n"/>
      <c r="C22" s="10" t="n"/>
      <c r="D22" s="16" t="n"/>
      <c r="E22" s="16" t="n"/>
      <c r="F22" s="16" t="n"/>
      <c r="G22" s="17" t="n"/>
      <c r="H22" s="18" t="n"/>
    </row>
    <row r="23" ht="15" customHeight="1" thickBot="1">
      <c r="B23" s="19" t="n"/>
      <c r="C23" s="10" t="n"/>
      <c r="D23" s="20" t="inlineStr">
        <is>
          <t>w Exclusions</t>
        </is>
      </c>
      <c r="E23" s="21" t="n"/>
      <c r="F23" s="21" t="n"/>
      <c r="G23" s="21" t="n"/>
      <c r="H23" s="22" t="n"/>
      <c r="AE23" s="20" t="inlineStr">
        <is>
          <t>Overall - Rebatable</t>
        </is>
      </c>
      <c r="AF23" s="21" t="n"/>
      <c r="AG23" s="21" t="n"/>
      <c r="AH23" s="23" t="n"/>
      <c r="AI23" s="23" t="n"/>
      <c r="AK23" s="24" t="inlineStr">
        <is>
          <t>Overall - Non Rebatable (Brand Only)</t>
        </is>
      </c>
      <c r="AL23" s="25" t="n"/>
      <c r="AM23" s="25" t="n"/>
      <c r="AN23" s="26" t="n"/>
    </row>
    <row r="24" ht="30.3" customHeight="1" thickBot="1">
      <c r="B24" s="27" t="inlineStr">
        <is>
          <t>Brand</t>
        </is>
      </c>
      <c r="C24" s="10" t="n"/>
      <c r="D24" s="28" t="inlineStr">
        <is>
          <t>Rx Count</t>
        </is>
      </c>
      <c r="E24" s="29" t="inlineStr">
        <is>
          <t>Quantity</t>
        </is>
      </c>
      <c r="F24" s="29" t="inlineStr">
        <is>
          <t>Days Supply</t>
        </is>
      </c>
      <c r="G24" s="29" t="inlineStr">
        <is>
          <t>Avg Qnty</t>
        </is>
      </c>
      <c r="H24" s="30" t="inlineStr">
        <is>
          <t>Avg DS</t>
        </is>
      </c>
      <c r="I24" s="31" t="n"/>
      <c r="J24" s="31" t="n"/>
      <c r="K24" s="31" t="n"/>
      <c r="L24" s="31" t="n"/>
      <c r="M24" s="31" t="n"/>
      <c r="N24" s="31" t="n"/>
      <c r="O24" s="31" t="n"/>
      <c r="P24" s="31" t="n"/>
      <c r="Q24" s="31" t="n"/>
      <c r="R24" s="31" t="n"/>
      <c r="S24" s="31" t="n"/>
      <c r="T24" s="31" t="n"/>
      <c r="U24" s="31" t="n"/>
      <c r="V24" s="31" t="n"/>
      <c r="W24" s="31" t="n"/>
      <c r="X24" s="31" t="n"/>
      <c r="Y24" s="31" t="n"/>
      <c r="Z24" s="31" t="n"/>
      <c r="AA24" s="31" t="n"/>
      <c r="AE24" s="32" t="inlineStr">
        <is>
          <t>Rank</t>
        </is>
      </c>
      <c r="AF24" s="33" t="inlineStr">
        <is>
          <t>Drug Name</t>
        </is>
      </c>
      <c r="AG24" s="33" t="inlineStr">
        <is>
          <t>Therapeutic Class</t>
        </is>
      </c>
      <c r="AH24" s="33" t="inlineStr">
        <is>
          <t>Total Rebates</t>
        </is>
      </c>
      <c r="AI24" s="34" t="inlineStr">
        <is>
          <t>Scripts</t>
        </is>
      </c>
      <c r="AK24" s="35" t="inlineStr">
        <is>
          <t>Rank</t>
        </is>
      </c>
      <c r="AL24" s="36" t="inlineStr">
        <is>
          <t>Drug Name</t>
        </is>
      </c>
      <c r="AM24" s="36" t="inlineStr">
        <is>
          <t>Therapeutic Class</t>
        </is>
      </c>
      <c r="AN24" s="37" t="inlineStr">
        <is>
          <t>Scripts</t>
        </is>
      </c>
    </row>
    <row r="25">
      <c r="B25" s="38" t="inlineStr">
        <is>
          <t>Retail 30</t>
        </is>
      </c>
      <c r="C25" s="10" t="n"/>
      <c r="D25" s="39" t="n">
        <v>141238</v>
      </c>
      <c r="E25" s="40" t="n">
        <v>3797425.715195745</v>
      </c>
      <c r="F25" s="40" t="n">
        <v>3617119</v>
      </c>
      <c r="G25" s="41" t="n">
        <v>26.88671402310812</v>
      </c>
      <c r="H25" s="42" t="n">
        <v>25.6100978490208</v>
      </c>
      <c r="I25" s="31" t="n"/>
      <c r="J25" s="31" t="n"/>
      <c r="K25" s="31" t="n"/>
      <c r="L25" s="31" t="n"/>
      <c r="M25" s="31" t="n"/>
      <c r="N25" s="31" t="n"/>
      <c r="O25" s="31" t="n"/>
      <c r="P25" s="31" t="n"/>
      <c r="Q25" s="31" t="n"/>
      <c r="R25" s="31" t="n"/>
      <c r="S25" s="31" t="n"/>
      <c r="T25" s="31" t="n"/>
      <c r="U25" s="31" t="n"/>
      <c r="V25" s="31" t="n"/>
      <c r="W25" s="31" t="n"/>
      <c r="X25" s="31" t="n"/>
      <c r="Y25" s="31" t="n"/>
      <c r="Z25" s="31" t="n"/>
      <c r="AA25" s="31" t="n"/>
      <c r="AE25" s="118" t="n">
        <v>1</v>
      </c>
      <c r="AF25" s="44" t="inlineStr">
        <is>
          <t>MOUNJARO</t>
        </is>
      </c>
      <c r="AG25" s="44" t="inlineStr">
        <is>
          <t>GLUCAGON-LIKE PEPTIDE-1 AGONISTS (GLP1)</t>
        </is>
      </c>
      <c r="AH25" s="119" t="n">
        <v>60065516.51359831</v>
      </c>
      <c r="AI25" s="46" t="n">
        <v>82393.09157415168</v>
      </c>
      <c r="AK25" s="120" t="n">
        <v>1</v>
      </c>
      <c r="AL25" s="44" t="inlineStr">
        <is>
          <t>BIKTARVY</t>
        </is>
      </c>
      <c r="AM25" s="44" t="inlineStr">
        <is>
          <t>HIV-MULTICLASS COMBO</t>
        </is>
      </c>
      <c r="AN25" s="48" t="n">
        <v>699.394695727814</v>
      </c>
    </row>
    <row r="26">
      <c r="B26" s="49" t="inlineStr">
        <is>
          <t>Retail 90</t>
        </is>
      </c>
      <c r="C26" s="10" t="n"/>
      <c r="D26" s="50" t="n">
        <v>31427</v>
      </c>
      <c r="E26" s="51" t="n">
        <v>2338263.499864668</v>
      </c>
      <c r="F26" s="51" t="n">
        <v>2793930</v>
      </c>
      <c r="G26" s="52" t="n">
        <v>74.40301332817856</v>
      </c>
      <c r="H26" s="53" t="n">
        <v>88.90221783816463</v>
      </c>
      <c r="I26" s="31" t="n"/>
      <c r="J26" s="31" t="n"/>
      <c r="K26" s="31" t="n"/>
      <c r="L26" s="31" t="n"/>
      <c r="M26" s="31" t="n"/>
      <c r="N26" s="31" t="n"/>
      <c r="O26" s="31" t="n"/>
      <c r="P26" s="31" t="n"/>
      <c r="Q26" s="31" t="n"/>
      <c r="R26" s="31" t="n"/>
      <c r="S26" s="31" t="n"/>
      <c r="T26" s="31" t="n"/>
      <c r="U26" s="31" t="n"/>
      <c r="V26" s="31" t="n"/>
      <c r="W26" s="31" t="n"/>
      <c r="X26" s="31" t="n"/>
      <c r="Y26" s="31" t="n"/>
      <c r="Z26" s="31" t="n"/>
      <c r="AA26" s="31" t="n"/>
      <c r="AE26" s="121" t="n">
        <v>2</v>
      </c>
      <c r="AF26" t="inlineStr">
        <is>
          <t>SKYRIZI PEN</t>
        </is>
      </c>
      <c r="AG26" t="inlineStr">
        <is>
          <t>IMMUNOMODULATORS</t>
        </is>
      </c>
      <c r="AH26" s="122" t="n">
        <v>26334672.11082929</v>
      </c>
      <c r="AI26" s="56" t="n">
        <v>2045.210599589361</v>
      </c>
      <c r="AK26" s="123" t="n">
        <v>2</v>
      </c>
      <c r="AL26" t="inlineStr">
        <is>
          <t>TRIKAFTA</t>
        </is>
      </c>
      <c r="AM26" t="inlineStr">
        <is>
          <t>CYSTIC FIBROSIS</t>
        </is>
      </c>
      <c r="AN26" s="58" t="n">
        <v>96.24752498419527</v>
      </c>
    </row>
    <row r="27" ht="15" customHeight="1" thickBot="1">
      <c r="B27" s="59" t="inlineStr">
        <is>
          <t>Mail</t>
        </is>
      </c>
      <c r="C27" s="10" t="n"/>
      <c r="D27" s="60" t="n">
        <v>10741</v>
      </c>
      <c r="E27" s="61" t="n">
        <v>805466.9249405116</v>
      </c>
      <c r="F27" s="61" t="n">
        <v>760053</v>
      </c>
      <c r="G27" s="62" t="n">
        <v>74.98993808216289</v>
      </c>
      <c r="H27" s="63" t="n">
        <v>70.76184712782795</v>
      </c>
      <c r="I27" s="31" t="n"/>
      <c r="J27" s="31" t="n"/>
      <c r="K27" s="31" t="n"/>
      <c r="L27" s="31" t="n"/>
      <c r="M27" s="31" t="n"/>
      <c r="N27" s="31" t="n"/>
      <c r="O27" s="31" t="n"/>
      <c r="P27" s="31" t="n"/>
      <c r="Q27" s="31" t="n"/>
      <c r="R27" s="31" t="n"/>
      <c r="S27" s="31" t="n"/>
      <c r="T27" s="31" t="n"/>
      <c r="U27" s="31" t="n"/>
      <c r="V27" s="31" t="n"/>
      <c r="W27" s="31" t="n"/>
      <c r="X27" s="31" t="n"/>
      <c r="Y27" s="31" t="n"/>
      <c r="Z27" s="31" t="n"/>
      <c r="AA27" s="31" t="n"/>
      <c r="AE27" s="121" t="n">
        <v>3</v>
      </c>
      <c r="AF27" t="inlineStr">
        <is>
          <t>SKYRIZI</t>
        </is>
      </c>
      <c r="AG27" t="inlineStr">
        <is>
          <t>IMMUNOMODULATORS</t>
        </is>
      </c>
      <c r="AH27" s="122" t="n">
        <v>16940336.67048831</v>
      </c>
      <c r="AI27" s="56" t="n">
        <v>1141.429155052513</v>
      </c>
      <c r="AK27" s="123" t="n">
        <v>3</v>
      </c>
      <c r="AL27" t="inlineStr">
        <is>
          <t>OXERVATE</t>
        </is>
      </c>
      <c r="AM27" t="inlineStr">
        <is>
          <t>OPHTHALMIC NERVE GROWTH FACTORS</t>
        </is>
      </c>
      <c r="AN27" s="58" t="n">
        <v>51.10950513227912</v>
      </c>
    </row>
    <row r="28" ht="15" customHeight="1" thickTop="1">
      <c r="B28" s="64" t="inlineStr">
        <is>
          <t>Non-Specialty</t>
        </is>
      </c>
      <c r="C28" s="10" t="n"/>
      <c r="D28" s="65" t="n">
        <v>183406</v>
      </c>
      <c r="E28" s="66" t="n">
        <v>6941156.140000924</v>
      </c>
      <c r="F28" s="66" t="n">
        <v>7171102</v>
      </c>
      <c r="G28" s="67" t="n">
        <v>37.84585095362706</v>
      </c>
      <c r="H28" s="68" t="n">
        <v>39.09960415689781</v>
      </c>
      <c r="I28" s="31" t="n"/>
      <c r="J28" s="31" t="n"/>
      <c r="K28" s="31" t="n"/>
      <c r="L28" s="31" t="n"/>
      <c r="M28" s="31" t="n"/>
      <c r="N28" s="31" t="n"/>
      <c r="O28" s="31" t="n"/>
      <c r="P28" s="31" t="n"/>
      <c r="Q28" s="31" t="n"/>
      <c r="R28" s="31" t="n"/>
      <c r="S28" s="31" t="n"/>
      <c r="T28" s="31" t="n"/>
      <c r="U28" s="31" t="n"/>
      <c r="V28" s="31" t="n"/>
      <c r="W28" s="31" t="n"/>
      <c r="X28" s="31" t="n"/>
      <c r="Y28" s="31" t="n"/>
      <c r="Z28" s="31" t="n"/>
      <c r="AA28" s="31" t="n"/>
      <c r="AE28" s="121" t="n">
        <v>4</v>
      </c>
      <c r="AF28" t="inlineStr">
        <is>
          <t>DUPIXENT</t>
        </is>
      </c>
      <c r="AG28" t="inlineStr">
        <is>
          <t>CHRONIC INFLAMMATORY DISEASE</t>
        </is>
      </c>
      <c r="AH28" s="122" t="n">
        <v>14155918.5930653</v>
      </c>
      <c r="AI28" s="56" t="n">
        <v>7591.883513651961</v>
      </c>
      <c r="AK28" s="123" t="n">
        <v>4</v>
      </c>
      <c r="AL28" t="inlineStr">
        <is>
          <t>ZILBRYSQ</t>
        </is>
      </c>
      <c r="AM28" t="inlineStr">
        <is>
          <t>COMPLEMENT INHIBITORS</t>
        </is>
      </c>
      <c r="AN28" s="58" t="n">
        <v>49.33752558701798</v>
      </c>
    </row>
    <row r="29" ht="15" customHeight="1" thickBot="1">
      <c r="B29" s="59" t="inlineStr">
        <is>
          <t>Specialty</t>
        </is>
      </c>
      <c r="C29" s="10" t="n"/>
      <c r="D29" s="60" t="n">
        <v>17682</v>
      </c>
      <c r="E29" s="61" t="n">
        <v>1276137.360008448</v>
      </c>
      <c r="F29" s="61" t="n">
        <v>729525</v>
      </c>
      <c r="G29" s="62" t="n">
        <v>72.17155073003327</v>
      </c>
      <c r="H29" s="63" t="n">
        <v>41.25805904309468</v>
      </c>
      <c r="I29" s="31" t="n"/>
      <c r="J29" s="31" t="n"/>
      <c r="K29" s="31" t="n"/>
      <c r="L29" s="31" t="n"/>
      <c r="M29" s="31" t="n"/>
      <c r="N29" s="31" t="n"/>
      <c r="O29" s="31" t="n"/>
      <c r="P29" s="31" t="n"/>
      <c r="Q29" s="31" t="n"/>
      <c r="R29" s="31" t="n"/>
      <c r="S29" s="31" t="n"/>
      <c r="T29" s="31" t="n"/>
      <c r="U29" s="31" t="n"/>
      <c r="V29" s="31" t="n"/>
      <c r="W29" s="31" t="n"/>
      <c r="X29" s="31" t="n"/>
      <c r="Y29" s="31" t="n"/>
      <c r="Z29" s="31" t="n"/>
      <c r="AA29" s="31" t="n"/>
      <c r="AE29" s="121" t="n">
        <v>5</v>
      </c>
      <c r="AF29" t="inlineStr">
        <is>
          <t>RINVOQ</t>
        </is>
      </c>
      <c r="AG29" t="inlineStr">
        <is>
          <t>IMMUNOMODULATORS</t>
        </is>
      </c>
      <c r="AH29" s="122" t="n">
        <v>12426205.5428928</v>
      </c>
      <c r="AI29" s="56" t="n">
        <v>1523.105781032218</v>
      </c>
      <c r="AK29" s="123" t="n">
        <v>5</v>
      </c>
      <c r="AL29" t="inlineStr">
        <is>
          <t>DESCOVY</t>
        </is>
      </c>
      <c r="AM29" t="inlineStr">
        <is>
          <t>HIV-MULTICLASS COMBO</t>
        </is>
      </c>
      <c r="AN29" s="58" t="n">
        <v>890.6323244200182</v>
      </c>
    </row>
    <row r="30" ht="15.6" customHeight="1" thickBot="1" thickTop="1">
      <c r="B30" s="69" t="inlineStr">
        <is>
          <t>Total</t>
        </is>
      </c>
      <c r="C30" s="10" t="n"/>
      <c r="D30" s="70" t="n">
        <v>201088</v>
      </c>
      <c r="E30" s="71" t="n">
        <v>8217293.500009373</v>
      </c>
      <c r="F30" s="71" t="n">
        <v>7900627</v>
      </c>
      <c r="G30" s="72" t="n">
        <v>40.86416643464241</v>
      </c>
      <c r="H30" s="73" t="n">
        <v>39.28940066040738</v>
      </c>
      <c r="I30" s="31" t="n"/>
      <c r="J30" s="31" t="n"/>
      <c r="K30" s="31" t="n"/>
      <c r="L30" s="31" t="n"/>
      <c r="M30" s="31" t="n"/>
      <c r="N30" s="31" t="n"/>
      <c r="O30" s="31" t="n"/>
      <c r="P30" s="31" t="n"/>
      <c r="Q30" s="31" t="n"/>
      <c r="R30" s="31" t="n"/>
      <c r="S30" s="31" t="n"/>
      <c r="T30" s="31" t="n"/>
      <c r="U30" s="31" t="n"/>
      <c r="V30" s="31" t="n"/>
      <c r="W30" s="31" t="n"/>
      <c r="X30" s="31" t="n"/>
      <c r="Y30" s="31" t="n"/>
      <c r="Z30" s="31" t="n"/>
      <c r="AA30" s="31" t="n"/>
      <c r="AE30" s="121" t="n">
        <v>6</v>
      </c>
      <c r="AF30" t="inlineStr">
        <is>
          <t>STELARA</t>
        </is>
      </c>
      <c r="AG30" t="inlineStr">
        <is>
          <t>IMMUNOMODULATORS</t>
        </is>
      </c>
      <c r="AH30" s="122" t="n">
        <v>9590718.841746144</v>
      </c>
      <c r="AI30" s="56" t="n">
        <v>528.8307919987676</v>
      </c>
      <c r="AK30" s="123" t="n">
        <v>6</v>
      </c>
      <c r="AL30" t="inlineStr">
        <is>
          <t>GONAL-F RFF REDIJECT</t>
        </is>
      </c>
      <c r="AM30" t="inlineStr">
        <is>
          <t>FERTILITY MEDICATIONS</t>
        </is>
      </c>
      <c r="AN30" s="58" t="n">
        <v>241.1822380541786</v>
      </c>
    </row>
    <row r="31">
      <c r="B31" s="10" t="n"/>
      <c r="C31" s="10" t="n"/>
      <c r="D31" s="74" t="n"/>
      <c r="E31" s="74" t="n"/>
      <c r="F31" s="74" t="n"/>
      <c r="G31" s="75" t="n"/>
      <c r="H31" s="76" t="n"/>
      <c r="I31" s="31" t="n"/>
      <c r="J31" s="31" t="n"/>
      <c r="K31" s="31" t="n"/>
      <c r="L31" s="31" t="n"/>
      <c r="M31" s="31" t="n"/>
      <c r="N31" s="31" t="n"/>
      <c r="O31" s="31" t="n"/>
      <c r="P31" s="31" t="n"/>
      <c r="Q31" s="31" t="n"/>
      <c r="R31" s="31" t="n"/>
      <c r="S31" s="31" t="n"/>
      <c r="T31" s="31" t="n"/>
      <c r="U31" s="31" t="n"/>
      <c r="V31" s="31" t="n"/>
      <c r="W31" s="31" t="n"/>
      <c r="X31" s="31" t="n"/>
      <c r="Y31" s="31" t="n"/>
      <c r="Z31" s="31" t="n"/>
      <c r="AA31" s="31" t="n"/>
      <c r="AE31" s="121" t="n">
        <v>7</v>
      </c>
      <c r="AF31" t="inlineStr">
        <is>
          <t>OZEMPIC</t>
        </is>
      </c>
      <c r="AG31" t="inlineStr">
        <is>
          <t>GLUCAGON-LIKE PEPTIDE-1 AGONISTS (GLP1)</t>
        </is>
      </c>
      <c r="AH31" s="122" t="n">
        <v>9739066.939851334</v>
      </c>
      <c r="AI31" s="56" t="n">
        <v>12591.13256646082</v>
      </c>
      <c r="AK31" s="123" t="n">
        <v>7</v>
      </c>
      <c r="AL31" t="inlineStr">
        <is>
          <t>COSENTYX SENSOREADY PEN</t>
        </is>
      </c>
      <c r="AM31" t="inlineStr">
        <is>
          <t>IMMUNOMODULATORS</t>
        </is>
      </c>
      <c r="AN31" s="58" t="n">
        <v>216.8091533357203</v>
      </c>
      <c r="AW31" s="77" t="n"/>
      <c r="AX31" s="78" t="n"/>
      <c r="AY31" s="78" t="n"/>
      <c r="AZ31" s="78" t="n"/>
    </row>
    <row r="32" ht="15" customHeight="1" thickBot="1">
      <c r="B32" s="27" t="inlineStr">
        <is>
          <t>Generic</t>
        </is>
      </c>
      <c r="C32" s="10" t="n"/>
      <c r="D32" s="79" t="n"/>
      <c r="E32" s="79" t="n"/>
      <c r="F32" s="79" t="n"/>
      <c r="G32" s="79" t="n"/>
      <c r="H32" s="80" t="n"/>
      <c r="I32" s="31" t="n"/>
      <c r="J32" s="31" t="n"/>
      <c r="K32" s="31" t="n"/>
      <c r="L32" s="31" t="n"/>
      <c r="M32" s="31" t="n"/>
      <c r="N32" s="31" t="n"/>
      <c r="O32" s="31" t="n"/>
      <c r="P32" s="31" t="n"/>
      <c r="Q32" s="31" t="n"/>
      <c r="R32" s="31" t="n"/>
      <c r="S32" s="31" t="n"/>
      <c r="T32" s="31" t="n"/>
      <c r="U32" s="31" t="n"/>
      <c r="V32" s="31" t="n"/>
      <c r="W32" s="31" t="n"/>
      <c r="X32" s="31" t="n"/>
      <c r="Y32" s="31" t="n"/>
      <c r="Z32" s="31" t="n"/>
      <c r="AA32" s="31" t="n"/>
      <c r="AE32" s="121" t="n">
        <v>8</v>
      </c>
      <c r="AF32" t="inlineStr">
        <is>
          <t>HUMIRA PEN</t>
        </is>
      </c>
      <c r="AG32" t="inlineStr">
        <is>
          <t>IMMUNOMODULATORS</t>
        </is>
      </c>
      <c r="AH32" s="122" t="n">
        <v>8289430.704284332</v>
      </c>
      <c r="AI32" s="56" t="n">
        <v>711.2257940113577</v>
      </c>
      <c r="AK32" s="123" t="n">
        <v>8</v>
      </c>
      <c r="AL32" t="inlineStr">
        <is>
          <t>COSENTYX UNOREADY</t>
        </is>
      </c>
      <c r="AM32" t="inlineStr">
        <is>
          <t>IMMUNOMODULATORS</t>
        </is>
      </c>
      <c r="AN32" s="58" t="n">
        <v>169.7764798607757</v>
      </c>
    </row>
    <row r="33">
      <c r="B33" s="38" t="inlineStr">
        <is>
          <t>Retail 30</t>
        </is>
      </c>
      <c r="C33" s="10" t="n"/>
      <c r="D33" s="39" t="n">
        <v>1070496</v>
      </c>
      <c r="E33" s="40" t="n">
        <v>47379914.577124</v>
      </c>
      <c r="F33" s="40" t="n">
        <v>25884807</v>
      </c>
      <c r="G33" s="41" t="n">
        <v>44.25977731549114</v>
      </c>
      <c r="H33" s="42" t="n">
        <v>24.18019964577168</v>
      </c>
      <c r="I33" s="31" t="n"/>
      <c r="J33" s="31" t="n"/>
      <c r="K33" s="31" t="n"/>
      <c r="L33" s="31" t="n"/>
      <c r="M33" s="31" t="n"/>
      <c r="N33" s="31" t="n"/>
      <c r="O33" s="31" t="n"/>
      <c r="P33" s="31" t="n"/>
      <c r="Q33" s="31" t="n"/>
      <c r="R33" s="31" t="n"/>
      <c r="S33" s="31" t="n"/>
      <c r="T33" s="31" t="n"/>
      <c r="U33" s="31" t="n"/>
      <c r="V33" s="31" t="n"/>
      <c r="W33" s="31" t="n"/>
      <c r="X33" s="31" t="n"/>
      <c r="Y33" s="31" t="n"/>
      <c r="Z33" s="31" t="n"/>
      <c r="AA33" s="31" t="n"/>
      <c r="AE33" s="121" t="n">
        <v>9</v>
      </c>
      <c r="AF33" t="inlineStr">
        <is>
          <t>JARDIANCE</t>
        </is>
      </c>
      <c r="AG33" t="inlineStr">
        <is>
          <t>SGLT-2 INHIBITORS &amp; COMBOS</t>
        </is>
      </c>
      <c r="AH33" s="122" t="n">
        <v>5239317.575090829</v>
      </c>
      <c r="AI33" s="56" t="n">
        <v>19785.76768345445</v>
      </c>
      <c r="AK33" s="123" t="n">
        <v>9</v>
      </c>
      <c r="AL33" t="inlineStr">
        <is>
          <t>HEMLIBRA</t>
        </is>
      </c>
      <c r="AM33" t="inlineStr">
        <is>
          <t>ANTIHEMOPHILIC PRODUCTS</t>
        </is>
      </c>
      <c r="AN33" s="58" t="n">
        <v>35.21882623255919</v>
      </c>
    </row>
    <row r="34">
      <c r="B34" s="49" t="inlineStr">
        <is>
          <t>Retail 90</t>
        </is>
      </c>
      <c r="C34" s="10" t="n"/>
      <c r="D34" s="50" t="n">
        <v>247394</v>
      </c>
      <c r="E34" s="51" t="n">
        <v>26440402.58003044</v>
      </c>
      <c r="F34" s="51" t="n">
        <v>22189170</v>
      </c>
      <c r="G34" s="52" t="n">
        <v>106.8756824338118</v>
      </c>
      <c r="H34" s="53" t="n">
        <v>89.69162550425636</v>
      </c>
      <c r="I34" s="31" t="n"/>
      <c r="J34" s="31" t="n"/>
      <c r="K34" s="31" t="n"/>
      <c r="L34" s="31" t="n"/>
      <c r="M34" s="31" t="n"/>
      <c r="N34" s="31" t="n"/>
      <c r="O34" s="31" t="n"/>
      <c r="P34" s="31" t="n"/>
      <c r="Q34" s="31" t="n"/>
      <c r="R34" s="31" t="n"/>
      <c r="S34" s="31" t="n"/>
      <c r="T34" s="31" t="n"/>
      <c r="U34" s="31" t="n"/>
      <c r="V34" s="31" t="n"/>
      <c r="W34" s="31" t="n"/>
      <c r="X34" s="31" t="n"/>
      <c r="Y34" s="31" t="n"/>
      <c r="Z34" s="31" t="n"/>
      <c r="AA34" s="31" t="n"/>
      <c r="AE34" s="121" t="n">
        <v>10</v>
      </c>
      <c r="AF34" t="inlineStr">
        <is>
          <t>OMNIPOD 5 DEXCOM G7G6 PODS (GEN 5)</t>
        </is>
      </c>
      <c r="AG34" t="inlineStr">
        <is>
          <t>INSULIN ADMINISTRATION SUPPLIES</t>
        </is>
      </c>
      <c r="AH34" s="122" t="n">
        <v>4545155.302276412</v>
      </c>
      <c r="AI34" s="56" t="n">
        <v>15780.30830548479</v>
      </c>
      <c r="AK34" s="123" t="n">
        <v>10</v>
      </c>
      <c r="AL34" t="inlineStr">
        <is>
          <t>OTEZLA</t>
        </is>
      </c>
      <c r="AM34" t="inlineStr">
        <is>
          <t>IMMUNOMODULATORS</t>
        </is>
      </c>
      <c r="AN34" s="58" t="n">
        <v>194.1508761045714</v>
      </c>
    </row>
    <row r="35" ht="15" customHeight="1" thickBot="1">
      <c r="B35" s="59" t="inlineStr">
        <is>
          <t>Mail</t>
        </is>
      </c>
      <c r="C35" s="10" t="n"/>
      <c r="D35" s="60" t="n">
        <v>55194</v>
      </c>
      <c r="E35" s="61" t="n">
        <v>5556804.190032244</v>
      </c>
      <c r="F35" s="61" t="n">
        <v>4384361</v>
      </c>
      <c r="G35" s="62" t="n">
        <v>100.6776857997653</v>
      </c>
      <c r="H35" s="63" t="n">
        <v>79.43546399971011</v>
      </c>
      <c r="I35" s="31" t="n"/>
      <c r="J35" s="31" t="n"/>
      <c r="K35" s="31" t="n"/>
      <c r="L35" s="31" t="n"/>
      <c r="M35" s="31" t="n"/>
      <c r="N35" s="31" t="n"/>
      <c r="O35" s="31" t="n"/>
      <c r="P35" s="31" t="n"/>
      <c r="Q35" s="31" t="n"/>
      <c r="R35" s="31" t="n"/>
      <c r="S35" s="31" t="n"/>
      <c r="T35" s="31" t="n"/>
      <c r="U35" s="31" t="n"/>
      <c r="V35" s="31" t="n"/>
      <c r="W35" s="31" t="n"/>
      <c r="X35" s="31" t="n"/>
      <c r="Y35" s="31" t="n"/>
      <c r="Z35" s="31" t="n"/>
      <c r="AA35" s="31" t="n"/>
      <c r="AE35" s="121" t="n">
        <v>11</v>
      </c>
      <c r="AF35" t="inlineStr">
        <is>
          <t>NURTEC</t>
        </is>
      </c>
      <c r="AG35" t="inlineStr">
        <is>
          <t>MIGRAINE PRODUCTS</t>
        </is>
      </c>
      <c r="AH35" s="122" t="n">
        <v>4028720.346321596</v>
      </c>
      <c r="AI35" s="56" t="n">
        <v>3983.989218534894</v>
      </c>
      <c r="AK35" s="123" t="n">
        <v>11</v>
      </c>
      <c r="AL35" t="inlineStr">
        <is>
          <t>FREESTYLE LIBRE 3 PLUS/SENSOR/GLUCOSE MONITORING SYSTEM</t>
        </is>
      </c>
      <c r="AM35" t="inlineStr">
        <is>
          <t>DIABETES MONITORING AND TESTING SUPPLIES</t>
        </is>
      </c>
      <c r="AN35" s="58" t="n">
        <v>4535.139555103918</v>
      </c>
    </row>
    <row r="36" ht="15" customHeight="1" thickTop="1">
      <c r="B36" s="64" t="inlineStr">
        <is>
          <t>Non-Specialty</t>
        </is>
      </c>
      <c r="C36" s="10" t="n"/>
      <c r="D36" s="65" t="n">
        <v>1373084</v>
      </c>
      <c r="E36" s="66" t="n">
        <v>79377121.34718668</v>
      </c>
      <c r="F36" s="66" t="n">
        <v>52458338</v>
      </c>
      <c r="G36" s="67" t="n">
        <v>57.80937025497835</v>
      </c>
      <c r="H36" s="68" t="n">
        <v>38.20475513515561</v>
      </c>
      <c r="I36" s="31" t="n"/>
      <c r="J36" s="31" t="n"/>
      <c r="K36" s="31" t="n"/>
      <c r="L36" s="31" t="n"/>
      <c r="M36" s="31" t="n"/>
      <c r="N36" s="31" t="n"/>
      <c r="O36" s="31" t="n"/>
      <c r="P36" s="31" t="n"/>
      <c r="Q36" s="31" t="n"/>
      <c r="R36" s="31" t="n"/>
      <c r="S36" s="31" t="n"/>
      <c r="T36" s="31" t="n"/>
      <c r="U36" s="31" t="n"/>
      <c r="V36" s="31" t="n"/>
      <c r="W36" s="31" t="n"/>
      <c r="X36" s="31" t="n"/>
      <c r="Y36" s="31" t="n"/>
      <c r="Z36" s="31" t="n"/>
      <c r="AA36" s="31" t="n"/>
      <c r="AE36" s="121" t="n">
        <v>12</v>
      </c>
      <c r="AF36" t="inlineStr">
        <is>
          <t>TALTZ</t>
        </is>
      </c>
      <c r="AG36" t="inlineStr">
        <is>
          <t>IMMUNOMODULATORS</t>
        </is>
      </c>
      <c r="AH36" s="122" t="n">
        <v>3881380.31980372</v>
      </c>
      <c r="AI36" s="56" t="n">
        <v>520.8008233567039</v>
      </c>
      <c r="AK36" s="123" t="n">
        <v>12</v>
      </c>
      <c r="AL36" t="inlineStr">
        <is>
          <t>EVRYSDI</t>
        </is>
      </c>
      <c r="AM36" t="inlineStr">
        <is>
          <t>SPINAL MUSCULAR ATROPHY (SMA) AGENT</t>
        </is>
      </c>
      <c r="AN36" s="58" t="n">
        <v>52.75819884622361</v>
      </c>
    </row>
    <row r="37" ht="15" customHeight="1" thickBot="1">
      <c r="B37" s="59" t="inlineStr">
        <is>
          <t>Specialty</t>
        </is>
      </c>
      <c r="C37" s="10" t="n"/>
      <c r="D37" s="60" t="n">
        <v>2510</v>
      </c>
      <c r="E37" s="61" t="n">
        <v>94070.66000258923</v>
      </c>
      <c r="F37" s="61" t="n">
        <v>107685</v>
      </c>
      <c r="G37" s="62" t="n">
        <v>37.47835059864113</v>
      </c>
      <c r="H37" s="63" t="n">
        <v>42.90239043824701</v>
      </c>
      <c r="I37" s="31" t="n"/>
      <c r="J37" s="31" t="n"/>
      <c r="K37" s="31" t="n"/>
      <c r="L37" s="31" t="n"/>
      <c r="M37" s="31" t="n"/>
      <c r="N37" s="31" t="n"/>
      <c r="O37" s="31" t="n"/>
      <c r="P37" s="31" t="n"/>
      <c r="Q37" s="31" t="n"/>
      <c r="R37" s="31" t="n"/>
      <c r="S37" s="31" t="n"/>
      <c r="T37" s="31" t="n"/>
      <c r="U37" s="31" t="n"/>
      <c r="V37" s="31" t="n"/>
      <c r="W37" s="31" t="n"/>
      <c r="X37" s="31" t="n"/>
      <c r="Y37" s="31" t="n"/>
      <c r="Z37" s="31" t="n"/>
      <c r="AA37" s="31" t="n"/>
      <c r="AE37" s="121" t="n">
        <v>13</v>
      </c>
      <c r="AF37" t="inlineStr">
        <is>
          <t>TREMFYA</t>
        </is>
      </c>
      <c r="AG37" t="inlineStr">
        <is>
          <t>IMMUNOMODULATORS</t>
        </is>
      </c>
      <c r="AH37" s="122" t="n">
        <v>3245024.412646579</v>
      </c>
      <c r="AI37" s="56" t="n">
        <v>370.5256959123686</v>
      </c>
      <c r="AK37" s="123" t="n">
        <v>13</v>
      </c>
      <c r="AL37" t="inlineStr">
        <is>
          <t>SPRAVATO 84MG DOSE</t>
        </is>
      </c>
      <c r="AM37" t="inlineStr">
        <is>
          <t>ANTIDEPRESSANTS</t>
        </is>
      </c>
      <c r="AN37" s="58" t="n">
        <v>891.9432992439678</v>
      </c>
    </row>
    <row r="38" ht="15.6" customHeight="1" thickBot="1" thickTop="1">
      <c r="B38" s="69" t="inlineStr">
        <is>
          <t>Total</t>
        </is>
      </c>
      <c r="C38" s="10" t="n"/>
      <c r="D38" s="70" t="n">
        <v>1375594</v>
      </c>
      <c r="E38" s="71" t="n">
        <v>79471192.00718927</v>
      </c>
      <c r="F38" s="71" t="n">
        <v>52566023</v>
      </c>
      <c r="G38" s="72" t="n">
        <v>57.77227292877787</v>
      </c>
      <c r="H38" s="73" t="n">
        <v>38.21332675193408</v>
      </c>
      <c r="I38" s="31" t="n"/>
      <c r="J38" s="31" t="n"/>
      <c r="K38" s="31" t="n"/>
      <c r="L38" s="31" t="n"/>
      <c r="M38" s="31" t="n"/>
      <c r="N38" s="31" t="n"/>
      <c r="O38" s="31" t="n"/>
      <c r="P38" s="31" t="n"/>
      <c r="Q38" s="31" t="n"/>
      <c r="R38" s="31" t="n"/>
      <c r="S38" s="31" t="n"/>
      <c r="T38" s="31" t="n"/>
      <c r="U38" s="31" t="n"/>
      <c r="V38" s="31" t="n"/>
      <c r="W38" s="31" t="n"/>
      <c r="X38" s="31" t="n"/>
      <c r="Y38" s="31" t="n"/>
      <c r="Z38" s="31" t="n"/>
      <c r="AA38" s="31" t="n"/>
      <c r="AE38" s="121" t="n">
        <v>14</v>
      </c>
      <c r="AF38" t="inlineStr">
        <is>
          <t>DEXCOM G7 SENSOR</t>
        </is>
      </c>
      <c r="AG38" t="inlineStr">
        <is>
          <t>DIABETES MONITORING AND TESTING SUPPLIES</t>
        </is>
      </c>
      <c r="AH38" s="122" t="n">
        <v>3081581.321166374</v>
      </c>
      <c r="AI38" s="56" t="n">
        <v>6912.032292382333</v>
      </c>
      <c r="AK38" s="123" t="n">
        <v>14</v>
      </c>
      <c r="AL38" t="inlineStr">
        <is>
          <t>GENOTROPIN</t>
        </is>
      </c>
      <c r="AM38" t="inlineStr">
        <is>
          <t>GROWTH HORMONES</t>
        </is>
      </c>
      <c r="AN38" s="58" t="n">
        <v>180.8843450063813</v>
      </c>
    </row>
    <row r="39">
      <c r="B39" s="10" t="n"/>
      <c r="C39" s="10" t="n"/>
      <c r="D39" s="74" t="n"/>
      <c r="E39" s="74" t="n"/>
      <c r="F39" s="74" t="n"/>
      <c r="G39" s="75" t="n"/>
      <c r="H39" s="76" t="n"/>
      <c r="I39" s="31" t="n"/>
      <c r="J39" s="31" t="n"/>
      <c r="K39" s="31" t="n"/>
      <c r="L39" s="31" t="n"/>
      <c r="M39" s="31" t="n"/>
      <c r="N39" s="31" t="n"/>
      <c r="O39" s="31" t="n"/>
      <c r="P39" s="31" t="n"/>
      <c r="Q39" s="31" t="n"/>
      <c r="R39" s="31" t="n"/>
      <c r="S39" s="31" t="n"/>
      <c r="T39" s="31" t="n"/>
      <c r="U39" s="31" t="n"/>
      <c r="V39" s="31" t="n"/>
      <c r="W39" s="31" t="n"/>
      <c r="X39" s="31" t="n"/>
      <c r="Y39" s="31" t="n"/>
      <c r="Z39" s="31" t="n"/>
      <c r="AA39" s="31" t="n"/>
      <c r="AE39" s="121" t="n">
        <v>15</v>
      </c>
      <c r="AF39" t="inlineStr">
        <is>
          <t>QULIPTA</t>
        </is>
      </c>
      <c r="AG39" t="inlineStr">
        <is>
          <t>MIGRAINE PRODUCTS</t>
        </is>
      </c>
      <c r="AH39" s="122" t="n">
        <v>2900002.546912395</v>
      </c>
      <c r="AI39" s="56" t="n">
        <v>2764.898270390802</v>
      </c>
      <c r="AK39" s="123" t="n">
        <v>15</v>
      </c>
      <c r="AL39" t="inlineStr">
        <is>
          <t>BENLYSTA</t>
        </is>
      </c>
      <c r="AM39" t="inlineStr">
        <is>
          <t>LUPUS AGENT</t>
        </is>
      </c>
      <c r="AN39" s="58" t="n">
        <v>163.2206776805043</v>
      </c>
    </row>
    <row r="40" ht="15" customHeight="1" thickBot="1">
      <c r="B40" s="27" t="inlineStr">
        <is>
          <t>Total</t>
        </is>
      </c>
      <c r="C40" s="10" t="n"/>
      <c r="D40" s="79" t="n"/>
      <c r="E40" s="79" t="n"/>
      <c r="F40" s="79" t="n"/>
      <c r="G40" s="79" t="n"/>
      <c r="H40" s="80" t="n"/>
      <c r="I40" s="31" t="n"/>
      <c r="J40" s="31" t="n"/>
      <c r="K40" s="31" t="n"/>
      <c r="L40" s="31" t="n"/>
      <c r="M40" s="31" t="n"/>
      <c r="N40" s="31" t="n"/>
      <c r="O40" s="31" t="n"/>
      <c r="P40" s="31" t="n"/>
      <c r="Q40" s="31" t="n"/>
      <c r="R40" s="31" t="n"/>
      <c r="S40" s="31" t="n"/>
      <c r="T40" s="31" t="n"/>
      <c r="U40" s="31" t="n"/>
      <c r="V40" s="31" t="n"/>
      <c r="W40" s="31" t="n"/>
      <c r="X40" s="31" t="n"/>
      <c r="Y40" s="31" t="n"/>
      <c r="Z40" s="31" t="n"/>
      <c r="AA40" s="31" t="n"/>
      <c r="AE40" s="121" t="n">
        <v>16</v>
      </c>
      <c r="AF40" t="inlineStr">
        <is>
          <t>XYWAV</t>
        </is>
      </c>
      <c r="AG40" t="inlineStr">
        <is>
          <t>NARCOLEPSY</t>
        </is>
      </c>
      <c r="AH40" s="122" t="n">
        <v>2681932.093034679</v>
      </c>
      <c r="AI40" s="56" t="n">
        <v>413.2284253786525</v>
      </c>
      <c r="AK40" s="123" t="n">
        <v>16</v>
      </c>
      <c r="AL40" t="inlineStr">
        <is>
          <t>PALYNZIQ</t>
        </is>
      </c>
      <c r="AM40" t="inlineStr">
        <is>
          <t>METABOLIC MODIFIERS</t>
        </is>
      </c>
      <c r="AN40" s="58" t="n">
        <v>67.66793419278865</v>
      </c>
    </row>
    <row r="41">
      <c r="B41" s="38" t="inlineStr">
        <is>
          <t>Retail 30</t>
        </is>
      </c>
      <c r="C41" s="10" t="n"/>
      <c r="D41" s="39" t="n">
        <v>1211734</v>
      </c>
      <c r="E41" s="40" t="n">
        <v>51177340.29231974</v>
      </c>
      <c r="F41" s="40" t="n">
        <v>29501926</v>
      </c>
      <c r="G41" s="41" t="n">
        <v>42.23479764727221</v>
      </c>
      <c r="H41" s="42" t="n">
        <v>24.34686655652148</v>
      </c>
      <c r="I41" s="31" t="n"/>
      <c r="J41" s="31" t="n"/>
      <c r="K41" s="31" t="n"/>
      <c r="L41" s="31" t="n"/>
      <c r="M41" s="31" t="n"/>
      <c r="N41" s="31" t="n"/>
      <c r="O41" s="31" t="n"/>
      <c r="P41" s="31" t="n"/>
      <c r="Q41" s="31" t="n"/>
      <c r="R41" s="31" t="n"/>
      <c r="S41" s="31" t="n"/>
      <c r="T41" s="31" t="n"/>
      <c r="U41" s="31" t="n"/>
      <c r="V41" s="31" t="n"/>
      <c r="W41" s="31" t="n"/>
      <c r="X41" s="31" t="n"/>
      <c r="Y41" s="31" t="n"/>
      <c r="Z41" s="31" t="n"/>
      <c r="AA41" s="31" t="n"/>
      <c r="AE41" s="121" t="n">
        <v>17</v>
      </c>
      <c r="AF41" t="inlineStr">
        <is>
          <t>REPATHA SURECLICK</t>
        </is>
      </c>
      <c r="AG41" t="inlineStr">
        <is>
          <t>PCSK9 INHIBITORS</t>
        </is>
      </c>
      <c r="AH41" s="122" t="n">
        <v>2167308.243967474</v>
      </c>
      <c r="AI41" s="56" t="n">
        <v>5497.125534482999</v>
      </c>
      <c r="AK41" s="123" t="n">
        <v>17</v>
      </c>
      <c r="AL41" t="inlineStr">
        <is>
          <t>WAKIX</t>
        </is>
      </c>
      <c r="AM41" t="inlineStr">
        <is>
          <t>NARCOLEPSY</t>
        </is>
      </c>
      <c r="AN41" s="58" t="n">
        <v>62.32744823291785</v>
      </c>
    </row>
    <row r="42">
      <c r="B42" s="49" t="inlineStr">
        <is>
          <t>Retail 90</t>
        </is>
      </c>
      <c r="C42" s="10" t="n"/>
      <c r="D42" s="50" t="n">
        <v>278821</v>
      </c>
      <c r="E42" s="51" t="n">
        <v>28778666.07989511</v>
      </c>
      <c r="F42" s="51" t="n">
        <v>24983100</v>
      </c>
      <c r="G42" s="52" t="n">
        <v>103.21556152476</v>
      </c>
      <c r="H42" s="53" t="n">
        <v>89.6026482940668</v>
      </c>
      <c r="I42" s="31" t="n"/>
      <c r="J42" s="31" t="n"/>
      <c r="K42" s="31" t="n"/>
      <c r="L42" s="31" t="n"/>
      <c r="M42" s="31" t="n"/>
      <c r="N42" s="31" t="n"/>
      <c r="O42" s="31" t="n"/>
      <c r="P42" s="31" t="n"/>
      <c r="Q42" s="31" t="n"/>
      <c r="R42" s="31" t="n"/>
      <c r="S42" s="31" t="n"/>
      <c r="T42" s="31" t="n"/>
      <c r="U42" s="31" t="n"/>
      <c r="V42" s="31" t="n"/>
      <c r="W42" s="31" t="n"/>
      <c r="X42" s="31" t="n"/>
      <c r="Y42" s="31" t="n"/>
      <c r="Z42" s="31" t="n"/>
      <c r="AA42" s="31" t="n"/>
      <c r="AE42" s="121" t="n">
        <v>18</v>
      </c>
      <c r="AF42" t="inlineStr">
        <is>
          <t>ENBREL SURECLICK</t>
        </is>
      </c>
      <c r="AG42" t="inlineStr">
        <is>
          <t>IMMUNOMODULATORS</t>
        </is>
      </c>
      <c r="AH42" s="122" t="n">
        <v>2113866.143941938</v>
      </c>
      <c r="AI42" s="56" t="n">
        <v>412.9698158775626</v>
      </c>
      <c r="AK42" s="123" t="n">
        <v>18</v>
      </c>
      <c r="AL42" t="inlineStr">
        <is>
          <t>VENCLEXTA</t>
        </is>
      </c>
      <c r="AM42" t="inlineStr">
        <is>
          <t>ONCOLOGY</t>
        </is>
      </c>
      <c r="AN42" s="58" t="n">
        <v>79.11700145110025</v>
      </c>
    </row>
    <row r="43" ht="15" customHeight="1" thickBot="1">
      <c r="B43" s="59" t="inlineStr">
        <is>
          <t>Mail</t>
        </is>
      </c>
      <c r="C43" s="10" t="n"/>
      <c r="D43" s="60" t="n">
        <v>65935</v>
      </c>
      <c r="E43" s="61" t="n">
        <v>6362271.114972755</v>
      </c>
      <c r="F43" s="61" t="n">
        <v>5144414</v>
      </c>
      <c r="G43" s="62" t="n">
        <v>96.49307825847812</v>
      </c>
      <c r="H43" s="63" t="n">
        <v>78.02250701448396</v>
      </c>
      <c r="I43" s="31" t="n"/>
      <c r="J43" s="31" t="n"/>
      <c r="K43" s="31" t="n"/>
      <c r="L43" s="31" t="n"/>
      <c r="M43" s="31" t="n"/>
      <c r="N43" s="31" t="n"/>
      <c r="O43" s="31" t="n"/>
      <c r="P43" s="31" t="n"/>
      <c r="Q43" s="31" t="n"/>
      <c r="R43" s="31" t="n"/>
      <c r="S43" s="31" t="n"/>
      <c r="T43" s="31" t="n"/>
      <c r="U43" s="31" t="n"/>
      <c r="V43" s="31" t="n"/>
      <c r="W43" s="31" t="n"/>
      <c r="X43" s="31" t="n"/>
      <c r="Y43" s="31" t="n"/>
      <c r="Z43" s="31" t="n"/>
      <c r="AA43" s="31" t="n"/>
      <c r="AE43" s="121" t="n">
        <v>19</v>
      </c>
      <c r="AF43" t="inlineStr">
        <is>
          <t>UBRELVY</t>
        </is>
      </c>
      <c r="AG43" t="inlineStr">
        <is>
          <t>MIGRAINE PRODUCTS</t>
        </is>
      </c>
      <c r="AH43" s="122" t="n">
        <v>1958484.797324675</v>
      </c>
      <c r="AI43" s="56" t="n">
        <v>2955.076458301281</v>
      </c>
      <c r="AK43" s="123" t="n">
        <v>19</v>
      </c>
      <c r="AL43" t="inlineStr">
        <is>
          <t>LUPKYNIS</t>
        </is>
      </c>
      <c r="AM43" t="inlineStr">
        <is>
          <t>CYCLOSPORINE ANALOG</t>
        </is>
      </c>
      <c r="AN43" s="58" t="n">
        <v>52.75819884622361</v>
      </c>
    </row>
    <row r="44" ht="15.6" customHeight="1" thickBot="1" thickTop="1">
      <c r="B44" s="64" t="inlineStr">
        <is>
          <t>Non-Specialty</t>
        </is>
      </c>
      <c r="C44" s="10" t="n"/>
      <c r="D44" s="65" t="n">
        <v>1556490</v>
      </c>
      <c r="E44" s="66" t="n">
        <v>86318277.48718761</v>
      </c>
      <c r="F44" s="66" t="n">
        <v>59629440</v>
      </c>
      <c r="G44" s="67" t="n">
        <v>55.45700742516021</v>
      </c>
      <c r="H44" s="68" t="n">
        <v>38.3101979453771</v>
      </c>
      <c r="I44" s="31" t="n"/>
      <c r="J44" s="31" t="n"/>
      <c r="K44" s="31" t="n"/>
      <c r="L44" s="31" t="n"/>
      <c r="M44" s="31" t="n"/>
      <c r="N44" s="31" t="n"/>
      <c r="O44" s="31" t="n"/>
      <c r="P44" s="31" t="n"/>
      <c r="Q44" s="31" t="n"/>
      <c r="R44" s="31" t="n"/>
      <c r="S44" s="31" t="n"/>
      <c r="T44" s="31" t="n"/>
      <c r="U44" s="31" t="n"/>
      <c r="V44" s="31" t="n"/>
      <c r="W44" s="31" t="n"/>
      <c r="X44" s="31" t="n"/>
      <c r="Y44" s="31" t="n"/>
      <c r="Z44" s="31" t="n"/>
      <c r="AA44" s="31" t="n"/>
      <c r="AE44" s="124" t="n">
        <v>20</v>
      </c>
      <c r="AF44" s="82" t="inlineStr">
        <is>
          <t>TRULICITY</t>
        </is>
      </c>
      <c r="AG44" s="82" t="inlineStr">
        <is>
          <t>GLUCAGON-LIKE PEPTIDE-1 AGONISTS (GLP1)</t>
        </is>
      </c>
      <c r="AH44" s="125" t="n">
        <v>1477731.710386777</v>
      </c>
      <c r="AI44" s="84" t="n">
        <v>1964.64427492442</v>
      </c>
      <c r="AK44" s="126" t="n">
        <v>20</v>
      </c>
      <c r="AL44" s="86" t="inlineStr">
        <is>
          <t>ARCALYST</t>
        </is>
      </c>
      <c r="AM44" s="86" t="inlineStr">
        <is>
          <t>CHRONIC INFLAMMATORY DISEASE</t>
        </is>
      </c>
      <c r="AN44" s="87" t="n">
        <v>34.41415132313021</v>
      </c>
    </row>
    <row r="45" ht="15" customHeight="1" thickBot="1">
      <c r="B45" s="59" t="inlineStr">
        <is>
          <t>Specialty</t>
        </is>
      </c>
      <c r="C45" s="10" t="n"/>
      <c r="D45" s="60" t="n">
        <v>20192</v>
      </c>
      <c r="E45" s="61" t="n">
        <v>1370208.020011038</v>
      </c>
      <c r="F45" s="61" t="n">
        <v>837210</v>
      </c>
      <c r="G45" s="62" t="n">
        <v>67.85895503224235</v>
      </c>
      <c r="H45" s="63" t="n">
        <v>41.46246038034865</v>
      </c>
      <c r="I45" s="31" t="n"/>
      <c r="J45" s="31" t="n"/>
      <c r="K45" s="31" t="n"/>
      <c r="L45" s="31" t="n"/>
      <c r="M45" s="31" t="n"/>
      <c r="N45" s="31" t="n"/>
      <c r="O45" s="31" t="n"/>
      <c r="P45" s="31" t="n"/>
      <c r="Q45" s="31" t="n"/>
      <c r="R45" s="31" t="n"/>
      <c r="S45" s="31" t="n"/>
      <c r="T45" s="31" t="n"/>
      <c r="U45" s="31" t="n"/>
      <c r="V45" s="31" t="n"/>
      <c r="W45" s="31" t="n"/>
      <c r="X45" s="31" t="n"/>
      <c r="Y45" s="31" t="n"/>
      <c r="Z45" s="31" t="n"/>
      <c r="AA45" s="31" t="n"/>
    </row>
    <row r="46" ht="15.6" customHeight="1" thickBot="1" thickTop="1">
      <c r="B46" s="69" t="inlineStr">
        <is>
          <t>Total</t>
        </is>
      </c>
      <c r="C46" s="10" t="n"/>
      <c r="D46" s="70" t="n">
        <v>1576682</v>
      </c>
      <c r="E46" s="71" t="n">
        <v>87688485.50719865</v>
      </c>
      <c r="F46" s="71" t="n">
        <v>60466650</v>
      </c>
      <c r="G46" s="72" t="n">
        <v>55.61583471314992</v>
      </c>
      <c r="H46" s="73" t="n">
        <v>38.35056783802948</v>
      </c>
      <c r="I46" s="31" t="n"/>
      <c r="J46" s="31" t="n"/>
      <c r="K46" s="31" t="n"/>
      <c r="L46" s="31" t="n"/>
      <c r="M46" s="31" t="n"/>
      <c r="N46" s="31" t="n"/>
      <c r="O46" s="31" t="n"/>
      <c r="P46" s="31" t="n"/>
      <c r="Q46" s="31" t="n"/>
      <c r="R46" s="31" t="n"/>
      <c r="S46" s="31" t="n"/>
      <c r="T46" s="31" t="n"/>
      <c r="U46" s="31" t="n"/>
      <c r="V46" s="31" t="n"/>
      <c r="W46" s="31" t="n"/>
      <c r="X46" s="31" t="n"/>
      <c r="Y46" s="31" t="n"/>
      <c r="Z46" s="31" t="n"/>
      <c r="AA46" s="31" t="n"/>
    </row>
    <row r="47" ht="15" customHeight="1" thickBot="1">
      <c r="AE47" s="20" t="inlineStr">
        <is>
          <t>Overall - Brand Only</t>
        </is>
      </c>
      <c r="AF47" s="21" t="n"/>
      <c r="AG47" s="23" t="n"/>
      <c r="AH47" s="23" t="n"/>
    </row>
    <row r="48" ht="34.95" customHeight="1" thickBot="1">
      <c r="B48" s="88" t="n"/>
      <c r="C48" s="88" t="n"/>
      <c r="D48" s="88" t="n"/>
      <c r="E48" s="88" t="n"/>
      <c r="F48" s="88" t="n"/>
      <c r="G48" s="88" t="n"/>
      <c r="H48" s="88" t="n"/>
      <c r="I48" s="88" t="n"/>
      <c r="J48" s="88" t="n"/>
      <c r="K48" s="88" t="n"/>
      <c r="L48" s="88" t="n"/>
      <c r="M48" s="88" t="n"/>
      <c r="N48" s="88" t="n"/>
      <c r="O48" s="88" t="n"/>
      <c r="P48" s="88" t="n"/>
      <c r="Q48" s="88" t="n"/>
      <c r="R48" s="88" t="n"/>
      <c r="S48" s="88" t="n"/>
      <c r="T48" s="88" t="n"/>
      <c r="U48" s="88" t="n"/>
      <c r="V48" s="88" t="n"/>
      <c r="W48" s="88" t="n"/>
      <c r="X48" s="88" t="n"/>
      <c r="Y48" s="88" t="n"/>
      <c r="Z48" s="88" t="n"/>
      <c r="AA48" s="88" t="n"/>
      <c r="AE48" s="32" t="inlineStr">
        <is>
          <t>Rank</t>
        </is>
      </c>
      <c r="AF48" s="33" t="inlineStr">
        <is>
          <t>Therapeutic Class</t>
        </is>
      </c>
      <c r="AG48" s="33" t="inlineStr">
        <is>
          <t>Total Rebates</t>
        </is>
      </c>
      <c r="AH48" s="34" t="inlineStr">
        <is>
          <t>Brand Scripts</t>
        </is>
      </c>
    </row>
    <row r="49" ht="15" customHeight="1" thickTop="1">
      <c r="AE49" s="118" t="n">
        <v>1</v>
      </c>
      <c r="AF49" s="44" t="inlineStr">
        <is>
          <t>IMMUNOMODULATORS</t>
        </is>
      </c>
      <c r="AG49" s="119" t="n">
        <v>86134956.44183947</v>
      </c>
      <c r="AH49" s="46" t="n">
        <v>8635.831326759606</v>
      </c>
    </row>
    <row r="50" ht="15" customHeight="1" thickBot="1">
      <c r="AE50" s="121" t="n">
        <v>2</v>
      </c>
      <c r="AF50" t="inlineStr">
        <is>
          <t>GLUCAGON-LIKE PEPTIDE-1 AGONISTS (GLP1)</t>
        </is>
      </c>
      <c r="AG50" s="122" t="n">
        <v>72344648.27826762</v>
      </c>
      <c r="AH50" s="56" t="n">
        <v>98089.91226472027</v>
      </c>
    </row>
    <row r="51" ht="15" customHeight="1" thickBot="1">
      <c r="D51" s="11" t="inlineStr">
        <is>
          <t>Base Yr</t>
        </is>
      </c>
      <c r="E51" s="12" t="n"/>
      <c r="F51" s="12" t="n"/>
      <c r="G51" s="13" t="n"/>
      <c r="H51" s="14" t="n"/>
      <c r="J51" s="11" t="n">
        <v>2031</v>
      </c>
      <c r="K51" s="12" t="n"/>
      <c r="L51" s="12" t="n"/>
      <c r="M51" s="13" t="n"/>
      <c r="N51" s="14" t="n"/>
      <c r="P51" s="11" t="n">
        <v>2028</v>
      </c>
      <c r="Q51" s="12" t="n"/>
      <c r="R51" s="12" t="n"/>
      <c r="S51" s="13" t="n"/>
      <c r="T51" s="14" t="n"/>
      <c r="V51" s="11" t="n">
        <v>2029</v>
      </c>
      <c r="W51" s="12" t="n"/>
      <c r="X51" s="12" t="n"/>
      <c r="Y51" s="13" t="n"/>
      <c r="Z51" s="14" t="n"/>
      <c r="AE51" s="121" t="n">
        <v>3</v>
      </c>
      <c r="AF51" t="inlineStr">
        <is>
          <t>CHRONIC INFLAMMATORY DISEASE</t>
        </is>
      </c>
      <c r="AG51" s="122" t="n">
        <v>16034106.61405383</v>
      </c>
      <c r="AH51" s="56" t="n">
        <v>8347.94335138749</v>
      </c>
    </row>
    <row r="52" ht="15" customHeight="1" thickBot="1">
      <c r="B52" s="27" t="inlineStr">
        <is>
          <t>Excl - Brand</t>
        </is>
      </c>
      <c r="D52" s="28" t="inlineStr">
        <is>
          <t>R30</t>
        </is>
      </c>
      <c r="E52" s="29" t="inlineStr">
        <is>
          <t>R90</t>
        </is>
      </c>
      <c r="F52" s="29" t="inlineStr">
        <is>
          <t>Mail</t>
        </is>
      </c>
      <c r="G52" s="29" t="inlineStr">
        <is>
          <t>Specialty</t>
        </is>
      </c>
      <c r="H52" s="30" t="inlineStr">
        <is>
          <t>Total</t>
        </is>
      </c>
      <c r="J52" s="28" t="inlineStr">
        <is>
          <t>R30</t>
        </is>
      </c>
      <c r="K52" s="29" t="inlineStr">
        <is>
          <t>R90</t>
        </is>
      </c>
      <c r="L52" s="29" t="inlineStr">
        <is>
          <t>Mail</t>
        </is>
      </c>
      <c r="M52" s="29" t="inlineStr">
        <is>
          <t>Specialty</t>
        </is>
      </c>
      <c r="N52" s="30" t="inlineStr">
        <is>
          <t>Total</t>
        </is>
      </c>
      <c r="P52" s="28" t="inlineStr">
        <is>
          <t>R30</t>
        </is>
      </c>
      <c r="Q52" s="29" t="inlineStr">
        <is>
          <t>R90</t>
        </is>
      </c>
      <c r="R52" s="29" t="inlineStr">
        <is>
          <t>Mail</t>
        </is>
      </c>
      <c r="S52" s="29" t="inlineStr">
        <is>
          <t>Specialty</t>
        </is>
      </c>
      <c r="T52" s="30" t="inlineStr">
        <is>
          <t>Total</t>
        </is>
      </c>
      <c r="V52" s="28" t="inlineStr">
        <is>
          <t>R30</t>
        </is>
      </c>
      <c r="W52" s="29" t="inlineStr">
        <is>
          <t>R90</t>
        </is>
      </c>
      <c r="X52" s="29" t="inlineStr">
        <is>
          <t>Mail</t>
        </is>
      </c>
      <c r="Y52" s="29" t="inlineStr">
        <is>
          <t>Specialty</t>
        </is>
      </c>
      <c r="Z52" s="30" t="inlineStr">
        <is>
          <t>Total</t>
        </is>
      </c>
      <c r="AE52" s="121" t="n">
        <v>4</v>
      </c>
      <c r="AF52" t="inlineStr">
        <is>
          <t>MIGRAINE PRODUCTS</t>
        </is>
      </c>
      <c r="AG52" s="122" t="n">
        <v>11178059.84961037</v>
      </c>
      <c r="AH52" s="56" t="n">
        <v>14707.25774155486</v>
      </c>
    </row>
    <row r="53">
      <c r="B53" s="38" t="inlineStr">
        <is>
          <t>OTCs</t>
        </is>
      </c>
      <c r="D53" s="127" t="n">
        <v>0</v>
      </c>
      <c r="E53" s="128" t="n">
        <v>0</v>
      </c>
      <c r="F53" s="128" t="n">
        <v>0</v>
      </c>
      <c r="G53" s="128" t="n">
        <v>0</v>
      </c>
      <c r="H53" s="129" t="n">
        <v>0</v>
      </c>
      <c r="J53" s="127" t="n">
        <v>0</v>
      </c>
      <c r="K53" s="128" t="n">
        <v>0</v>
      </c>
      <c r="L53" s="128" t="n">
        <v>0</v>
      </c>
      <c r="M53" s="128" t="n">
        <v>0</v>
      </c>
      <c r="N53" s="129" t="n">
        <v>0</v>
      </c>
      <c r="P53" s="127" t="n">
        <v>0</v>
      </c>
      <c r="Q53" s="128" t="n">
        <v>0</v>
      </c>
      <c r="R53" s="128" t="n">
        <v>0</v>
      </c>
      <c r="S53" s="128" t="n">
        <v>0</v>
      </c>
      <c r="T53" s="129" t="n">
        <v>0</v>
      </c>
      <c r="V53" s="127" t="n">
        <v>0</v>
      </c>
      <c r="W53" s="128" t="n">
        <v>0</v>
      </c>
      <c r="X53" s="128" t="n">
        <v>0</v>
      </c>
      <c r="Y53" s="128" t="n">
        <v>0</v>
      </c>
      <c r="Z53" s="129" t="n">
        <v>0</v>
      </c>
      <c r="AE53" s="121" t="n">
        <v>5</v>
      </c>
      <c r="AF53" t="inlineStr">
        <is>
          <t>SGLT-2 INHIBITORS &amp; COMBOS</t>
        </is>
      </c>
      <c r="AG53" s="122" t="n">
        <v>5656574.037391249</v>
      </c>
      <c r="AH53" s="56" t="n">
        <v>21752.76905119918</v>
      </c>
    </row>
    <row r="54">
      <c r="B54" s="49" t="inlineStr">
        <is>
          <t>Devices</t>
        </is>
      </c>
      <c r="D54" s="130" t="n">
        <v>0</v>
      </c>
      <c r="E54" s="131" t="n">
        <v>0</v>
      </c>
      <c r="F54" s="131" t="n">
        <v>0</v>
      </c>
      <c r="G54" s="131" t="n">
        <v>0</v>
      </c>
      <c r="H54" s="132" t="n">
        <v>0</v>
      </c>
      <c r="J54" s="130" t="n">
        <v>0</v>
      </c>
      <c r="K54" s="131" t="n">
        <v>0</v>
      </c>
      <c r="L54" s="131" t="n">
        <v>0</v>
      </c>
      <c r="M54" s="131" t="n">
        <v>0</v>
      </c>
      <c r="N54" s="132" t="n">
        <v>0</v>
      </c>
      <c r="P54" s="130" t="n">
        <v>0</v>
      </c>
      <c r="Q54" s="131" t="n">
        <v>0</v>
      </c>
      <c r="R54" s="131" t="n">
        <v>0</v>
      </c>
      <c r="S54" s="131" t="n">
        <v>0</v>
      </c>
      <c r="T54" s="132" t="n">
        <v>0</v>
      </c>
      <c r="V54" s="130" t="n">
        <v>0</v>
      </c>
      <c r="W54" s="131" t="n">
        <v>0</v>
      </c>
      <c r="X54" s="131" t="n">
        <v>0</v>
      </c>
      <c r="Y54" s="131" t="n">
        <v>0</v>
      </c>
      <c r="Z54" s="132" t="n">
        <v>0</v>
      </c>
      <c r="AE54" s="121" t="n">
        <v>6</v>
      </c>
      <c r="AF54" t="inlineStr">
        <is>
          <t>INSULIN ADMINISTRATION SUPPLIES</t>
        </is>
      </c>
      <c r="AG54" s="122" t="n">
        <v>4972509.272600756</v>
      </c>
      <c r="AH54" s="56" t="n">
        <v>17549.59006958079</v>
      </c>
    </row>
    <row r="55">
      <c r="B55" s="64" t="inlineStr">
        <is>
          <t>Vaccines</t>
        </is>
      </c>
      <c r="D55" s="130" t="n">
        <v>0</v>
      </c>
      <c r="E55" s="131" t="n">
        <v>0</v>
      </c>
      <c r="F55" s="131" t="n">
        <v>0</v>
      </c>
      <c r="G55" s="131" t="n">
        <v>0</v>
      </c>
      <c r="H55" s="132" t="n">
        <v>0</v>
      </c>
      <c r="J55" s="130" t="n">
        <v>0</v>
      </c>
      <c r="K55" s="131" t="n">
        <v>0</v>
      </c>
      <c r="L55" s="131" t="n">
        <v>0</v>
      </c>
      <c r="M55" s="131" t="n">
        <v>0</v>
      </c>
      <c r="N55" s="132" t="n">
        <v>0</v>
      </c>
      <c r="P55" s="130" t="n">
        <v>0</v>
      </c>
      <c r="Q55" s="131" t="n">
        <v>0</v>
      </c>
      <c r="R55" s="131" t="n">
        <v>0</v>
      </c>
      <c r="S55" s="131" t="n">
        <v>0</v>
      </c>
      <c r="T55" s="132" t="n">
        <v>0</v>
      </c>
      <c r="V55" s="130" t="n">
        <v>0</v>
      </c>
      <c r="W55" s="131" t="n">
        <v>0</v>
      </c>
      <c r="X55" s="131" t="n">
        <v>0</v>
      </c>
      <c r="Y55" s="131" t="n">
        <v>0</v>
      </c>
      <c r="Z55" s="132" t="n">
        <v>0</v>
      </c>
      <c r="AE55" s="121" t="n">
        <v>7</v>
      </c>
      <c r="AF55" t="inlineStr">
        <is>
          <t>DIABETES MONITORING AND TESTING SUPPLIES</t>
        </is>
      </c>
      <c r="AG55" s="122" t="n">
        <v>4851985.09828558</v>
      </c>
      <c r="AH55" s="56" t="n">
        <v>25241.84853985133</v>
      </c>
    </row>
    <row r="56">
      <c r="B56" s="64" t="inlineStr">
        <is>
          <t>Repackaged</t>
        </is>
      </c>
      <c r="D56" s="130" t="n">
        <v>0</v>
      </c>
      <c r="E56" s="131" t="n">
        <v>0</v>
      </c>
      <c r="F56" s="131" t="n">
        <v>0</v>
      </c>
      <c r="G56" s="131" t="n">
        <v>0</v>
      </c>
      <c r="H56" s="132" t="n">
        <v>0</v>
      </c>
      <c r="J56" s="130" t="n">
        <v>0</v>
      </c>
      <c r="K56" s="131" t="n">
        <v>0</v>
      </c>
      <c r="L56" s="131" t="n">
        <v>0</v>
      </c>
      <c r="M56" s="131" t="n">
        <v>0</v>
      </c>
      <c r="N56" s="132" t="n">
        <v>0</v>
      </c>
      <c r="P56" s="130" t="n">
        <v>0</v>
      </c>
      <c r="Q56" s="131" t="n">
        <v>0</v>
      </c>
      <c r="R56" s="131" t="n">
        <v>0</v>
      </c>
      <c r="S56" s="131" t="n">
        <v>0</v>
      </c>
      <c r="T56" s="132" t="n">
        <v>0</v>
      </c>
      <c r="V56" s="130" t="n">
        <v>0</v>
      </c>
      <c r="W56" s="131" t="n">
        <v>0</v>
      </c>
      <c r="X56" s="131" t="n">
        <v>0</v>
      </c>
      <c r="Y56" s="131" t="n">
        <v>0</v>
      </c>
      <c r="Z56" s="132" t="n">
        <v>0</v>
      </c>
      <c r="AE56" s="121" t="n">
        <v>8</v>
      </c>
      <c r="AF56" t="inlineStr">
        <is>
          <t>NARCOLEPSY</t>
        </is>
      </c>
      <c r="AG56" s="122" t="n">
        <v>3035514.569188957</v>
      </c>
      <c r="AH56" s="56" t="n">
        <v>772.8172375441061</v>
      </c>
    </row>
    <row r="57">
      <c r="B57" s="64" t="inlineStr">
        <is>
          <t>MSBs</t>
        </is>
      </c>
      <c r="D57" s="130" t="n">
        <v>0</v>
      </c>
      <c r="E57" s="131" t="n">
        <v>0</v>
      </c>
      <c r="F57" s="131" t="n">
        <v>0</v>
      </c>
      <c r="G57" s="131" t="n">
        <v>0</v>
      </c>
      <c r="H57" s="132" t="n">
        <v>0</v>
      </c>
      <c r="J57" s="130" t="n">
        <v>0</v>
      </c>
      <c r="K57" s="131" t="n">
        <v>0</v>
      </c>
      <c r="L57" s="131" t="n">
        <v>0</v>
      </c>
      <c r="M57" s="131" t="n">
        <v>0</v>
      </c>
      <c r="N57" s="132" t="n">
        <v>0</v>
      </c>
      <c r="P57" s="130" t="n">
        <v>0</v>
      </c>
      <c r="Q57" s="131" t="n">
        <v>0</v>
      </c>
      <c r="R57" s="131" t="n">
        <v>0</v>
      </c>
      <c r="S57" s="131" t="n">
        <v>0</v>
      </c>
      <c r="T57" s="132" t="n">
        <v>0</v>
      </c>
      <c r="V57" s="130" t="n">
        <v>0</v>
      </c>
      <c r="W57" s="131" t="n">
        <v>0</v>
      </c>
      <c r="X57" s="131" t="n">
        <v>0</v>
      </c>
      <c r="Y57" s="131" t="n">
        <v>0</v>
      </c>
      <c r="Z57" s="132" t="n">
        <v>0</v>
      </c>
      <c r="AE57" s="121" t="n">
        <v>9</v>
      </c>
      <c r="AF57" t="inlineStr">
        <is>
          <t>LABA LAMA COMBO</t>
        </is>
      </c>
      <c r="AG57" s="122" t="n">
        <v>2818526.187697785</v>
      </c>
      <c r="AH57" s="56" t="n">
        <v>7784.134951291771</v>
      </c>
    </row>
    <row r="58">
      <c r="B58" s="64" t="inlineStr">
        <is>
          <t>Non FDA Approved</t>
        </is>
      </c>
      <c r="D58" s="130" t="n">
        <v>0</v>
      </c>
      <c r="E58" s="131" t="n">
        <v>0</v>
      </c>
      <c r="F58" s="131" t="n">
        <v>0</v>
      </c>
      <c r="G58" s="131" t="n">
        <v>0</v>
      </c>
      <c r="H58" s="132" t="n">
        <v>0</v>
      </c>
      <c r="J58" s="130" t="n">
        <v>0</v>
      </c>
      <c r="K58" s="131" t="n">
        <v>0</v>
      </c>
      <c r="L58" s="131" t="n">
        <v>0</v>
      </c>
      <c r="M58" s="131" t="n">
        <v>0</v>
      </c>
      <c r="N58" s="132" t="n">
        <v>0</v>
      </c>
      <c r="P58" s="130" t="n">
        <v>0</v>
      </c>
      <c r="Q58" s="131" t="n">
        <v>0</v>
      </c>
      <c r="R58" s="131" t="n">
        <v>0</v>
      </c>
      <c r="S58" s="131" t="n">
        <v>0</v>
      </c>
      <c r="T58" s="132" t="n">
        <v>0</v>
      </c>
      <c r="V58" s="130" t="n">
        <v>0</v>
      </c>
      <c r="W58" s="131" t="n">
        <v>0</v>
      </c>
      <c r="X58" s="131" t="n">
        <v>0</v>
      </c>
      <c r="Y58" s="131" t="n">
        <v>0</v>
      </c>
      <c r="Z58" s="132" t="n">
        <v>0</v>
      </c>
      <c r="AE58" s="121" t="n">
        <v>10</v>
      </c>
      <c r="AF58" t="inlineStr">
        <is>
          <t>ASTHMA</t>
        </is>
      </c>
      <c r="AG58" s="122" t="n">
        <v>2299932.751151162</v>
      </c>
      <c r="AH58" s="56" t="n">
        <v>2135.793237760067</v>
      </c>
    </row>
    <row r="59">
      <c r="B59" s="64" t="inlineStr">
        <is>
          <t>LDD</t>
        </is>
      </c>
      <c r="D59" s="130" t="n">
        <v>0</v>
      </c>
      <c r="E59" s="131" t="n">
        <v>0</v>
      </c>
      <c r="F59" s="131" t="n">
        <v>0</v>
      </c>
      <c r="G59" s="131" t="n">
        <v>0</v>
      </c>
      <c r="H59" s="132" t="n">
        <v>0</v>
      </c>
      <c r="J59" s="130" t="n">
        <v>0</v>
      </c>
      <c r="K59" s="131" t="n">
        <v>0</v>
      </c>
      <c r="L59" s="131" t="n">
        <v>0</v>
      </c>
      <c r="M59" s="131" t="n">
        <v>0</v>
      </c>
      <c r="N59" s="132" t="n">
        <v>0</v>
      </c>
      <c r="P59" s="130" t="n">
        <v>0</v>
      </c>
      <c r="Q59" s="131" t="n">
        <v>0</v>
      </c>
      <c r="R59" s="131" t="n">
        <v>0</v>
      </c>
      <c r="S59" s="131" t="n">
        <v>0</v>
      </c>
      <c r="T59" s="132" t="n">
        <v>0</v>
      </c>
      <c r="V59" s="130" t="n">
        <v>0</v>
      </c>
      <c r="W59" s="131" t="n">
        <v>0</v>
      </c>
      <c r="X59" s="131" t="n">
        <v>0</v>
      </c>
      <c r="Y59" s="131" t="n">
        <v>0</v>
      </c>
      <c r="Z59" s="132" t="n">
        <v>0</v>
      </c>
      <c r="AE59" s="121" t="n">
        <v>11</v>
      </c>
      <c r="AF59" t="inlineStr">
        <is>
          <t>PCSK9 INHIBITORS</t>
        </is>
      </c>
      <c r="AG59" s="122" t="n">
        <v>2251311.513274816</v>
      </c>
      <c r="AH59" s="56" t="n">
        <v>6042.247586441125</v>
      </c>
    </row>
    <row r="60">
      <c r="B60" s="64" t="inlineStr">
        <is>
          <t>Institutional NDCs</t>
        </is>
      </c>
      <c r="D60" s="130" t="n">
        <v>0</v>
      </c>
      <c r="E60" s="131" t="n">
        <v>0</v>
      </c>
      <c r="F60" s="131" t="n">
        <v>0</v>
      </c>
      <c r="G60" s="131" t="n">
        <v>0</v>
      </c>
      <c r="H60" s="132" t="n">
        <v>0</v>
      </c>
      <c r="J60" s="130" t="n">
        <v>0</v>
      </c>
      <c r="K60" s="131" t="n">
        <v>0</v>
      </c>
      <c r="L60" s="131" t="n">
        <v>0</v>
      </c>
      <c r="M60" s="131" t="n">
        <v>0</v>
      </c>
      <c r="N60" s="132" t="n">
        <v>0</v>
      </c>
      <c r="P60" s="130" t="n">
        <v>0</v>
      </c>
      <c r="Q60" s="131" t="n">
        <v>0</v>
      </c>
      <c r="R60" s="131" t="n">
        <v>0</v>
      </c>
      <c r="S60" s="131" t="n">
        <v>0</v>
      </c>
      <c r="T60" s="132" t="n">
        <v>0</v>
      </c>
      <c r="V60" s="130" t="n">
        <v>0</v>
      </c>
      <c r="W60" s="131" t="n">
        <v>0</v>
      </c>
      <c r="X60" s="131" t="n">
        <v>0</v>
      </c>
      <c r="Y60" s="131" t="n">
        <v>0</v>
      </c>
      <c r="Z60" s="132" t="n">
        <v>0</v>
      </c>
      <c r="AE60" s="121" t="n">
        <v>12</v>
      </c>
      <c r="AF60" t="inlineStr">
        <is>
          <t>GROWTH HORMONES</t>
        </is>
      </c>
      <c r="AG60" s="122" t="n">
        <v>1613248.027630991</v>
      </c>
      <c r="AH60" s="56" t="n">
        <v>447.5728023875844</v>
      </c>
    </row>
    <row r="61">
      <c r="B61" s="64" t="inlineStr">
        <is>
          <t>Formulary Exclusions</t>
        </is>
      </c>
      <c r="D61" s="130" t="n">
        <v>0</v>
      </c>
      <c r="E61" s="131" t="n">
        <v>0</v>
      </c>
      <c r="F61" s="131" t="n">
        <v>0</v>
      </c>
      <c r="G61" s="131" t="n">
        <v>0</v>
      </c>
      <c r="H61" s="132" t="n">
        <v>0</v>
      </c>
      <c r="J61" s="130" t="n">
        <v>0</v>
      </c>
      <c r="K61" s="131" t="n">
        <v>0</v>
      </c>
      <c r="L61" s="131" t="n">
        <v>0</v>
      </c>
      <c r="M61" s="131" t="n">
        <v>0</v>
      </c>
      <c r="N61" s="132" t="n">
        <v>0</v>
      </c>
      <c r="P61" s="130" t="n">
        <v>0</v>
      </c>
      <c r="Q61" s="131" t="n">
        <v>0</v>
      </c>
      <c r="R61" s="131" t="n">
        <v>0</v>
      </c>
      <c r="S61" s="131" t="n">
        <v>0</v>
      </c>
      <c r="T61" s="132" t="n">
        <v>0</v>
      </c>
      <c r="V61" s="130" t="n">
        <v>0</v>
      </c>
      <c r="W61" s="131" t="n">
        <v>0</v>
      </c>
      <c r="X61" s="131" t="n">
        <v>0</v>
      </c>
      <c r="Y61" s="131" t="n">
        <v>0</v>
      </c>
      <c r="Z61" s="132" t="n">
        <v>0</v>
      </c>
      <c r="AE61" s="121" t="n">
        <v>13</v>
      </c>
      <c r="AF61" t="inlineStr">
        <is>
          <t>MS</t>
        </is>
      </c>
      <c r="AG61" s="122" t="n">
        <v>1101597.62375968</v>
      </c>
      <c r="AH61" s="56" t="n">
        <v>285.5684684503162</v>
      </c>
    </row>
    <row r="62">
      <c r="B62" s="64" t="inlineStr">
        <is>
          <t>Synthroid</t>
        </is>
      </c>
      <c r="D62" s="130" t="n">
        <v>0</v>
      </c>
      <c r="E62" s="131" t="n">
        <v>0</v>
      </c>
      <c r="F62" s="131" t="n">
        <v>0</v>
      </c>
      <c r="G62" s="131" t="n">
        <v>0</v>
      </c>
      <c r="H62" s="132" t="n">
        <v>0</v>
      </c>
      <c r="J62" s="130" t="n">
        <v>0</v>
      </c>
      <c r="K62" s="131" t="n">
        <v>0</v>
      </c>
      <c r="L62" s="131" t="n">
        <v>0</v>
      </c>
      <c r="M62" s="131" t="n">
        <v>0</v>
      </c>
      <c r="N62" s="132" t="n">
        <v>0</v>
      </c>
      <c r="P62" s="130" t="n">
        <v>0</v>
      </c>
      <c r="Q62" s="131" t="n">
        <v>0</v>
      </c>
      <c r="R62" s="131" t="n">
        <v>0</v>
      </c>
      <c r="S62" s="131" t="n">
        <v>0</v>
      </c>
      <c r="T62" s="132" t="n">
        <v>0</v>
      </c>
      <c r="V62" s="130" t="n">
        <v>0</v>
      </c>
      <c r="W62" s="131" t="n">
        <v>0</v>
      </c>
      <c r="X62" s="131" t="n">
        <v>0</v>
      </c>
      <c r="Y62" s="131" t="n">
        <v>0</v>
      </c>
      <c r="Z62" s="132" t="n">
        <v>0</v>
      </c>
      <c r="AE62" s="121" t="n">
        <v>14</v>
      </c>
      <c r="AF62" t="inlineStr">
        <is>
          <t>ONCOLOGY</t>
        </is>
      </c>
      <c r="AG62" s="122" t="n">
        <v>1048196.995950258</v>
      </c>
      <c r="AH62" s="56" t="n">
        <v>1366.252138161891</v>
      </c>
    </row>
    <row r="63">
      <c r="B63" s="64" t="inlineStr">
        <is>
          <t>Misc</t>
        </is>
      </c>
      <c r="D63" s="130" t="n">
        <v>0</v>
      </c>
      <c r="E63" s="131" t="n">
        <v>0</v>
      </c>
      <c r="F63" s="131" t="n">
        <v>0</v>
      </c>
      <c r="G63" s="131" t="n">
        <v>0</v>
      </c>
      <c r="H63" s="132" t="n">
        <v>0</v>
      </c>
      <c r="J63" s="130" t="n">
        <v>1964.875071784408</v>
      </c>
      <c r="K63" s="131" t="n">
        <v>347.8756485030455</v>
      </c>
      <c r="L63" s="131" t="n">
        <v>130.6682137649017</v>
      </c>
      <c r="M63" s="131" t="n">
        <v>663.9327169755762</v>
      </c>
      <c r="N63" s="132" t="n">
        <v>3107.351651027931</v>
      </c>
      <c r="P63" s="130" t="n">
        <v>2163.155319482375</v>
      </c>
      <c r="Q63" s="131" t="n">
        <v>372.0859813343213</v>
      </c>
      <c r="R63" s="131" t="n">
        <v>143.0165673943964</v>
      </c>
      <c r="S63" s="131" t="n">
        <v>753.6182474419381</v>
      </c>
      <c r="T63" s="132" t="n">
        <v>3431.876115653031</v>
      </c>
      <c r="V63" s="130" t="n">
        <v>2378.866087308556</v>
      </c>
      <c r="W63" s="131" t="n">
        <v>407.7078036315903</v>
      </c>
      <c r="X63" s="131" t="n">
        <v>157.7761316534636</v>
      </c>
      <c r="Y63" s="131" t="n">
        <v>854.1693686244977</v>
      </c>
      <c r="Z63" s="132" t="n">
        <v>3798.519391218107</v>
      </c>
      <c r="AE63" s="121" t="n">
        <v>15</v>
      </c>
      <c r="AF63" t="inlineStr">
        <is>
          <t>BASAL INSULIN</t>
        </is>
      </c>
      <c r="AG63" s="122" t="n">
        <v>852102.224630405</v>
      </c>
      <c r="AH63" s="56" t="n">
        <v>4346.164368935837</v>
      </c>
    </row>
    <row r="64">
      <c r="B64" s="64" t="inlineStr">
        <is>
          <t>Specialty</t>
        </is>
      </c>
      <c r="D64" s="133" t="n">
        <v>0</v>
      </c>
      <c r="E64" s="134" t="n">
        <v>0</v>
      </c>
      <c r="F64" s="134" t="n">
        <v>0</v>
      </c>
      <c r="G64" s="134" t="n">
        <v>0</v>
      </c>
      <c r="H64" s="135" t="n">
        <v>0</v>
      </c>
      <c r="J64" s="133" t="n">
        <v>0</v>
      </c>
      <c r="K64" s="134" t="n">
        <v>0</v>
      </c>
      <c r="L64" s="134" t="n">
        <v>0</v>
      </c>
      <c r="M64" s="134" t="n">
        <v>0</v>
      </c>
      <c r="N64" s="135" t="n">
        <v>0</v>
      </c>
      <c r="P64" s="133" t="n">
        <v>0</v>
      </c>
      <c r="Q64" s="134" t="n">
        <v>0</v>
      </c>
      <c r="R64" s="134" t="n">
        <v>0</v>
      </c>
      <c r="S64" s="134" t="n">
        <v>0</v>
      </c>
      <c r="T64" s="135" t="n">
        <v>0</v>
      </c>
      <c r="V64" s="133" t="n">
        <v>0</v>
      </c>
      <c r="W64" s="134" t="n">
        <v>0</v>
      </c>
      <c r="X64" s="134" t="n">
        <v>0</v>
      </c>
      <c r="Y64" s="134" t="n">
        <v>0</v>
      </c>
      <c r="Z64" s="135" t="n">
        <v>0</v>
      </c>
      <c r="AE64" s="121" t="n">
        <v>16</v>
      </c>
      <c r="AF64" t="inlineStr">
        <is>
          <t>DIGESTIVE ENZYMES</t>
        </is>
      </c>
      <c r="AG64" s="122" t="n">
        <v>806132.1910567465</v>
      </c>
      <c r="AH64" s="56" t="n">
        <v>589.389923203073</v>
      </c>
    </row>
    <row r="65">
      <c r="A65" s="98" t="inlineStr">
        <is>
          <t>Added MFP row but needs adjusting for non-CY(Should just need adjustment in Exclusion Summary)</t>
        </is>
      </c>
      <c r="B65" s="64" t="inlineStr">
        <is>
          <t>MFP</t>
        </is>
      </c>
      <c r="D65" s="133" t="n">
        <v>0</v>
      </c>
      <c r="E65" s="134" t="n">
        <v>0</v>
      </c>
      <c r="F65" s="134" t="n">
        <v>0</v>
      </c>
      <c r="G65" s="134" t="n">
        <v>0</v>
      </c>
      <c r="H65" s="135" t="n">
        <v>0</v>
      </c>
      <c r="J65" s="133" t="n">
        <v>0</v>
      </c>
      <c r="K65" s="134" t="n">
        <v>0</v>
      </c>
      <c r="L65" s="134" t="n">
        <v>0</v>
      </c>
      <c r="M65" s="134" t="n">
        <v>0</v>
      </c>
      <c r="N65" s="135" t="n">
        <v>0</v>
      </c>
      <c r="P65" s="133" t="n">
        <v>0</v>
      </c>
      <c r="Q65" s="134" t="n">
        <v>0</v>
      </c>
      <c r="R65" s="134" t="n">
        <v>0</v>
      </c>
      <c r="S65" s="134" t="n">
        <v>0</v>
      </c>
      <c r="T65" s="135" t="n">
        <v>0</v>
      </c>
      <c r="V65" s="133" t="n">
        <v>0</v>
      </c>
      <c r="W65" s="134" t="n">
        <v>0</v>
      </c>
      <c r="X65" s="134" t="n">
        <v>0</v>
      </c>
      <c r="Y65" s="134" t="n">
        <v>0</v>
      </c>
      <c r="Z65" s="135" t="n">
        <v>0</v>
      </c>
      <c r="AE65" s="121" t="n">
        <v>17</v>
      </c>
      <c r="AF65" t="inlineStr">
        <is>
          <t>RAPID ACTING</t>
        </is>
      </c>
      <c r="AG65" s="122" t="n">
        <v>652535.5636300209</v>
      </c>
      <c r="AH65" s="56" t="n">
        <v>2196.026853309372</v>
      </c>
    </row>
    <row r="66">
      <c r="A66" s="99" t="n"/>
      <c r="B66" s="100" t="inlineStr">
        <is>
          <t>ENTER DESC</t>
        </is>
      </c>
      <c r="D66" s="133" t="n">
        <v>0</v>
      </c>
      <c r="E66" s="134" t="n">
        <v>0</v>
      </c>
      <c r="F66" s="134" t="n">
        <v>0</v>
      </c>
      <c r="G66" s="134" t="n">
        <v>0</v>
      </c>
      <c r="H66" s="135" t="n">
        <v>0</v>
      </c>
      <c r="J66" s="133" t="n">
        <v>0</v>
      </c>
      <c r="K66" s="134" t="n">
        <v>0</v>
      </c>
      <c r="L66" s="134" t="n">
        <v>0</v>
      </c>
      <c r="M66" s="134" t="n">
        <v>0</v>
      </c>
      <c r="N66" s="135" t="n">
        <v>0</v>
      </c>
      <c r="P66" s="133" t="n">
        <v>0</v>
      </c>
      <c r="Q66" s="134" t="n">
        <v>0</v>
      </c>
      <c r="R66" s="134" t="n">
        <v>0</v>
      </c>
      <c r="S66" s="134" t="n">
        <v>0</v>
      </c>
      <c r="T66" s="135" t="n">
        <v>0</v>
      </c>
      <c r="V66" s="133" t="n">
        <v>0</v>
      </c>
      <c r="W66" s="134" t="n">
        <v>0</v>
      </c>
      <c r="X66" s="134" t="n">
        <v>0</v>
      </c>
      <c r="Y66" s="134" t="n">
        <v>0</v>
      </c>
      <c r="Z66" s="135" t="n">
        <v>0</v>
      </c>
      <c r="AE66" s="121" t="n">
        <v>18</v>
      </c>
      <c r="AF66" t="inlineStr">
        <is>
          <t>ANTIPSORIATICS - TOPICAL</t>
        </is>
      </c>
      <c r="AG66" s="122" t="n">
        <v>636393.5244758233</v>
      </c>
      <c r="AH66" s="56" t="n">
        <v>636.2384529975161</v>
      </c>
    </row>
    <row r="67" ht="15" customHeight="1" thickBot="1">
      <c r="B67" s="59" t="inlineStr">
        <is>
          <t>Non-Rebatable</t>
        </is>
      </c>
      <c r="D67" s="136" t="n">
        <v>0</v>
      </c>
      <c r="E67" s="137" t="n">
        <v>0</v>
      </c>
      <c r="F67" s="137" t="n">
        <v>0</v>
      </c>
      <c r="G67" s="137" t="n">
        <v>0</v>
      </c>
      <c r="H67" s="138" t="n">
        <v>0</v>
      </c>
      <c r="J67" s="139" t="n">
        <v>0</v>
      </c>
      <c r="K67" s="140" t="n">
        <v>0</v>
      </c>
      <c r="L67" s="140" t="n">
        <v>0</v>
      </c>
      <c r="M67" s="140" t="n">
        <v>0</v>
      </c>
      <c r="N67" s="141" t="n">
        <v>0</v>
      </c>
      <c r="P67" s="139" t="n">
        <v>0</v>
      </c>
      <c r="Q67" s="140" t="n">
        <v>0</v>
      </c>
      <c r="R67" s="140" t="n">
        <v>0</v>
      </c>
      <c r="S67" s="140" t="n">
        <v>0</v>
      </c>
      <c r="T67" s="141" t="n">
        <v>0</v>
      </c>
      <c r="V67" s="139" t="n">
        <v>0</v>
      </c>
      <c r="W67" s="140" t="n">
        <v>0</v>
      </c>
      <c r="X67" s="140" t="n">
        <v>0</v>
      </c>
      <c r="Y67" s="140" t="n">
        <v>0</v>
      </c>
      <c r="Z67" s="141" t="n">
        <v>0</v>
      </c>
      <c r="AE67" s="121" t="n">
        <v>19</v>
      </c>
      <c r="AF67" t="inlineStr">
        <is>
          <t>ADHD &amp; NARCOLEPSY MEDICATIONS</t>
        </is>
      </c>
      <c r="AG67" s="122" t="n">
        <v>500375.4645647393</v>
      </c>
      <c r="AH67" s="56" t="n">
        <v>4031.203022795794</v>
      </c>
    </row>
    <row r="68" ht="15.6" customHeight="1" thickBot="1" thickTop="1">
      <c r="B68" s="69" t="inlineStr">
        <is>
          <t>Total</t>
        </is>
      </c>
      <c r="D68" s="142" t="n">
        <v>0</v>
      </c>
      <c r="E68" s="143" t="n">
        <v>0</v>
      </c>
      <c r="F68" s="143" t="n">
        <v>0</v>
      </c>
      <c r="G68" s="143" t="n">
        <v>0</v>
      </c>
      <c r="H68" s="144" t="n">
        <v>0</v>
      </c>
      <c r="J68" s="142" t="n">
        <v>1964.875071784408</v>
      </c>
      <c r="K68" s="143" t="n">
        <v>347.8756485030455</v>
      </c>
      <c r="L68" s="143" t="n">
        <v>130.6682137649017</v>
      </c>
      <c r="M68" s="143" t="n">
        <v>663.9327169755762</v>
      </c>
      <c r="N68" s="144" t="n">
        <v>3107.351651027931</v>
      </c>
      <c r="P68" s="142" t="n">
        <v>2163.155319482375</v>
      </c>
      <c r="Q68" s="143" t="n">
        <v>372.0859813343213</v>
      </c>
      <c r="R68" s="143" t="n">
        <v>143.0165673943964</v>
      </c>
      <c r="S68" s="143" t="n">
        <v>753.6182474419381</v>
      </c>
      <c r="T68" s="144" t="n">
        <v>3431.876115653031</v>
      </c>
      <c r="V68" s="142" t="n">
        <v>2378.866087308556</v>
      </c>
      <c r="W68" s="143" t="n">
        <v>407.7078036315903</v>
      </c>
      <c r="X68" s="143" t="n">
        <v>157.7761316534636</v>
      </c>
      <c r="Y68" s="143" t="n">
        <v>854.1693686244977</v>
      </c>
      <c r="Z68" s="144" t="n">
        <v>3798.519391218107</v>
      </c>
      <c r="AE68" s="124" t="n">
        <v>20</v>
      </c>
      <c r="AF68" s="82" t="inlineStr">
        <is>
          <t>MOVEMENT DISORDER DRUG THERAPY</t>
        </is>
      </c>
      <c r="AG68" s="125" t="n">
        <v>445986.5975644719</v>
      </c>
      <c r="AH68" s="84" t="n">
        <v>262.1994949828658</v>
      </c>
    </row>
    <row r="69" ht="15" customHeight="1" thickBot="1">
      <c r="D69" s="145" t="n"/>
      <c r="E69" s="145" t="n"/>
      <c r="F69" s="145" t="n"/>
      <c r="G69" s="145" t="n"/>
      <c r="H69" s="145" t="n"/>
      <c r="J69" s="145" t="n"/>
      <c r="K69" s="145" t="n"/>
      <c r="L69" s="145" t="n"/>
      <c r="M69" s="145" t="n"/>
      <c r="N69" s="145" t="n"/>
      <c r="P69" s="145" t="n"/>
      <c r="Q69" s="145" t="n"/>
      <c r="R69" s="145" t="n"/>
      <c r="S69" s="145" t="n"/>
      <c r="T69" s="145" t="n"/>
      <c r="V69" s="145" t="n"/>
      <c r="W69" s="145" t="n"/>
      <c r="X69" s="145" t="n"/>
      <c r="Y69" s="145" t="n"/>
      <c r="Z69" s="145" t="n"/>
    </row>
    <row r="70" ht="15" customHeight="1" thickBot="1">
      <c r="B70" s="27" t="inlineStr">
        <is>
          <t>Excl - Generic</t>
        </is>
      </c>
      <c r="D70" s="28" t="inlineStr">
        <is>
          <t>R30</t>
        </is>
      </c>
      <c r="E70" s="29" t="inlineStr">
        <is>
          <t>R90</t>
        </is>
      </c>
      <c r="F70" s="29" t="inlineStr">
        <is>
          <t>Mail</t>
        </is>
      </c>
      <c r="G70" s="29" t="inlineStr">
        <is>
          <t>Specialty</t>
        </is>
      </c>
      <c r="H70" s="30" t="inlineStr">
        <is>
          <t>Total</t>
        </is>
      </c>
      <c r="J70" s="28" t="inlineStr">
        <is>
          <t>R30</t>
        </is>
      </c>
      <c r="K70" s="29" t="inlineStr">
        <is>
          <t>R90</t>
        </is>
      </c>
      <c r="L70" s="29" t="inlineStr">
        <is>
          <t>Mail</t>
        </is>
      </c>
      <c r="M70" s="29" t="inlineStr">
        <is>
          <t>Specialty</t>
        </is>
      </c>
      <c r="N70" s="30" t="inlineStr">
        <is>
          <t>Total</t>
        </is>
      </c>
      <c r="P70" s="28" t="inlineStr">
        <is>
          <t>R30</t>
        </is>
      </c>
      <c r="Q70" s="29" t="inlineStr">
        <is>
          <t>R90</t>
        </is>
      </c>
      <c r="R70" s="29" t="inlineStr">
        <is>
          <t>Mail</t>
        </is>
      </c>
      <c r="S70" s="29" t="inlineStr">
        <is>
          <t>Specialty</t>
        </is>
      </c>
      <c r="T70" s="30" t="inlineStr">
        <is>
          <t>Total</t>
        </is>
      </c>
      <c r="V70" s="28" t="inlineStr">
        <is>
          <t>R30</t>
        </is>
      </c>
      <c r="W70" s="29" t="inlineStr">
        <is>
          <t>R90</t>
        </is>
      </c>
      <c r="X70" s="29" t="inlineStr">
        <is>
          <t>Mail</t>
        </is>
      </c>
      <c r="Y70" s="29" t="inlineStr">
        <is>
          <t>Specialty</t>
        </is>
      </c>
      <c r="Z70" s="30" t="inlineStr">
        <is>
          <t>Total</t>
        </is>
      </c>
    </row>
    <row r="71">
      <c r="B71" s="38" t="inlineStr">
        <is>
          <t>OTCs</t>
        </is>
      </c>
      <c r="D71" s="127" t="n">
        <v>0</v>
      </c>
      <c r="E71" s="128" t="n">
        <v>0</v>
      </c>
      <c r="F71" s="128" t="n">
        <v>0</v>
      </c>
      <c r="G71" s="128" t="n">
        <v>0</v>
      </c>
      <c r="H71" s="129" t="n">
        <v>0</v>
      </c>
      <c r="J71" s="127" t="n">
        <v>0</v>
      </c>
      <c r="K71" s="128" t="n">
        <v>0</v>
      </c>
      <c r="L71" s="128" t="n">
        <v>0</v>
      </c>
      <c r="M71" s="128" t="n">
        <v>0</v>
      </c>
      <c r="N71" s="129" t="n">
        <v>0</v>
      </c>
      <c r="P71" s="127" t="n">
        <v>0</v>
      </c>
      <c r="Q71" s="128" t="n">
        <v>0</v>
      </c>
      <c r="R71" s="128" t="n">
        <v>0</v>
      </c>
      <c r="S71" s="128" t="n">
        <v>0</v>
      </c>
      <c r="T71" s="129" t="n">
        <v>0</v>
      </c>
      <c r="V71" s="127" t="n">
        <v>0</v>
      </c>
      <c r="W71" s="128" t="n">
        <v>0</v>
      </c>
      <c r="X71" s="128" t="n">
        <v>0</v>
      </c>
      <c r="Y71" s="128" t="n">
        <v>0</v>
      </c>
      <c r="Z71" s="129" t="n">
        <v>0</v>
      </c>
    </row>
    <row r="72">
      <c r="B72" s="49" t="inlineStr">
        <is>
          <t>Devices</t>
        </is>
      </c>
      <c r="D72" s="130" t="n">
        <v>0</v>
      </c>
      <c r="E72" s="131" t="n">
        <v>0</v>
      </c>
      <c r="F72" s="131" t="n">
        <v>0</v>
      </c>
      <c r="G72" s="131" t="n">
        <v>0</v>
      </c>
      <c r="H72" s="132" t="n">
        <v>0</v>
      </c>
      <c r="J72" s="130" t="n">
        <v>0</v>
      </c>
      <c r="K72" s="131" t="n">
        <v>0</v>
      </c>
      <c r="L72" s="131" t="n">
        <v>0</v>
      </c>
      <c r="M72" s="131" t="n">
        <v>0</v>
      </c>
      <c r="N72" s="132" t="n">
        <v>0</v>
      </c>
      <c r="P72" s="130" t="n">
        <v>0</v>
      </c>
      <c r="Q72" s="131" t="n">
        <v>0</v>
      </c>
      <c r="R72" s="131" t="n">
        <v>0</v>
      </c>
      <c r="S72" s="131" t="n">
        <v>0</v>
      </c>
      <c r="T72" s="132" t="n">
        <v>0</v>
      </c>
      <c r="V72" s="130" t="n">
        <v>0</v>
      </c>
      <c r="W72" s="131" t="n">
        <v>0</v>
      </c>
      <c r="X72" s="131" t="n">
        <v>0</v>
      </c>
      <c r="Y72" s="131" t="n">
        <v>0</v>
      </c>
      <c r="Z72" s="132" t="n">
        <v>0</v>
      </c>
    </row>
    <row r="73">
      <c r="B73" s="64" t="inlineStr">
        <is>
          <t>Vaccines</t>
        </is>
      </c>
      <c r="D73" s="130" t="n">
        <v>0</v>
      </c>
      <c r="E73" s="131" t="n">
        <v>0</v>
      </c>
      <c r="F73" s="131" t="n">
        <v>0</v>
      </c>
      <c r="G73" s="131" t="n">
        <v>0</v>
      </c>
      <c r="H73" s="132" t="n">
        <v>0</v>
      </c>
      <c r="J73" s="130" t="n">
        <v>0</v>
      </c>
      <c r="K73" s="131" t="n">
        <v>0</v>
      </c>
      <c r="L73" s="131" t="n">
        <v>0</v>
      </c>
      <c r="M73" s="131" t="n">
        <v>0</v>
      </c>
      <c r="N73" s="132" t="n">
        <v>0</v>
      </c>
      <c r="P73" s="130" t="n">
        <v>0</v>
      </c>
      <c r="Q73" s="131" t="n">
        <v>0</v>
      </c>
      <c r="R73" s="131" t="n">
        <v>0</v>
      </c>
      <c r="S73" s="131" t="n">
        <v>0</v>
      </c>
      <c r="T73" s="132" t="n">
        <v>0</v>
      </c>
      <c r="V73" s="130" t="n">
        <v>0</v>
      </c>
      <c r="W73" s="131" t="n">
        <v>0</v>
      </c>
      <c r="X73" s="131" t="n">
        <v>0</v>
      </c>
      <c r="Y73" s="131" t="n">
        <v>0</v>
      </c>
      <c r="Z73" s="132" t="n">
        <v>0</v>
      </c>
    </row>
    <row r="74">
      <c r="B74" s="64" t="inlineStr">
        <is>
          <t>Repackaged</t>
        </is>
      </c>
      <c r="D74" s="130" t="n">
        <v>0</v>
      </c>
      <c r="E74" s="131" t="n">
        <v>0</v>
      </c>
      <c r="F74" s="131" t="n">
        <v>0</v>
      </c>
      <c r="G74" s="131" t="n">
        <v>0</v>
      </c>
      <c r="H74" s="132" t="n">
        <v>0</v>
      </c>
      <c r="J74" s="130" t="n">
        <v>0</v>
      </c>
      <c r="K74" s="131" t="n">
        <v>0</v>
      </c>
      <c r="L74" s="131" t="n">
        <v>0</v>
      </c>
      <c r="M74" s="131" t="n">
        <v>0</v>
      </c>
      <c r="N74" s="132" t="n">
        <v>0</v>
      </c>
      <c r="P74" s="130" t="n">
        <v>0</v>
      </c>
      <c r="Q74" s="131" t="n">
        <v>0</v>
      </c>
      <c r="R74" s="131" t="n">
        <v>0</v>
      </c>
      <c r="S74" s="131" t="n">
        <v>0</v>
      </c>
      <c r="T74" s="132" t="n">
        <v>0</v>
      </c>
      <c r="V74" s="130" t="n">
        <v>0</v>
      </c>
      <c r="W74" s="131" t="n">
        <v>0</v>
      </c>
      <c r="X74" s="131" t="n">
        <v>0</v>
      </c>
      <c r="Y74" s="131" t="n">
        <v>0</v>
      </c>
      <c r="Z74" s="132" t="n">
        <v>0</v>
      </c>
    </row>
    <row r="75">
      <c r="B75" s="64" t="inlineStr">
        <is>
          <t>MSBs</t>
        </is>
      </c>
      <c r="D75" s="130" t="n">
        <v>0</v>
      </c>
      <c r="E75" s="131" t="n">
        <v>0</v>
      </c>
      <c r="F75" s="131" t="n">
        <v>0</v>
      </c>
      <c r="G75" s="131" t="n">
        <v>0</v>
      </c>
      <c r="H75" s="132" t="n">
        <v>0</v>
      </c>
      <c r="J75" s="130" t="n">
        <v>0</v>
      </c>
      <c r="K75" s="131" t="n">
        <v>0</v>
      </c>
      <c r="L75" s="131" t="n">
        <v>0</v>
      </c>
      <c r="M75" s="131" t="n">
        <v>0</v>
      </c>
      <c r="N75" s="132" t="n">
        <v>0</v>
      </c>
      <c r="P75" s="130" t="n">
        <v>0</v>
      </c>
      <c r="Q75" s="131" t="n">
        <v>0</v>
      </c>
      <c r="R75" s="131" t="n">
        <v>0</v>
      </c>
      <c r="S75" s="131" t="n">
        <v>0</v>
      </c>
      <c r="T75" s="132" t="n">
        <v>0</v>
      </c>
      <c r="V75" s="130" t="n">
        <v>0</v>
      </c>
      <c r="W75" s="131" t="n">
        <v>0</v>
      </c>
      <c r="X75" s="131" t="n">
        <v>0</v>
      </c>
      <c r="Y75" s="131" t="n">
        <v>0</v>
      </c>
      <c r="Z75" s="132" t="n">
        <v>0</v>
      </c>
    </row>
    <row r="76">
      <c r="B76" s="64" t="inlineStr">
        <is>
          <t>Non FDA Approved</t>
        </is>
      </c>
      <c r="D76" s="130" t="n">
        <v>0</v>
      </c>
      <c r="E76" s="131" t="n">
        <v>0</v>
      </c>
      <c r="F76" s="131" t="n">
        <v>0</v>
      </c>
      <c r="G76" s="131" t="n">
        <v>0</v>
      </c>
      <c r="H76" s="132" t="n">
        <v>0</v>
      </c>
      <c r="J76" s="130" t="n">
        <v>0</v>
      </c>
      <c r="K76" s="131" t="n">
        <v>0</v>
      </c>
      <c r="L76" s="131" t="n">
        <v>0</v>
      </c>
      <c r="M76" s="131" t="n">
        <v>0</v>
      </c>
      <c r="N76" s="132" t="n">
        <v>0</v>
      </c>
      <c r="P76" s="130" t="n">
        <v>0</v>
      </c>
      <c r="Q76" s="131" t="n">
        <v>0</v>
      </c>
      <c r="R76" s="131" t="n">
        <v>0</v>
      </c>
      <c r="S76" s="131" t="n">
        <v>0</v>
      </c>
      <c r="T76" s="132" t="n">
        <v>0</v>
      </c>
      <c r="V76" s="130" t="n">
        <v>0</v>
      </c>
      <c r="W76" s="131" t="n">
        <v>0</v>
      </c>
      <c r="X76" s="131" t="n">
        <v>0</v>
      </c>
      <c r="Y76" s="131" t="n">
        <v>0</v>
      </c>
      <c r="Z76" s="132" t="n">
        <v>0</v>
      </c>
    </row>
    <row r="77">
      <c r="B77" s="64" t="inlineStr">
        <is>
          <t>LDD</t>
        </is>
      </c>
      <c r="D77" s="130" t="n">
        <v>0</v>
      </c>
      <c r="E77" s="131" t="n">
        <v>0</v>
      </c>
      <c r="F77" s="131" t="n">
        <v>0</v>
      </c>
      <c r="G77" s="131" t="n">
        <v>0</v>
      </c>
      <c r="H77" s="132" t="n">
        <v>0</v>
      </c>
      <c r="J77" s="130" t="n">
        <v>0</v>
      </c>
      <c r="K77" s="131" t="n">
        <v>0</v>
      </c>
      <c r="L77" s="131" t="n">
        <v>0</v>
      </c>
      <c r="M77" s="131" t="n">
        <v>0</v>
      </c>
      <c r="N77" s="132" t="n">
        <v>0</v>
      </c>
      <c r="P77" s="130" t="n">
        <v>0</v>
      </c>
      <c r="Q77" s="131" t="n">
        <v>0</v>
      </c>
      <c r="R77" s="131" t="n">
        <v>0</v>
      </c>
      <c r="S77" s="131" t="n">
        <v>0</v>
      </c>
      <c r="T77" s="132" t="n">
        <v>0</v>
      </c>
      <c r="V77" s="130" t="n">
        <v>0</v>
      </c>
      <c r="W77" s="131" t="n">
        <v>0</v>
      </c>
      <c r="X77" s="131" t="n">
        <v>0</v>
      </c>
      <c r="Y77" s="131" t="n">
        <v>0</v>
      </c>
      <c r="Z77" s="132" t="n">
        <v>0</v>
      </c>
    </row>
    <row r="78">
      <c r="B78" s="64" t="inlineStr">
        <is>
          <t>Institutional NDCs</t>
        </is>
      </c>
      <c r="D78" s="130" t="n">
        <v>0</v>
      </c>
      <c r="E78" s="131" t="n">
        <v>0</v>
      </c>
      <c r="F78" s="131" t="n">
        <v>0</v>
      </c>
      <c r="G78" s="131" t="n">
        <v>0</v>
      </c>
      <c r="H78" s="132" t="n">
        <v>0</v>
      </c>
      <c r="J78" s="130" t="n">
        <v>0</v>
      </c>
      <c r="K78" s="131" t="n">
        <v>0</v>
      </c>
      <c r="L78" s="131" t="n">
        <v>0</v>
      </c>
      <c r="M78" s="131" t="n">
        <v>0</v>
      </c>
      <c r="N78" s="132" t="n">
        <v>0</v>
      </c>
      <c r="P78" s="130" t="n">
        <v>0</v>
      </c>
      <c r="Q78" s="131" t="n">
        <v>0</v>
      </c>
      <c r="R78" s="131" t="n">
        <v>0</v>
      </c>
      <c r="S78" s="131" t="n">
        <v>0</v>
      </c>
      <c r="T78" s="132" t="n">
        <v>0</v>
      </c>
      <c r="V78" s="130" t="n">
        <v>0</v>
      </c>
      <c r="W78" s="131" t="n">
        <v>0</v>
      </c>
      <c r="X78" s="131" t="n">
        <v>0</v>
      </c>
      <c r="Y78" s="131" t="n">
        <v>0</v>
      </c>
      <c r="Z78" s="132" t="n">
        <v>0</v>
      </c>
    </row>
    <row r="79" ht="15" customHeight="1">
      <c r="B79" s="64" t="inlineStr">
        <is>
          <t>Formulary Exclusions</t>
        </is>
      </c>
      <c r="D79" s="130" t="n">
        <v>0</v>
      </c>
      <c r="E79" s="131" t="n">
        <v>0</v>
      </c>
      <c r="F79" s="131" t="n">
        <v>0</v>
      </c>
      <c r="G79" s="131" t="n">
        <v>0</v>
      </c>
      <c r="H79" s="132" t="n">
        <v>0</v>
      </c>
      <c r="J79" s="130" t="n">
        <v>0</v>
      </c>
      <c r="K79" s="131" t="n">
        <v>0</v>
      </c>
      <c r="L79" s="131" t="n">
        <v>0</v>
      </c>
      <c r="M79" s="131" t="n">
        <v>0</v>
      </c>
      <c r="N79" s="132" t="n">
        <v>0</v>
      </c>
      <c r="P79" s="130" t="n">
        <v>0</v>
      </c>
      <c r="Q79" s="131" t="n">
        <v>0</v>
      </c>
      <c r="R79" s="131" t="n">
        <v>0</v>
      </c>
      <c r="S79" s="131" t="n">
        <v>0</v>
      </c>
      <c r="T79" s="132" t="n">
        <v>0</v>
      </c>
      <c r="V79" s="130" t="n">
        <v>0</v>
      </c>
      <c r="W79" s="131" t="n">
        <v>0</v>
      </c>
      <c r="X79" s="131" t="n">
        <v>0</v>
      </c>
      <c r="Y79" s="131" t="n">
        <v>0</v>
      </c>
      <c r="Z79" s="132" t="n">
        <v>0</v>
      </c>
    </row>
    <row r="80">
      <c r="B80" s="64" t="inlineStr">
        <is>
          <t>Synthroid</t>
        </is>
      </c>
      <c r="D80" s="130" t="n">
        <v>0</v>
      </c>
      <c r="E80" s="131" t="n">
        <v>0</v>
      </c>
      <c r="F80" s="131" t="n">
        <v>0</v>
      </c>
      <c r="G80" s="131" t="n">
        <v>0</v>
      </c>
      <c r="H80" s="132" t="n">
        <v>0</v>
      </c>
      <c r="J80" s="130" t="n">
        <v>0</v>
      </c>
      <c r="K80" s="131" t="n">
        <v>0</v>
      </c>
      <c r="L80" s="131" t="n">
        <v>0</v>
      </c>
      <c r="M80" s="131" t="n">
        <v>0</v>
      </c>
      <c r="N80" s="132" t="n">
        <v>0</v>
      </c>
      <c r="P80" s="130" t="n">
        <v>0</v>
      </c>
      <c r="Q80" s="131" t="n">
        <v>0</v>
      </c>
      <c r="R80" s="131" t="n">
        <v>0</v>
      </c>
      <c r="S80" s="131" t="n">
        <v>0</v>
      </c>
      <c r="T80" s="132" t="n">
        <v>0</v>
      </c>
      <c r="V80" s="130" t="n">
        <v>0</v>
      </c>
      <c r="W80" s="131" t="n">
        <v>0</v>
      </c>
      <c r="X80" s="131" t="n">
        <v>0</v>
      </c>
      <c r="Y80" s="131" t="n">
        <v>0</v>
      </c>
      <c r="Z80" s="132" t="n">
        <v>0</v>
      </c>
    </row>
    <row r="81">
      <c r="B81" s="64" t="inlineStr">
        <is>
          <t>Misc</t>
        </is>
      </c>
      <c r="D81" s="130" t="n">
        <v>0</v>
      </c>
      <c r="E81" s="131" t="n">
        <v>0</v>
      </c>
      <c r="F81" s="131" t="n">
        <v>0</v>
      </c>
      <c r="G81" s="131" t="n">
        <v>0</v>
      </c>
      <c r="H81" s="132" t="n">
        <v>0</v>
      </c>
      <c r="J81" s="130" t="n">
        <v>0</v>
      </c>
      <c r="K81" s="131" t="n">
        <v>0</v>
      </c>
      <c r="L81" s="131" t="n">
        <v>0</v>
      </c>
      <c r="M81" s="131" t="n">
        <v>0</v>
      </c>
      <c r="N81" s="132" t="n">
        <v>0</v>
      </c>
      <c r="P81" s="130" t="n">
        <v>0</v>
      </c>
      <c r="Q81" s="131" t="n">
        <v>0</v>
      </c>
      <c r="R81" s="131" t="n">
        <v>0</v>
      </c>
      <c r="S81" s="131" t="n">
        <v>0</v>
      </c>
      <c r="T81" s="132" t="n">
        <v>0</v>
      </c>
      <c r="V81" s="130" t="n">
        <v>0</v>
      </c>
      <c r="W81" s="131" t="n">
        <v>0</v>
      </c>
      <c r="X81" s="131" t="n">
        <v>0</v>
      </c>
      <c r="Y81" s="131" t="n">
        <v>0</v>
      </c>
      <c r="Z81" s="132" t="n">
        <v>0</v>
      </c>
    </row>
    <row r="82">
      <c r="B82" s="64" t="inlineStr">
        <is>
          <t>Specialty</t>
        </is>
      </c>
      <c r="D82" s="133" t="n">
        <v>0</v>
      </c>
      <c r="E82" s="134" t="n">
        <v>0</v>
      </c>
      <c r="F82" s="134" t="n">
        <v>0</v>
      </c>
      <c r="G82" s="134" t="n">
        <v>0</v>
      </c>
      <c r="H82" s="135" t="n">
        <v>0</v>
      </c>
      <c r="J82" s="133" t="n">
        <v>0</v>
      </c>
      <c r="K82" s="134" t="n">
        <v>0</v>
      </c>
      <c r="L82" s="134" t="n">
        <v>0</v>
      </c>
      <c r="M82" s="134" t="n">
        <v>0</v>
      </c>
      <c r="N82" s="135" t="n">
        <v>0</v>
      </c>
      <c r="P82" s="133" t="n">
        <v>0</v>
      </c>
      <c r="Q82" s="134" t="n">
        <v>0</v>
      </c>
      <c r="R82" s="134" t="n">
        <v>0</v>
      </c>
      <c r="S82" s="134" t="n">
        <v>0</v>
      </c>
      <c r="T82" s="135" t="n">
        <v>0</v>
      </c>
      <c r="V82" s="133" t="n">
        <v>0</v>
      </c>
      <c r="W82" s="134" t="n">
        <v>0</v>
      </c>
      <c r="X82" s="134" t="n">
        <v>0</v>
      </c>
      <c r="Y82" s="134" t="n">
        <v>0</v>
      </c>
      <c r="Z82" s="135" t="n">
        <v>0</v>
      </c>
    </row>
    <row r="83">
      <c r="A83" s="98" t="inlineStr">
        <is>
          <t>Added MFP row but needs adjusting for non-CY</t>
        </is>
      </c>
      <c r="B83" s="64" t="inlineStr">
        <is>
          <t>MFP</t>
        </is>
      </c>
      <c r="D83" s="133" t="n">
        <v>0</v>
      </c>
      <c r="E83" s="134" t="n">
        <v>0</v>
      </c>
      <c r="F83" s="134" t="n">
        <v>0</v>
      </c>
      <c r="G83" s="134" t="n">
        <v>0</v>
      </c>
      <c r="H83" s="135" t="n">
        <v>0</v>
      </c>
      <c r="J83" s="133" t="n">
        <v>0</v>
      </c>
      <c r="K83" s="134" t="n">
        <v>0</v>
      </c>
      <c r="L83" s="134" t="n">
        <v>0</v>
      </c>
      <c r="M83" s="134" t="n">
        <v>0</v>
      </c>
      <c r="N83" s="135" t="n">
        <v>0</v>
      </c>
      <c r="P83" s="133" t="n">
        <v>0</v>
      </c>
      <c r="Q83" s="134" t="n">
        <v>0</v>
      </c>
      <c r="R83" s="134" t="n">
        <v>0</v>
      </c>
      <c r="S83" s="134" t="n">
        <v>0</v>
      </c>
      <c r="T83" s="135" t="n">
        <v>0</v>
      </c>
      <c r="V83" s="133" t="n">
        <v>0</v>
      </c>
      <c r="W83" s="134" t="n">
        <v>0</v>
      </c>
      <c r="X83" s="134" t="n">
        <v>0</v>
      </c>
      <c r="Y83" s="134" t="n">
        <v>0</v>
      </c>
      <c r="Z83" s="135" t="n">
        <v>0</v>
      </c>
    </row>
    <row r="84">
      <c r="B84" s="100">
        <f>$B$66</f>
        <v/>
      </c>
      <c r="D84" s="133" t="n">
        <v>0</v>
      </c>
      <c r="E84" s="134" t="n">
        <v>0</v>
      </c>
      <c r="F84" s="134" t="n">
        <v>0</v>
      </c>
      <c r="G84" s="134" t="n">
        <v>0</v>
      </c>
      <c r="H84" s="135" t="n">
        <v>0</v>
      </c>
      <c r="J84" s="133" t="n">
        <v>0</v>
      </c>
      <c r="K84" s="134" t="n">
        <v>0</v>
      </c>
      <c r="L84" s="134" t="n">
        <v>0</v>
      </c>
      <c r="M84" s="134" t="n">
        <v>0</v>
      </c>
      <c r="N84" s="135" t="n">
        <v>0</v>
      </c>
      <c r="P84" s="133" t="n">
        <v>0</v>
      </c>
      <c r="Q84" s="134" t="n">
        <v>0</v>
      </c>
      <c r="R84" s="134" t="n">
        <v>0</v>
      </c>
      <c r="S84" s="134" t="n">
        <v>0</v>
      </c>
      <c r="T84" s="135" t="n">
        <v>0</v>
      </c>
      <c r="V84" s="133" t="n">
        <v>0</v>
      </c>
      <c r="W84" s="134" t="n">
        <v>0</v>
      </c>
      <c r="X84" s="134" t="n">
        <v>0</v>
      </c>
      <c r="Y84" s="134" t="n">
        <v>0</v>
      </c>
      <c r="Z84" s="135" t="n">
        <v>0</v>
      </c>
    </row>
    <row r="85" ht="15" customHeight="1" thickBot="1">
      <c r="B85" s="59" t="inlineStr">
        <is>
          <t>Non-Rebatable</t>
        </is>
      </c>
      <c r="D85" s="136" t="n">
        <v>0</v>
      </c>
      <c r="E85" s="137" t="n">
        <v>0</v>
      </c>
      <c r="F85" s="137" t="n">
        <v>0</v>
      </c>
      <c r="G85" s="137" t="n">
        <v>0</v>
      </c>
      <c r="H85" s="138" t="n">
        <v>0</v>
      </c>
      <c r="J85" s="139" t="n">
        <v>0</v>
      </c>
      <c r="K85" s="140" t="n">
        <v>0</v>
      </c>
      <c r="L85" s="140" t="n">
        <v>0</v>
      </c>
      <c r="M85" s="140" t="n">
        <v>0</v>
      </c>
      <c r="N85" s="141" t="n">
        <v>0</v>
      </c>
      <c r="P85" s="139" t="n">
        <v>0</v>
      </c>
      <c r="Q85" s="140" t="n">
        <v>0</v>
      </c>
      <c r="R85" s="140" t="n">
        <v>0</v>
      </c>
      <c r="S85" s="140" t="n">
        <v>0</v>
      </c>
      <c r="T85" s="141" t="n">
        <v>0</v>
      </c>
      <c r="V85" s="139" t="n">
        <v>0</v>
      </c>
      <c r="W85" s="140" t="n">
        <v>0</v>
      </c>
      <c r="X85" s="140" t="n">
        <v>0</v>
      </c>
      <c r="Y85" s="140" t="n">
        <v>0</v>
      </c>
      <c r="Z85" s="141" t="n">
        <v>0</v>
      </c>
    </row>
    <row r="86" ht="15.6" customHeight="1" thickBot="1" thickTop="1">
      <c r="B86" s="69" t="inlineStr">
        <is>
          <t>Total</t>
        </is>
      </c>
      <c r="D86" s="142" t="n">
        <v>0</v>
      </c>
      <c r="E86" s="143" t="n">
        <v>0</v>
      </c>
      <c r="F86" s="143" t="n">
        <v>0</v>
      </c>
      <c r="G86" s="143" t="n">
        <v>0</v>
      </c>
      <c r="H86" s="144" t="n">
        <v>0</v>
      </c>
      <c r="J86" s="142" t="n">
        <v>0</v>
      </c>
      <c r="K86" s="143" t="n">
        <v>0</v>
      </c>
      <c r="L86" s="143" t="n">
        <v>0</v>
      </c>
      <c r="M86" s="143" t="n">
        <v>0</v>
      </c>
      <c r="N86" s="144" t="n">
        <v>0</v>
      </c>
      <c r="P86" s="142" t="n">
        <v>0</v>
      </c>
      <c r="Q86" s="143" t="n">
        <v>0</v>
      </c>
      <c r="R86" s="143" t="n">
        <v>0</v>
      </c>
      <c r="S86" s="143" t="n">
        <v>0</v>
      </c>
      <c r="T86" s="144" t="n">
        <v>0</v>
      </c>
      <c r="V86" s="142" t="n">
        <v>0</v>
      </c>
      <c r="W86" s="143" t="n">
        <v>0</v>
      </c>
      <c r="X86" s="143" t="n">
        <v>0</v>
      </c>
      <c r="Y86" s="143" t="n">
        <v>0</v>
      </c>
      <c r="Z86" s="144" t="n">
        <v>0</v>
      </c>
    </row>
    <row r="87" ht="15" customHeight="1" thickBot="1">
      <c r="D87" s="145" t="n"/>
      <c r="E87" s="145" t="n"/>
      <c r="F87" s="145" t="n"/>
      <c r="G87" s="145" t="n"/>
      <c r="H87" s="145" t="n"/>
      <c r="J87" s="145" t="n"/>
      <c r="K87" s="145" t="n"/>
      <c r="L87" s="145" t="n"/>
      <c r="M87" s="145" t="n"/>
      <c r="N87" s="145" t="n"/>
      <c r="P87" s="145" t="n"/>
      <c r="Q87" s="145" t="n"/>
      <c r="R87" s="145" t="n"/>
      <c r="S87" s="145" t="n"/>
      <c r="T87" s="145" t="n"/>
      <c r="V87" s="145" t="n"/>
      <c r="W87" s="145" t="n"/>
      <c r="X87" s="145" t="n"/>
      <c r="Y87" s="145" t="n"/>
      <c r="Z87" s="145" t="n"/>
    </row>
    <row r="88" ht="15" customHeight="1" thickBot="1">
      <c r="B88" s="27" t="inlineStr">
        <is>
          <t>Excl - Total</t>
        </is>
      </c>
      <c r="D88" s="28" t="inlineStr">
        <is>
          <t>R30</t>
        </is>
      </c>
      <c r="E88" s="29" t="inlineStr">
        <is>
          <t>R90</t>
        </is>
      </c>
      <c r="F88" s="29" t="inlineStr">
        <is>
          <t>Mail</t>
        </is>
      </c>
      <c r="G88" s="29" t="inlineStr">
        <is>
          <t>Specialty</t>
        </is>
      </c>
      <c r="H88" s="30" t="inlineStr">
        <is>
          <t>Total</t>
        </is>
      </c>
      <c r="J88" s="28" t="inlineStr">
        <is>
          <t>R30</t>
        </is>
      </c>
      <c r="K88" s="29" t="inlineStr">
        <is>
          <t>R90</t>
        </is>
      </c>
      <c r="L88" s="29" t="inlineStr">
        <is>
          <t>Mail</t>
        </is>
      </c>
      <c r="M88" s="29" t="inlineStr">
        <is>
          <t>Specialty</t>
        </is>
      </c>
      <c r="N88" s="30" t="inlineStr">
        <is>
          <t>Total</t>
        </is>
      </c>
      <c r="P88" s="28" t="inlineStr">
        <is>
          <t>R30</t>
        </is>
      </c>
      <c r="Q88" s="29" t="inlineStr">
        <is>
          <t>R90</t>
        </is>
      </c>
      <c r="R88" s="29" t="inlineStr">
        <is>
          <t>Mail</t>
        </is>
      </c>
      <c r="S88" s="29" t="inlineStr">
        <is>
          <t>Specialty</t>
        </is>
      </c>
      <c r="T88" s="30" t="inlineStr">
        <is>
          <t>Total</t>
        </is>
      </c>
      <c r="V88" s="28" t="inlineStr">
        <is>
          <t>R30</t>
        </is>
      </c>
      <c r="W88" s="29" t="inlineStr">
        <is>
          <t>R90</t>
        </is>
      </c>
      <c r="X88" s="29" t="inlineStr">
        <is>
          <t>Mail</t>
        </is>
      </c>
      <c r="Y88" s="29" t="inlineStr">
        <is>
          <t>Specialty</t>
        </is>
      </c>
      <c r="Z88" s="30" t="inlineStr">
        <is>
          <t>Total</t>
        </is>
      </c>
    </row>
    <row r="89">
      <c r="B89" s="38" t="inlineStr">
        <is>
          <t>OTCs</t>
        </is>
      </c>
      <c r="D89" s="127" t="n">
        <v>0</v>
      </c>
      <c r="E89" s="128" t="n">
        <v>0</v>
      </c>
      <c r="F89" s="128" t="n">
        <v>0</v>
      </c>
      <c r="G89" s="128" t="n">
        <v>0</v>
      </c>
      <c r="H89" s="129" t="n">
        <v>0</v>
      </c>
      <c r="J89" s="127" t="n">
        <v>0</v>
      </c>
      <c r="K89" s="128" t="n">
        <v>0</v>
      </c>
      <c r="L89" s="128" t="n">
        <v>0</v>
      </c>
      <c r="M89" s="128" t="n">
        <v>0</v>
      </c>
      <c r="N89" s="129" t="n">
        <v>0</v>
      </c>
      <c r="P89" s="127" t="n">
        <v>0</v>
      </c>
      <c r="Q89" s="128" t="n">
        <v>0</v>
      </c>
      <c r="R89" s="128" t="n">
        <v>0</v>
      </c>
      <c r="S89" s="128" t="n">
        <v>0</v>
      </c>
      <c r="T89" s="129" t="n">
        <v>0</v>
      </c>
      <c r="V89" s="127" t="n">
        <v>0</v>
      </c>
      <c r="W89" s="128" t="n">
        <v>0</v>
      </c>
      <c r="X89" s="128" t="n">
        <v>0</v>
      </c>
      <c r="Y89" s="128" t="n">
        <v>0</v>
      </c>
      <c r="Z89" s="129" t="n">
        <v>0</v>
      </c>
    </row>
    <row r="90">
      <c r="B90" s="49" t="inlineStr">
        <is>
          <t>Devices</t>
        </is>
      </c>
      <c r="D90" s="130" t="n">
        <v>0</v>
      </c>
      <c r="E90" s="131" t="n">
        <v>0</v>
      </c>
      <c r="F90" s="131" t="n">
        <v>0</v>
      </c>
      <c r="G90" s="131" t="n">
        <v>0</v>
      </c>
      <c r="H90" s="132" t="n">
        <v>0</v>
      </c>
      <c r="J90" s="130" t="n">
        <v>0</v>
      </c>
      <c r="K90" s="131" t="n">
        <v>0</v>
      </c>
      <c r="L90" s="131" t="n">
        <v>0</v>
      </c>
      <c r="M90" s="131" t="n">
        <v>0</v>
      </c>
      <c r="N90" s="132" t="n">
        <v>0</v>
      </c>
      <c r="P90" s="130" t="n">
        <v>0</v>
      </c>
      <c r="Q90" s="131" t="n">
        <v>0</v>
      </c>
      <c r="R90" s="131" t="n">
        <v>0</v>
      </c>
      <c r="S90" s="131" t="n">
        <v>0</v>
      </c>
      <c r="T90" s="132" t="n">
        <v>0</v>
      </c>
      <c r="V90" s="130" t="n">
        <v>0</v>
      </c>
      <c r="W90" s="131" t="n">
        <v>0</v>
      </c>
      <c r="X90" s="131" t="n">
        <v>0</v>
      </c>
      <c r="Y90" s="131" t="n">
        <v>0</v>
      </c>
      <c r="Z90" s="132" t="n">
        <v>0</v>
      </c>
    </row>
    <row r="91">
      <c r="B91" s="64" t="inlineStr">
        <is>
          <t>Vaccines</t>
        </is>
      </c>
      <c r="D91" s="130" t="n">
        <v>0</v>
      </c>
      <c r="E91" s="131" t="n">
        <v>0</v>
      </c>
      <c r="F91" s="131" t="n">
        <v>0</v>
      </c>
      <c r="G91" s="131" t="n">
        <v>0</v>
      </c>
      <c r="H91" s="132" t="n">
        <v>0</v>
      </c>
      <c r="J91" s="130" t="n">
        <v>0</v>
      </c>
      <c r="K91" s="131" t="n">
        <v>0</v>
      </c>
      <c r="L91" s="131" t="n">
        <v>0</v>
      </c>
      <c r="M91" s="131" t="n">
        <v>0</v>
      </c>
      <c r="N91" s="132" t="n">
        <v>0</v>
      </c>
      <c r="P91" s="130" t="n">
        <v>0</v>
      </c>
      <c r="Q91" s="131" t="n">
        <v>0</v>
      </c>
      <c r="R91" s="131" t="n">
        <v>0</v>
      </c>
      <c r="S91" s="131" t="n">
        <v>0</v>
      </c>
      <c r="T91" s="132" t="n">
        <v>0</v>
      </c>
      <c r="V91" s="130" t="n">
        <v>0</v>
      </c>
      <c r="W91" s="131" t="n">
        <v>0</v>
      </c>
      <c r="X91" s="131" t="n">
        <v>0</v>
      </c>
      <c r="Y91" s="131" t="n">
        <v>0</v>
      </c>
      <c r="Z91" s="132" t="n">
        <v>0</v>
      </c>
    </row>
    <row r="92">
      <c r="B92" s="64" t="inlineStr">
        <is>
          <t>Repackaged</t>
        </is>
      </c>
      <c r="D92" s="130" t="n">
        <v>0</v>
      </c>
      <c r="E92" s="131" t="n">
        <v>0</v>
      </c>
      <c r="F92" s="131" t="n">
        <v>0</v>
      </c>
      <c r="G92" s="131" t="n">
        <v>0</v>
      </c>
      <c r="H92" s="132" t="n">
        <v>0</v>
      </c>
      <c r="J92" s="130" t="n">
        <v>0</v>
      </c>
      <c r="K92" s="131" t="n">
        <v>0</v>
      </c>
      <c r="L92" s="131" t="n">
        <v>0</v>
      </c>
      <c r="M92" s="131" t="n">
        <v>0</v>
      </c>
      <c r="N92" s="132" t="n">
        <v>0</v>
      </c>
      <c r="P92" s="130" t="n">
        <v>0</v>
      </c>
      <c r="Q92" s="131" t="n">
        <v>0</v>
      </c>
      <c r="R92" s="131" t="n">
        <v>0</v>
      </c>
      <c r="S92" s="131" t="n">
        <v>0</v>
      </c>
      <c r="T92" s="132" t="n">
        <v>0</v>
      </c>
      <c r="V92" s="130" t="n">
        <v>0</v>
      </c>
      <c r="W92" s="131" t="n">
        <v>0</v>
      </c>
      <c r="X92" s="131" t="n">
        <v>0</v>
      </c>
      <c r="Y92" s="131" t="n">
        <v>0</v>
      </c>
      <c r="Z92" s="132" t="n">
        <v>0</v>
      </c>
    </row>
    <row r="93">
      <c r="B93" s="64" t="inlineStr">
        <is>
          <t>MSBs</t>
        </is>
      </c>
      <c r="D93" s="130" t="n">
        <v>0</v>
      </c>
      <c r="E93" s="131" t="n">
        <v>0</v>
      </c>
      <c r="F93" s="131" t="n">
        <v>0</v>
      </c>
      <c r="G93" s="131" t="n">
        <v>0</v>
      </c>
      <c r="H93" s="132" t="n">
        <v>0</v>
      </c>
      <c r="J93" s="130" t="n">
        <v>0</v>
      </c>
      <c r="K93" s="131" t="n">
        <v>0</v>
      </c>
      <c r="L93" s="131" t="n">
        <v>0</v>
      </c>
      <c r="M93" s="131" t="n">
        <v>0</v>
      </c>
      <c r="N93" s="132" t="n">
        <v>0</v>
      </c>
      <c r="P93" s="130" t="n">
        <v>0</v>
      </c>
      <c r="Q93" s="131" t="n">
        <v>0</v>
      </c>
      <c r="R93" s="131" t="n">
        <v>0</v>
      </c>
      <c r="S93" s="131" t="n">
        <v>0</v>
      </c>
      <c r="T93" s="132" t="n">
        <v>0</v>
      </c>
      <c r="V93" s="130" t="n">
        <v>0</v>
      </c>
      <c r="W93" s="131" t="n">
        <v>0</v>
      </c>
      <c r="X93" s="131" t="n">
        <v>0</v>
      </c>
      <c r="Y93" s="131" t="n">
        <v>0</v>
      </c>
      <c r="Z93" s="132" t="n">
        <v>0</v>
      </c>
    </row>
    <row r="94">
      <c r="B94" s="64" t="inlineStr">
        <is>
          <t>Non FDA Approved</t>
        </is>
      </c>
      <c r="D94" s="130" t="n">
        <v>0</v>
      </c>
      <c r="E94" s="131" t="n">
        <v>0</v>
      </c>
      <c r="F94" s="131" t="n">
        <v>0</v>
      </c>
      <c r="G94" s="131" t="n">
        <v>0</v>
      </c>
      <c r="H94" s="132" t="n">
        <v>0</v>
      </c>
      <c r="J94" s="130" t="n">
        <v>0</v>
      </c>
      <c r="K94" s="131" t="n">
        <v>0</v>
      </c>
      <c r="L94" s="131" t="n">
        <v>0</v>
      </c>
      <c r="M94" s="131" t="n">
        <v>0</v>
      </c>
      <c r="N94" s="132" t="n">
        <v>0</v>
      </c>
      <c r="P94" s="130" t="n">
        <v>0</v>
      </c>
      <c r="Q94" s="131" t="n">
        <v>0</v>
      </c>
      <c r="R94" s="131" t="n">
        <v>0</v>
      </c>
      <c r="S94" s="131" t="n">
        <v>0</v>
      </c>
      <c r="T94" s="132" t="n">
        <v>0</v>
      </c>
      <c r="V94" s="130" t="n">
        <v>0</v>
      </c>
      <c r="W94" s="131" t="n">
        <v>0</v>
      </c>
      <c r="X94" s="131" t="n">
        <v>0</v>
      </c>
      <c r="Y94" s="131" t="n">
        <v>0</v>
      </c>
      <c r="Z94" s="132" t="n">
        <v>0</v>
      </c>
    </row>
    <row r="95">
      <c r="B95" s="64" t="inlineStr">
        <is>
          <t>LDD</t>
        </is>
      </c>
      <c r="D95" s="130" t="n">
        <v>0</v>
      </c>
      <c r="E95" s="131" t="n">
        <v>0</v>
      </c>
      <c r="F95" s="131" t="n">
        <v>0</v>
      </c>
      <c r="G95" s="131" t="n">
        <v>0</v>
      </c>
      <c r="H95" s="132" t="n">
        <v>0</v>
      </c>
      <c r="J95" s="130" t="n">
        <v>0</v>
      </c>
      <c r="K95" s="131" t="n">
        <v>0</v>
      </c>
      <c r="L95" s="131" t="n">
        <v>0</v>
      </c>
      <c r="M95" s="131" t="n">
        <v>0</v>
      </c>
      <c r="N95" s="132" t="n">
        <v>0</v>
      </c>
      <c r="P95" s="130" t="n">
        <v>0</v>
      </c>
      <c r="Q95" s="131" t="n">
        <v>0</v>
      </c>
      <c r="R95" s="131" t="n">
        <v>0</v>
      </c>
      <c r="S95" s="131" t="n">
        <v>0</v>
      </c>
      <c r="T95" s="132" t="n">
        <v>0</v>
      </c>
      <c r="V95" s="130" t="n">
        <v>0</v>
      </c>
      <c r="W95" s="131" t="n">
        <v>0</v>
      </c>
      <c r="X95" s="131" t="n">
        <v>0</v>
      </c>
      <c r="Y95" s="131" t="n">
        <v>0</v>
      </c>
      <c r="Z95" s="132" t="n">
        <v>0</v>
      </c>
    </row>
    <row r="96">
      <c r="B96" s="64" t="inlineStr">
        <is>
          <t>Institutional NDCs</t>
        </is>
      </c>
      <c r="D96" s="130" t="n">
        <v>0</v>
      </c>
      <c r="E96" s="131" t="n">
        <v>0</v>
      </c>
      <c r="F96" s="131" t="n">
        <v>0</v>
      </c>
      <c r="G96" s="131" t="n">
        <v>0</v>
      </c>
      <c r="H96" s="132" t="n">
        <v>0</v>
      </c>
      <c r="J96" s="130" t="n">
        <v>0</v>
      </c>
      <c r="K96" s="131" t="n">
        <v>0</v>
      </c>
      <c r="L96" s="131" t="n">
        <v>0</v>
      </c>
      <c r="M96" s="131" t="n">
        <v>0</v>
      </c>
      <c r="N96" s="132" t="n">
        <v>0</v>
      </c>
      <c r="P96" s="130" t="n">
        <v>0</v>
      </c>
      <c r="Q96" s="131" t="n">
        <v>0</v>
      </c>
      <c r="R96" s="131" t="n">
        <v>0</v>
      </c>
      <c r="S96" s="131" t="n">
        <v>0</v>
      </c>
      <c r="T96" s="132" t="n">
        <v>0</v>
      </c>
      <c r="V96" s="130" t="n">
        <v>0</v>
      </c>
      <c r="W96" s="131" t="n">
        <v>0</v>
      </c>
      <c r="X96" s="131" t="n">
        <v>0</v>
      </c>
      <c r="Y96" s="131" t="n">
        <v>0</v>
      </c>
      <c r="Z96" s="132" t="n">
        <v>0</v>
      </c>
    </row>
    <row r="97">
      <c r="B97" s="64" t="inlineStr">
        <is>
          <t>Formulary Exclusions</t>
        </is>
      </c>
      <c r="D97" s="130" t="n">
        <v>0</v>
      </c>
      <c r="E97" s="131" t="n">
        <v>0</v>
      </c>
      <c r="F97" s="131" t="n">
        <v>0</v>
      </c>
      <c r="G97" s="131" t="n">
        <v>0</v>
      </c>
      <c r="H97" s="132" t="n">
        <v>0</v>
      </c>
      <c r="J97" s="130" t="n">
        <v>0</v>
      </c>
      <c r="K97" s="131" t="n">
        <v>0</v>
      </c>
      <c r="L97" s="131" t="n">
        <v>0</v>
      </c>
      <c r="M97" s="131" t="n">
        <v>0</v>
      </c>
      <c r="N97" s="132" t="n">
        <v>0</v>
      </c>
      <c r="P97" s="130" t="n">
        <v>0</v>
      </c>
      <c r="Q97" s="131" t="n">
        <v>0</v>
      </c>
      <c r="R97" s="131" t="n">
        <v>0</v>
      </c>
      <c r="S97" s="131" t="n">
        <v>0</v>
      </c>
      <c r="T97" s="132" t="n">
        <v>0</v>
      </c>
      <c r="V97" s="130" t="n">
        <v>0</v>
      </c>
      <c r="W97" s="131" t="n">
        <v>0</v>
      </c>
      <c r="X97" s="131" t="n">
        <v>0</v>
      </c>
      <c r="Y97" s="131" t="n">
        <v>0</v>
      </c>
      <c r="Z97" s="132" t="n">
        <v>0</v>
      </c>
    </row>
    <row r="98">
      <c r="B98" s="64" t="inlineStr">
        <is>
          <t>Synthroid</t>
        </is>
      </c>
      <c r="D98" s="130" t="n">
        <v>0</v>
      </c>
      <c r="E98" s="131" t="n">
        <v>0</v>
      </c>
      <c r="F98" s="131" t="n">
        <v>0</v>
      </c>
      <c r="G98" s="131" t="n">
        <v>0</v>
      </c>
      <c r="H98" s="132" t="n">
        <v>0</v>
      </c>
      <c r="J98" s="130" t="n">
        <v>0</v>
      </c>
      <c r="K98" s="131" t="n">
        <v>0</v>
      </c>
      <c r="L98" s="131" t="n">
        <v>0</v>
      </c>
      <c r="M98" s="131" t="n">
        <v>0</v>
      </c>
      <c r="N98" s="132" t="n">
        <v>0</v>
      </c>
      <c r="P98" s="130" t="n">
        <v>0</v>
      </c>
      <c r="Q98" s="131" t="n">
        <v>0</v>
      </c>
      <c r="R98" s="131" t="n">
        <v>0</v>
      </c>
      <c r="S98" s="131" t="n">
        <v>0</v>
      </c>
      <c r="T98" s="132" t="n">
        <v>0</v>
      </c>
      <c r="V98" s="130" t="n">
        <v>0</v>
      </c>
      <c r="W98" s="131" t="n">
        <v>0</v>
      </c>
      <c r="X98" s="131" t="n">
        <v>0</v>
      </c>
      <c r="Y98" s="131" t="n">
        <v>0</v>
      </c>
      <c r="Z98" s="132" t="n">
        <v>0</v>
      </c>
    </row>
    <row r="99">
      <c r="B99" s="64" t="inlineStr">
        <is>
          <t>Misc</t>
        </is>
      </c>
      <c r="D99" s="130" t="n">
        <v>0</v>
      </c>
      <c r="E99" s="131" t="n">
        <v>0</v>
      </c>
      <c r="F99" s="131" t="n">
        <v>0</v>
      </c>
      <c r="G99" s="131" t="n">
        <v>0</v>
      </c>
      <c r="H99" s="132" t="n">
        <v>0</v>
      </c>
      <c r="J99" s="130" t="n">
        <v>1964.875071784408</v>
      </c>
      <c r="K99" s="131" t="n">
        <v>347.8756485030455</v>
      </c>
      <c r="L99" s="131" t="n">
        <v>130.6682137649017</v>
      </c>
      <c r="M99" s="131" t="n">
        <v>663.9327169755762</v>
      </c>
      <c r="N99" s="132" t="n">
        <v>3107.351651027931</v>
      </c>
      <c r="P99" s="130" t="n">
        <v>2163.155319482375</v>
      </c>
      <c r="Q99" s="131" t="n">
        <v>372.0859813343213</v>
      </c>
      <c r="R99" s="131" t="n">
        <v>143.0165673943964</v>
      </c>
      <c r="S99" s="131" t="n">
        <v>753.6182474419381</v>
      </c>
      <c r="T99" s="132" t="n">
        <v>3431.876115653031</v>
      </c>
      <c r="V99" s="130" t="n">
        <v>2378.866087308556</v>
      </c>
      <c r="W99" s="131" t="n">
        <v>407.7078036315903</v>
      </c>
      <c r="X99" s="131" t="n">
        <v>157.7761316534636</v>
      </c>
      <c r="Y99" s="131" t="n">
        <v>854.1693686244977</v>
      </c>
      <c r="Z99" s="132" t="n">
        <v>3798.519391218107</v>
      </c>
    </row>
    <row r="100">
      <c r="B100" s="64" t="inlineStr">
        <is>
          <t>Specialty</t>
        </is>
      </c>
      <c r="D100" s="133" t="n">
        <v>0</v>
      </c>
      <c r="E100" s="134" t="n">
        <v>0</v>
      </c>
      <c r="F100" s="134" t="n">
        <v>0</v>
      </c>
      <c r="G100" s="134" t="n">
        <v>0</v>
      </c>
      <c r="H100" s="135" t="n">
        <v>0</v>
      </c>
      <c r="J100" s="133" t="n">
        <v>0</v>
      </c>
      <c r="K100" s="134" t="n">
        <v>0</v>
      </c>
      <c r="L100" s="134" t="n">
        <v>0</v>
      </c>
      <c r="M100" s="134" t="n">
        <v>0</v>
      </c>
      <c r="N100" s="135" t="n">
        <v>0</v>
      </c>
      <c r="P100" s="133" t="n">
        <v>0</v>
      </c>
      <c r="Q100" s="134" t="n">
        <v>0</v>
      </c>
      <c r="R100" s="134" t="n">
        <v>0</v>
      </c>
      <c r="S100" s="134" t="n">
        <v>0</v>
      </c>
      <c r="T100" s="135" t="n">
        <v>0</v>
      </c>
      <c r="V100" s="133" t="n">
        <v>0</v>
      </c>
      <c r="W100" s="134" t="n">
        <v>0</v>
      </c>
      <c r="X100" s="134" t="n">
        <v>0</v>
      </c>
      <c r="Y100" s="134" t="n">
        <v>0</v>
      </c>
      <c r="Z100" s="135" t="n">
        <v>0</v>
      </c>
    </row>
    <row r="101">
      <c r="A101" s="98" t="inlineStr">
        <is>
          <t>Added MFP row but needs adjusting for non-CY</t>
        </is>
      </c>
      <c r="B101" s="64" t="inlineStr">
        <is>
          <t>MFP</t>
        </is>
      </c>
      <c r="D101" s="133" t="n">
        <v>0</v>
      </c>
      <c r="E101" s="134" t="n">
        <v>0</v>
      </c>
      <c r="F101" s="134" t="n">
        <v>0</v>
      </c>
      <c r="G101" s="134" t="n">
        <v>0</v>
      </c>
      <c r="H101" s="135" t="n">
        <v>0</v>
      </c>
      <c r="J101" s="133" t="n">
        <v>0</v>
      </c>
      <c r="K101" s="134" t="n">
        <v>0</v>
      </c>
      <c r="L101" s="134" t="n">
        <v>0</v>
      </c>
      <c r="M101" s="134" t="n">
        <v>0</v>
      </c>
      <c r="N101" s="135" t="n">
        <v>0</v>
      </c>
      <c r="P101" s="133" t="n">
        <v>0</v>
      </c>
      <c r="Q101" s="134" t="n">
        <v>0</v>
      </c>
      <c r="R101" s="134" t="n">
        <v>0</v>
      </c>
      <c r="S101" s="134" t="n">
        <v>0</v>
      </c>
      <c r="T101" s="135" t="n">
        <v>0</v>
      </c>
      <c r="V101" s="133" t="n">
        <v>0</v>
      </c>
      <c r="W101" s="134" t="n">
        <v>0</v>
      </c>
      <c r="X101" s="134" t="n">
        <v>0</v>
      </c>
      <c r="Y101" s="134" t="n">
        <v>0</v>
      </c>
      <c r="Z101" s="135" t="n">
        <v>0</v>
      </c>
    </row>
    <row r="102">
      <c r="B102" s="100">
        <f>$B$66</f>
        <v/>
      </c>
      <c r="D102" s="133" t="n">
        <v>0</v>
      </c>
      <c r="E102" s="134" t="n">
        <v>0</v>
      </c>
      <c r="F102" s="134" t="n">
        <v>0</v>
      </c>
      <c r="G102" s="134" t="n">
        <v>0</v>
      </c>
      <c r="H102" s="135" t="n">
        <v>0</v>
      </c>
      <c r="J102" s="133" t="n">
        <v>0</v>
      </c>
      <c r="K102" s="134" t="n">
        <v>0</v>
      </c>
      <c r="L102" s="134" t="n">
        <v>0</v>
      </c>
      <c r="M102" s="134" t="n">
        <v>0</v>
      </c>
      <c r="N102" s="135" t="n">
        <v>0</v>
      </c>
      <c r="P102" s="133" t="n">
        <v>0</v>
      </c>
      <c r="Q102" s="134" t="n">
        <v>0</v>
      </c>
      <c r="R102" s="134" t="n">
        <v>0</v>
      </c>
      <c r="S102" s="134" t="n">
        <v>0</v>
      </c>
      <c r="T102" s="135" t="n">
        <v>0</v>
      </c>
      <c r="V102" s="133" t="n">
        <v>0</v>
      </c>
      <c r="W102" s="134" t="n">
        <v>0</v>
      </c>
      <c r="X102" s="134" t="n">
        <v>0</v>
      </c>
      <c r="Y102" s="134" t="n">
        <v>0</v>
      </c>
      <c r="Z102" s="135" t="n">
        <v>0</v>
      </c>
    </row>
    <row r="103" ht="15" customHeight="1" thickBot="1">
      <c r="B103" s="59" t="inlineStr">
        <is>
          <t>Non-Rebatable</t>
        </is>
      </c>
      <c r="D103" s="136" t="n">
        <v>0</v>
      </c>
      <c r="E103" s="137" t="n">
        <v>0</v>
      </c>
      <c r="F103" s="137" t="n">
        <v>0</v>
      </c>
      <c r="G103" s="137" t="n">
        <v>0</v>
      </c>
      <c r="H103" s="138" t="n">
        <v>0</v>
      </c>
      <c r="J103" s="139" t="n">
        <v>0</v>
      </c>
      <c r="K103" s="140" t="n">
        <v>0</v>
      </c>
      <c r="L103" s="140" t="n">
        <v>0</v>
      </c>
      <c r="M103" s="140" t="n">
        <v>0</v>
      </c>
      <c r="N103" s="141" t="n">
        <v>0</v>
      </c>
      <c r="P103" s="139" t="n">
        <v>0</v>
      </c>
      <c r="Q103" s="140" t="n">
        <v>0</v>
      </c>
      <c r="R103" s="140" t="n">
        <v>0</v>
      </c>
      <c r="S103" s="140" t="n">
        <v>0</v>
      </c>
      <c r="T103" s="141" t="n">
        <v>0</v>
      </c>
      <c r="V103" s="139" t="n">
        <v>0</v>
      </c>
      <c r="W103" s="140" t="n">
        <v>0</v>
      </c>
      <c r="X103" s="140" t="n">
        <v>0</v>
      </c>
      <c r="Y103" s="140" t="n">
        <v>0</v>
      </c>
      <c r="Z103" s="141" t="n">
        <v>0</v>
      </c>
    </row>
    <row r="104" ht="15.6" customHeight="1" thickBot="1" thickTop="1">
      <c r="B104" s="69" t="inlineStr">
        <is>
          <t>Total</t>
        </is>
      </c>
      <c r="D104" s="142" t="n">
        <v>0</v>
      </c>
      <c r="E104" s="143" t="n">
        <v>0</v>
      </c>
      <c r="F104" s="143" t="n">
        <v>0</v>
      </c>
      <c r="G104" s="143" t="n">
        <v>0</v>
      </c>
      <c r="H104" s="144" t="n">
        <v>0</v>
      </c>
      <c r="J104" s="142" t="n">
        <v>1964.875071784408</v>
      </c>
      <c r="K104" s="143" t="n">
        <v>347.8756485030455</v>
      </c>
      <c r="L104" s="143" t="n">
        <v>130.6682137649017</v>
      </c>
      <c r="M104" s="143" t="n">
        <v>663.9327169755762</v>
      </c>
      <c r="N104" s="144" t="n">
        <v>3107.351651027931</v>
      </c>
      <c r="P104" s="142" t="n">
        <v>2163.155319482375</v>
      </c>
      <c r="Q104" s="143" t="n">
        <v>372.0859813343213</v>
      </c>
      <c r="R104" s="143" t="n">
        <v>143.0165673943964</v>
      </c>
      <c r="S104" s="143" t="n">
        <v>753.6182474419381</v>
      </c>
      <c r="T104" s="144" t="n">
        <v>3431.876115653031</v>
      </c>
      <c r="V104" s="142" t="n">
        <v>2378.866087308556</v>
      </c>
      <c r="W104" s="143" t="n">
        <v>407.7078036315903</v>
      </c>
      <c r="X104" s="143" t="n">
        <v>157.7761316534636</v>
      </c>
      <c r="Y104" s="143" t="n">
        <v>854.1693686244977</v>
      </c>
      <c r="Z104" s="144" t="n">
        <v>3798.519391218107</v>
      </c>
    </row>
    <row r="105" ht="30.3" customHeight="1" thickBot="1"/>
    <row r="106" ht="15" customHeight="1" thickBot="1">
      <c r="B106" s="110" t="inlineStr">
        <is>
          <t>Removed Claims</t>
        </is>
      </c>
      <c r="H106" s="111" t="n">
        <v>0</v>
      </c>
    </row>
    <row r="107" ht="15" customHeight="1" thickBot="1"/>
    <row r="108" ht="15" customHeight="1" thickBot="1">
      <c r="B108" s="112" t="inlineStr">
        <is>
          <t>Total</t>
        </is>
      </c>
      <c r="H108" s="113" t="n">
        <v>1576682</v>
      </c>
    </row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 ht="30.3" customHeight="1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 ht="30.3" customHeight="1"/>
    <row r="154">
      <c r="AM154" s="117" t="n"/>
      <c r="AN154" s="117" t="n"/>
    </row>
    <row r="155">
      <c r="AM155" s="117" t="n"/>
      <c r="AN155" s="117" t="n"/>
    </row>
    <row r="156">
      <c r="AM156" s="117" t="n"/>
      <c r="AN156" s="117" t="n"/>
    </row>
    <row r="157">
      <c r="AM157" s="117" t="n"/>
      <c r="AN157" s="117" t="n"/>
    </row>
    <row r="158">
      <c r="AM158" s="117" t="n"/>
      <c r="AN158" s="117" t="n"/>
    </row>
    <row r="159">
      <c r="AM159" s="117" t="n"/>
      <c r="AN159" s="117" t="n"/>
    </row>
    <row r="160">
      <c r="AM160" s="117" t="n"/>
      <c r="AN160" s="117" t="n"/>
    </row>
    <row r="161">
      <c r="AM161" s="117" t="n"/>
      <c r="AN161" s="117" t="n"/>
    </row>
    <row r="162">
      <c r="AM162" s="117" t="n"/>
      <c r="AN162" s="117" t="n"/>
    </row>
    <row r="163">
      <c r="AM163" s="117" t="n"/>
      <c r="AN163" s="117" t="n"/>
    </row>
    <row r="164">
      <c r="AM164" s="117" t="n"/>
      <c r="AN164" s="117" t="n"/>
    </row>
    <row r="165">
      <c r="AM165" s="117" t="n"/>
      <c r="AN165" s="117" t="n"/>
    </row>
    <row r="166">
      <c r="AM166" s="117" t="n"/>
      <c r="AN166" s="117" t="n"/>
    </row>
    <row r="167">
      <c r="AM167" s="117" t="n"/>
      <c r="AN167" s="117" t="n"/>
    </row>
    <row r="168">
      <c r="AM168" s="117" t="n"/>
      <c r="AN168" s="117" t="n"/>
    </row>
    <row r="169">
      <c r="AM169" s="117" t="n"/>
      <c r="AN169" s="117" t="n"/>
    </row>
    <row r="170">
      <c r="AM170" s="117" t="n"/>
      <c r="AN170" s="117" t="n"/>
    </row>
    <row r="171">
      <c r="AM171" s="117" t="n"/>
      <c r="AN171" s="117" t="n"/>
    </row>
    <row r="172">
      <c r="AM172" s="117" t="n"/>
      <c r="AN172" s="117" t="n"/>
    </row>
    <row r="173">
      <c r="AM173" s="117" t="n"/>
      <c r="AN173" s="117" t="n"/>
    </row>
    <row r="174">
      <c r="AM174" s="117" t="n"/>
      <c r="AN174" s="117" t="n"/>
    </row>
    <row r="175">
      <c r="AM175" s="117" t="n"/>
      <c r="AN175" s="117" t="n"/>
    </row>
    <row r="176">
      <c r="AM176" s="117" t="n"/>
      <c r="AN176" s="117" t="n"/>
    </row>
    <row r="177">
      <c r="AM177" s="117" t="n"/>
      <c r="AN177" s="117" t="n"/>
    </row>
    <row r="178">
      <c r="AM178" s="117" t="n"/>
      <c r="AN178" s="117" t="n"/>
    </row>
    <row r="179">
      <c r="AM179" s="117" t="n"/>
      <c r="AN179" s="117" t="n"/>
    </row>
    <row r="180">
      <c r="AM180" s="117" t="n"/>
      <c r="AN180" s="117" t="n"/>
    </row>
    <row r="181">
      <c r="AM181" s="117" t="n"/>
      <c r="AN181" s="117" t="n"/>
    </row>
    <row r="182">
      <c r="AM182" s="117" t="n"/>
      <c r="AN182" s="117" t="n"/>
    </row>
    <row r="183">
      <c r="AM183" s="117" t="n"/>
      <c r="AN183" s="117" t="n"/>
    </row>
    <row r="184">
      <c r="AM184" s="117" t="n"/>
      <c r="AN184" s="117" t="n"/>
    </row>
    <row r="185">
      <c r="AM185" s="117" t="n"/>
      <c r="AN185" s="117" t="n"/>
    </row>
    <row r="186">
      <c r="AM186" s="117" t="n"/>
      <c r="AN186" s="117" t="n"/>
    </row>
    <row r="187">
      <c r="AM187" s="117" t="n"/>
      <c r="AN187" s="117" t="n"/>
    </row>
    <row r="188">
      <c r="AM188" s="117" t="n"/>
      <c r="AN188" s="117" t="n"/>
    </row>
    <row r="189">
      <c r="AM189" s="117" t="n"/>
      <c r="AN189" s="117" t="n"/>
    </row>
    <row r="190">
      <c r="AM190" s="117" t="n"/>
      <c r="AN190" s="117" t="n"/>
    </row>
    <row r="191">
      <c r="AM191" s="117" t="n"/>
      <c r="AN191" s="117" t="n"/>
    </row>
    <row r="192">
      <c r="AM192" s="117" t="n"/>
      <c r="AN192" s="117" t="n"/>
    </row>
    <row r="193">
      <c r="AM193" s="117" t="n"/>
      <c r="AN193" s="117" t="n"/>
    </row>
    <row r="194">
      <c r="AM194" s="117" t="n"/>
      <c r="AN194" s="117" t="n"/>
    </row>
    <row r="195">
      <c r="AM195" s="117" t="n"/>
      <c r="AN195" s="117" t="n"/>
    </row>
    <row r="196">
      <c r="AM196" s="117" t="n"/>
      <c r="AN196" s="117" t="n"/>
    </row>
    <row r="197">
      <c r="AM197" s="117" t="n"/>
      <c r="AN197" s="117" t="n"/>
    </row>
    <row r="198">
      <c r="AM198" s="117" t="n"/>
      <c r="AN198" s="117" t="n"/>
    </row>
    <row r="199">
      <c r="AM199" s="117" t="n"/>
      <c r="AN199" s="117" t="n"/>
    </row>
    <row r="200">
      <c r="AM200" s="117" t="n"/>
      <c r="AN200" s="117" t="n"/>
    </row>
    <row r="201">
      <c r="AM201" s="117" t="n"/>
      <c r="AN201" s="117" t="n"/>
    </row>
    <row r="202">
      <c r="AM202" s="117" t="n"/>
      <c r="AN202" s="117" t="n"/>
    </row>
    <row r="203">
      <c r="AM203" s="117" t="n"/>
      <c r="AN203" s="117" t="n"/>
    </row>
    <row r="204">
      <c r="AM204" s="117" t="n"/>
      <c r="AN204" s="117" t="n"/>
    </row>
    <row r="205">
      <c r="AM205" s="117" t="n"/>
      <c r="AN205" s="117" t="n"/>
    </row>
    <row r="206">
      <c r="AM206" s="117" t="n"/>
      <c r="AN206" s="117" t="n"/>
    </row>
    <row r="207">
      <c r="AM207" s="117" t="n"/>
      <c r="AN207" s="117" t="n"/>
    </row>
    <row r="208">
      <c r="AM208" s="117" t="n"/>
      <c r="AN208" s="117" t="n"/>
    </row>
    <row r="209">
      <c r="AM209" s="117" t="n"/>
      <c r="AN209" s="117" t="n"/>
    </row>
    <row r="210">
      <c r="AM210" s="117" t="n"/>
      <c r="AN210" s="117" t="n"/>
    </row>
    <row r="211">
      <c r="AM211" s="117" t="n"/>
      <c r="AN211" s="117" t="n"/>
    </row>
    <row r="212">
      <c r="AM212" s="117" t="n"/>
      <c r="AN212" s="117" t="n"/>
    </row>
    <row r="213">
      <c r="AM213" s="117" t="n"/>
      <c r="AN213" s="117" t="n"/>
    </row>
    <row r="214">
      <c r="AM214" s="117" t="n"/>
      <c r="AN214" s="117" t="n"/>
    </row>
    <row r="215">
      <c r="AM215" s="117" t="n"/>
      <c r="AN215" s="117" t="n"/>
    </row>
    <row r="216">
      <c r="AM216" s="117" t="n"/>
      <c r="AN216" s="117" t="n"/>
    </row>
    <row r="217">
      <c r="AM217" s="117" t="n"/>
      <c r="AN217" s="117" t="n"/>
    </row>
    <row r="218">
      <c r="AM218" s="117" t="n"/>
      <c r="AN218" s="117" t="n"/>
    </row>
    <row r="219">
      <c r="AM219" s="117" t="n"/>
      <c r="AN219" s="117" t="n"/>
    </row>
    <row r="220">
      <c r="AM220" s="117" t="n"/>
      <c r="AN220" s="117" t="n"/>
    </row>
    <row r="221">
      <c r="AM221" s="117" t="n"/>
      <c r="AN221" s="117" t="n"/>
    </row>
    <row r="222">
      <c r="AM222" s="117" t="n"/>
      <c r="AN222" s="117" t="n"/>
    </row>
    <row r="223">
      <c r="AM223" s="117" t="n"/>
      <c r="AN223" s="117" t="n"/>
    </row>
    <row r="224">
      <c r="AM224" s="117" t="n"/>
      <c r="AN224" s="117" t="n"/>
    </row>
    <row r="225">
      <c r="AM225" s="117" t="n"/>
      <c r="AN225" s="117" t="n"/>
    </row>
    <row r="226">
      <c r="AM226" s="117" t="n"/>
      <c r="AN226" s="117" t="n"/>
    </row>
    <row r="227">
      <c r="AM227" s="117" t="n"/>
      <c r="AN227" s="117" t="n"/>
    </row>
    <row r="228">
      <c r="AM228" s="117" t="n"/>
      <c r="AN228" s="117" t="n"/>
    </row>
    <row r="229">
      <c r="AM229" s="117" t="n"/>
      <c r="AN229" s="117" t="n"/>
    </row>
    <row r="230">
      <c r="AM230" s="117" t="n"/>
      <c r="AN230" s="117" t="n"/>
    </row>
    <row r="231">
      <c r="AM231" s="117" t="n"/>
      <c r="AN231" s="117" t="n"/>
    </row>
    <row r="232">
      <c r="AM232" s="117" t="n"/>
      <c r="AN232" s="117" t="n"/>
    </row>
    <row r="233">
      <c r="AM233" s="117" t="n"/>
      <c r="AN233" s="117" t="n"/>
    </row>
    <row r="234">
      <c r="AM234" s="117" t="n"/>
      <c r="AN234" s="117" t="n"/>
    </row>
    <row r="235">
      <c r="AM235" s="117" t="n"/>
      <c r="AN235" s="117" t="n"/>
    </row>
    <row r="236">
      <c r="AM236" s="117" t="n"/>
      <c r="AN236" s="117" t="n"/>
    </row>
    <row r="237">
      <c r="AM237" s="117" t="n"/>
      <c r="AN237" s="117" t="n"/>
    </row>
    <row r="238">
      <c r="AM238" s="117" t="n"/>
      <c r="AN238" s="117" t="n"/>
    </row>
    <row r="239">
      <c r="AM239" s="117" t="n"/>
      <c r="AN239" s="117" t="n"/>
    </row>
    <row r="240">
      <c r="AM240" s="117" t="n"/>
      <c r="AN240" s="117" t="n"/>
    </row>
    <row r="241">
      <c r="AM241" s="117" t="n"/>
      <c r="AN241" s="117" t="n"/>
    </row>
    <row r="242">
      <c r="AM242" s="117" t="n"/>
      <c r="AN242" s="117" t="n"/>
    </row>
    <row r="243">
      <c r="AM243" s="117" t="n"/>
      <c r="AN243" s="117" t="n"/>
    </row>
    <row r="244">
      <c r="AM244" s="117" t="n"/>
      <c r="AN244" s="117" t="n"/>
    </row>
    <row r="245">
      <c r="AM245" s="117" t="n"/>
      <c r="AN245" s="117" t="n"/>
    </row>
    <row r="246">
      <c r="AM246" s="117" t="n"/>
      <c r="AN246" s="117" t="n"/>
    </row>
    <row r="247">
      <c r="AM247" s="117" t="n"/>
      <c r="AN247" s="117" t="n"/>
    </row>
    <row r="248">
      <c r="AM248" s="117" t="n"/>
      <c r="AN248" s="117" t="n"/>
    </row>
    <row r="249">
      <c r="AM249" s="117" t="n"/>
      <c r="AN249" s="117" t="n"/>
    </row>
    <row r="250">
      <c r="AM250" s="117" t="n"/>
      <c r="AN250" s="117" t="n"/>
    </row>
    <row r="251">
      <c r="AM251" s="117" t="n"/>
      <c r="AN251" s="117" t="n"/>
    </row>
    <row r="252">
      <c r="AM252" s="117" t="n"/>
      <c r="AN252" s="117" t="n"/>
    </row>
    <row r="253">
      <c r="AM253" s="117" t="n"/>
      <c r="AN253" s="117" t="n"/>
    </row>
    <row r="254">
      <c r="AM254" s="117" t="n"/>
      <c r="AN254" s="117" t="n"/>
    </row>
    <row r="255">
      <c r="AM255" s="117" t="n"/>
      <c r="AN255" s="117" t="n"/>
    </row>
    <row r="256">
      <c r="AM256" s="117" t="n"/>
      <c r="AN256" s="117" t="n"/>
    </row>
    <row r="257">
      <c r="AM257" s="117" t="n"/>
      <c r="AN257" s="117" t="n"/>
    </row>
    <row r="258">
      <c r="AM258" s="117" t="n"/>
      <c r="AN258" s="117" t="n"/>
    </row>
    <row r="259">
      <c r="AM259" s="117" t="n"/>
      <c r="AN259" s="117" t="n"/>
    </row>
    <row r="260">
      <c r="AM260" s="117" t="n"/>
      <c r="AN260" s="117" t="n"/>
    </row>
    <row r="261">
      <c r="AM261" s="117" t="n"/>
      <c r="AN261" s="117" t="n"/>
    </row>
    <row r="262">
      <c r="AM262" s="117" t="n"/>
      <c r="AN262" s="117" t="n"/>
    </row>
    <row r="263">
      <c r="AM263" s="117" t="n"/>
      <c r="AN263" s="117" t="n"/>
    </row>
    <row r="264">
      <c r="AM264" s="117" t="n"/>
      <c r="AN264" s="117" t="n"/>
    </row>
    <row r="265">
      <c r="AM265" s="117" t="n"/>
      <c r="AN265" s="117" t="n"/>
    </row>
    <row r="266">
      <c r="AM266" s="117" t="n"/>
      <c r="AN266" s="117" t="n"/>
    </row>
    <row r="267">
      <c r="AM267" s="117" t="n"/>
      <c r="AN267" s="117" t="n"/>
    </row>
    <row r="268">
      <c r="AM268" s="117" t="n"/>
      <c r="AN268" s="117" t="n"/>
    </row>
    <row r="269">
      <c r="AM269" s="117" t="n"/>
      <c r="AN269" s="117" t="n"/>
    </row>
    <row r="270">
      <c r="AM270" s="117" t="n"/>
      <c r="AN270" s="117" t="n"/>
    </row>
    <row r="271">
      <c r="AM271" s="117" t="n"/>
      <c r="AN271" s="117" t="n"/>
    </row>
    <row r="272">
      <c r="AM272" s="117" t="n"/>
      <c r="AN272" s="117" t="n"/>
    </row>
    <row r="273">
      <c r="AM273" s="117" t="n"/>
      <c r="AN273" s="117" t="n"/>
    </row>
    <row r="274">
      <c r="AM274" s="117" t="n"/>
      <c r="AN274" s="117" t="n"/>
    </row>
    <row r="275">
      <c r="AM275" s="117" t="n"/>
      <c r="AN275" s="117" t="n"/>
    </row>
    <row r="276">
      <c r="AM276" s="117" t="n"/>
      <c r="AN276" s="117" t="n"/>
    </row>
    <row r="277">
      <c r="AM277" s="117" t="n"/>
      <c r="AN277" s="117" t="n"/>
    </row>
    <row r="278">
      <c r="AM278" s="117" t="n"/>
      <c r="AN278" s="117" t="n"/>
    </row>
    <row r="279">
      <c r="AM279" s="117" t="n"/>
      <c r="AN279" s="117" t="n"/>
    </row>
    <row r="280">
      <c r="AM280" s="117" t="n"/>
      <c r="AN280" s="117" t="n"/>
    </row>
    <row r="281">
      <c r="AM281" s="117" t="n"/>
      <c r="AN281" s="117" t="n"/>
    </row>
    <row r="282">
      <c r="AM282" s="117" t="n"/>
      <c r="AN282" s="117" t="n"/>
    </row>
    <row r="283">
      <c r="AM283" s="117" t="n"/>
      <c r="AN283" s="117" t="n"/>
    </row>
    <row r="284">
      <c r="AM284" s="117" t="n"/>
      <c r="AN284" s="117" t="n"/>
    </row>
    <row r="285">
      <c r="AM285" s="117" t="n"/>
      <c r="AN285" s="117" t="n"/>
    </row>
    <row r="286">
      <c r="AM286" s="117" t="n"/>
      <c r="AN286" s="117" t="n"/>
    </row>
    <row r="287">
      <c r="AM287" s="117" t="n"/>
      <c r="AN287" s="117" t="n"/>
    </row>
    <row r="288">
      <c r="AM288" s="117" t="n"/>
      <c r="AN288" s="117" t="n"/>
    </row>
    <row r="289">
      <c r="AM289" s="117" t="n"/>
      <c r="AN289" s="117" t="n"/>
    </row>
    <row r="290">
      <c r="AM290" s="117" t="n"/>
      <c r="AN290" s="117" t="n"/>
    </row>
    <row r="291">
      <c r="AM291" s="117" t="n"/>
      <c r="AN291" s="117" t="n"/>
    </row>
    <row r="292">
      <c r="AM292" s="117" t="n"/>
      <c r="AN292" s="117" t="n"/>
    </row>
    <row r="293">
      <c r="AM293" s="117" t="n"/>
      <c r="AN293" s="117" t="n"/>
    </row>
    <row r="294">
      <c r="AM294" s="117" t="n"/>
      <c r="AN294" s="117" t="n"/>
    </row>
    <row r="295">
      <c r="AM295" s="117" t="n"/>
      <c r="AN295" s="117" t="n"/>
    </row>
    <row r="296">
      <c r="AM296" s="117" t="n"/>
      <c r="AN296" s="117" t="n"/>
    </row>
    <row r="297">
      <c r="AM297" s="117" t="n"/>
      <c r="AN297" s="117" t="n"/>
    </row>
    <row r="298">
      <c r="AM298" s="117" t="n"/>
      <c r="AN298" s="117" t="n"/>
    </row>
    <row r="299">
      <c r="AM299" s="117" t="n"/>
      <c r="AN299" s="117" t="n"/>
    </row>
    <row r="300">
      <c r="AM300" s="117" t="n"/>
      <c r="AN300" s="117" t="n"/>
    </row>
    <row r="301">
      <c r="AM301" s="117" t="n"/>
      <c r="AN301" s="117" t="n"/>
    </row>
    <row r="302">
      <c r="AM302" s="117" t="n"/>
      <c r="AN302" s="117" t="n"/>
    </row>
    <row r="303">
      <c r="AM303" s="117" t="n"/>
      <c r="AN303" s="117" t="n"/>
    </row>
  </sheetData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Kumar, Nikhil</dc:creator>
  <dcterms:created xsi:type="dcterms:W3CDTF">2026-02-06T09:21:35Z</dcterms:created>
  <dcterms:modified xsi:type="dcterms:W3CDTF">2026-04-27T14:51:10Z</dcterms:modified>
  <cp:lastModifiedBy>Chilukuri, Navyasri</cp:lastModifiedBy>
</cp:coreProperties>
</file>