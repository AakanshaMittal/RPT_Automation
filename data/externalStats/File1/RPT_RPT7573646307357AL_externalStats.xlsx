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Detailed_stat_external-2026" sheetId="1" state="visible" r:id="rId1"/>
    <sheet xmlns:r="http://schemas.openxmlformats.org/officeDocument/2006/relationships" name="Detailed_stat_external-2027" sheetId="2" state="visible" r:id="rId2"/>
    <sheet xmlns:r="http://schemas.openxmlformats.org/officeDocument/2006/relationships" name="Detailed_stat_external-2028" sheetId="3" state="visible" r:id="rId3"/>
    <sheet xmlns:r="http://schemas.openxmlformats.org/officeDocument/2006/relationships" name="Detailed_stat_external-2029" sheetId="4" state="visible" r:id="rId4"/>
    <sheet xmlns:r="http://schemas.openxmlformats.org/officeDocument/2006/relationships" name="Detailed_stat_external-2030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mm/dd/yy;@"/>
    <numFmt numFmtId="165" formatCode="&quot;$&quot;#,##0_);[Red]\(&quot;$&quot;#,##0\)"/>
    <numFmt numFmtId="166" formatCode="#,##0.0"/>
  </numFmts>
  <fonts count="11">
    <font>
      <name val="Calibri"/>
      <family val="2"/>
      <color theme="1"/>
      <sz val="11"/>
      <scheme val="minor"/>
    </font>
    <font>
      <name val="Calibri"/>
      <family val="2"/>
      <b val="1"/>
      <sz val="14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b val="1"/>
      <sz val="10"/>
    </font>
    <font>
      <name val="Calibri"/>
      <family val="2"/>
      <b val="1"/>
      <color theme="0"/>
      <sz val="11"/>
      <scheme val="minor"/>
    </font>
    <font>
      <name val="Calibri"/>
      <family val="2"/>
      <b val="1"/>
      <color rgb="FFC00000"/>
      <sz val="11"/>
      <scheme val="minor"/>
    </font>
    <font>
      <name val="Calibri"/>
      <family val="2"/>
      <b val="1"/>
      <color rgb="FFC00000"/>
      <sz val="11"/>
      <u val="single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rgb="FFFF0000"/>
      <sz val="11"/>
      <scheme val="minor"/>
    </font>
  </fonts>
  <fills count="10">
    <fill>
      <patternFill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E0CACE"/>
        <bgColor indexed="64"/>
      </patternFill>
    </fill>
  </fills>
  <borders count="68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theme="9" tint="-0.249946592608417"/>
      </left>
      <right/>
      <top/>
      <bottom style="medium">
        <color rgb="FFD45D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theme="9" tint="-0.249946592608417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/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theme="9" tint="-0.249946592608417"/>
      </left>
      <right style="medium">
        <color rgb="FFD45D00"/>
      </right>
      <top style="medium">
        <color rgb="FFD45D00"/>
      </top>
      <bottom/>
      <diagonal/>
    </border>
    <border>
      <left/>
      <right style="medium">
        <color theme="9" tint="-0.249946592608417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theme="9" tint="-0.249946592608417"/>
      </left>
      <right style="medium">
        <color rgb="FFD45D00"/>
      </right>
      <top/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theme="9" tint="-0.249946592608417"/>
      </left>
      <right style="medium">
        <color rgb="FFD45D00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E87722"/>
      </left>
      <right style="medium">
        <color rgb="FFE87722"/>
      </right>
      <top/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146">
    <xf numFmtId="0" fontId="0" fillId="0" borderId="0" pivotButton="0" quotePrefix="0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4" fontId="3" fillId="3" borderId="4" pivotButton="0" quotePrefix="0" xfId="0"/>
    <xf numFmtId="0" fontId="3" fillId="3" borderId="5" applyAlignment="1" pivotButton="0" quotePrefix="0" xfId="0">
      <alignment horizontal="center" vertical="center"/>
    </xf>
    <xf numFmtId="164" fontId="3" fillId="3" borderId="6" pivotButton="0" quotePrefix="0" xfId="0"/>
    <xf numFmtId="165" fontId="0" fillId="0" borderId="0" pivotButton="0" quotePrefix="0" xfId="0"/>
    <xf numFmtId="3" fontId="3" fillId="3" borderId="7" pivotButton="0" quotePrefix="0" xfId="0"/>
    <xf numFmtId="0" fontId="0" fillId="4" borderId="0" applyAlignment="1" pivotButton="0" quotePrefix="0" xfId="0">
      <alignment vertical="top"/>
    </xf>
    <xf numFmtId="0" fontId="3" fillId="4" borderId="8" applyAlignment="1" pivotButton="0" quotePrefix="0" xfId="0">
      <alignment horizontal="centerContinuous" vertical="top"/>
    </xf>
    <xf numFmtId="0" fontId="3" fillId="4" borderId="9" applyAlignment="1" pivotButton="0" quotePrefix="0" xfId="0">
      <alignment horizontal="centerContinuous" vertical="top"/>
    </xf>
    <xf numFmtId="0" fontId="0" fillId="4" borderId="9" applyAlignment="1" pivotButton="0" quotePrefix="0" xfId="0">
      <alignment horizontal="centerContinuous" vertical="top"/>
    </xf>
    <xf numFmtId="0" fontId="4" fillId="4" borderId="10" applyAlignment="1" pivotButton="0" quotePrefix="0" xfId="0">
      <alignment horizontal="centerContinuous" vertical="center"/>
    </xf>
    <xf numFmtId="0" fontId="3" fillId="4" borderId="10" applyAlignment="1" pivotButton="0" quotePrefix="0" xfId="0">
      <alignment horizontal="centerContinuous" vertical="top"/>
    </xf>
    <xf numFmtId="0" fontId="3" fillId="4" borderId="0" applyAlignment="1" pivotButton="0" quotePrefix="0" xfId="0">
      <alignment horizontal="centerContinuous" vertical="top"/>
    </xf>
    <xf numFmtId="0" fontId="0" fillId="4" borderId="0" applyAlignment="1" pivotButton="0" quotePrefix="0" xfId="0">
      <alignment horizontal="centerContinuous" vertical="top"/>
    </xf>
    <xf numFmtId="0" fontId="4" fillId="4" borderId="0" applyAlignment="1" pivotButton="0" quotePrefix="0" xfId="0">
      <alignment horizontal="centerContinuous" vertical="center"/>
    </xf>
    <xf numFmtId="0" fontId="3" fillId="4" borderId="0" applyAlignment="1" pivotButton="0" quotePrefix="0" xfId="0">
      <alignment vertical="top"/>
    </xf>
    <xf numFmtId="0" fontId="5" fillId="2" borderId="8" applyAlignment="1" pivotButton="0" quotePrefix="0" xfId="0">
      <alignment horizontal="centerContinuous" vertical="top"/>
    </xf>
    <xf numFmtId="0" fontId="5" fillId="2" borderId="9" applyAlignment="1" pivotButton="0" quotePrefix="0" xfId="0">
      <alignment horizontal="centerContinuous" vertical="top"/>
    </xf>
    <xf numFmtId="0" fontId="5" fillId="2" borderId="10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top"/>
    </xf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5" fillId="4" borderId="0" applyAlignment="1" pivotButton="0" quotePrefix="0" xfId="0">
      <alignment horizontal="center"/>
    </xf>
    <xf numFmtId="0" fontId="5" fillId="4" borderId="8" applyAlignment="1" pivotButton="0" quotePrefix="0" xfId="0">
      <alignment horizontal="center"/>
    </xf>
    <xf numFmtId="0" fontId="5" fillId="4" borderId="9" applyAlignment="1" pivotButton="0" quotePrefix="0" xfId="0">
      <alignment horizontal="center"/>
    </xf>
    <xf numFmtId="0" fontId="5" fillId="4" borderId="10" applyAlignment="1" pivotButton="0" quotePrefix="0" xfId="0">
      <alignment horizontal="center"/>
    </xf>
    <xf numFmtId="0" fontId="4" fillId="4" borderId="0" applyAlignment="1" pivotButton="0" quotePrefix="0" xfId="0">
      <alignment vertical="center"/>
    </xf>
    <xf numFmtId="0" fontId="5" fillId="4" borderId="8" applyAlignment="1" pivotButton="0" quotePrefix="0" xfId="0">
      <alignment horizontal="center" wrapText="1"/>
    </xf>
    <xf numFmtId="0" fontId="5" fillId="4" borderId="9" applyAlignment="1" pivotButton="0" quotePrefix="0" xfId="0">
      <alignment horizontal="center" wrapText="1"/>
    </xf>
    <xf numFmtId="0" fontId="5" fillId="4" borderId="10" applyAlignment="1" pivotButton="0" quotePrefix="0" xfId="0">
      <alignment horizontal="center" wrapText="1"/>
    </xf>
    <xf numFmtId="0" fontId="5" fillId="4" borderId="11" applyAlignment="1" pivotButton="0" quotePrefix="0" xfId="0">
      <alignment horizontal="center" wrapText="1"/>
    </xf>
    <xf numFmtId="0" fontId="5" fillId="4" borderId="12" applyAlignment="1" pivotButton="0" quotePrefix="0" xfId="0">
      <alignment horizontal="center" wrapText="1"/>
    </xf>
    <xf numFmtId="0" fontId="5" fillId="4" borderId="13" applyAlignment="1" pivotButton="0" quotePrefix="0" xfId="0">
      <alignment horizontal="center" wrapText="1"/>
    </xf>
    <xf numFmtId="0" fontId="6" fillId="5" borderId="14" pivotButton="0" quotePrefix="0" xfId="0"/>
    <xf numFmtId="3" fontId="0" fillId="4" borderId="15" applyAlignment="1" pivotButton="0" quotePrefix="0" xfId="0">
      <alignment vertical="top"/>
    </xf>
    <xf numFmtId="3" fontId="0" fillId="4" borderId="16" applyAlignment="1" pivotButton="0" quotePrefix="0" xfId="0">
      <alignment vertical="top"/>
    </xf>
    <xf numFmtId="166" fontId="0" fillId="4" borderId="17" applyAlignment="1" pivotButton="0" quotePrefix="0" xfId="0">
      <alignment vertical="top"/>
    </xf>
    <xf numFmtId="166" fontId="4" fillId="4" borderId="18" applyAlignment="1" pivotButton="0" quotePrefix="0" xfId="0">
      <alignment vertical="center"/>
    </xf>
    <xf numFmtId="0" fontId="7" fillId="0" borderId="19" applyAlignment="1" pivotButton="0" quotePrefix="0" xfId="0">
      <alignment horizontal="center"/>
    </xf>
    <xf numFmtId="0" fontId="0" fillId="0" borderId="20" pivotButton="0" quotePrefix="0" xfId="0"/>
    <xf numFmtId="165" fontId="0" fillId="4" borderId="20" pivotButton="0" quotePrefix="0" xfId="0"/>
    <xf numFmtId="3" fontId="0" fillId="4" borderId="21" pivotButton="0" quotePrefix="0" xfId="0"/>
    <xf numFmtId="0" fontId="7" fillId="0" borderId="22" applyAlignment="1" pivotButton="0" quotePrefix="0" xfId="0">
      <alignment horizontal="center"/>
    </xf>
    <xf numFmtId="3" fontId="0" fillId="0" borderId="23" pivotButton="0" quotePrefix="0" xfId="0"/>
    <xf numFmtId="0" fontId="6" fillId="5" borderId="24" pivotButton="0" quotePrefix="0" xfId="0"/>
    <xf numFmtId="3" fontId="0" fillId="4" borderId="25" applyAlignment="1" pivotButton="0" quotePrefix="0" xfId="0">
      <alignment vertical="top"/>
    </xf>
    <xf numFmtId="3" fontId="0" fillId="4" borderId="26" applyAlignment="1" pivotButton="0" quotePrefix="0" xfId="0">
      <alignment vertical="top"/>
    </xf>
    <xf numFmtId="166" fontId="0" fillId="4" borderId="27" applyAlignment="1" pivotButton="0" quotePrefix="0" xfId="0">
      <alignment vertical="top"/>
    </xf>
    <xf numFmtId="166" fontId="4" fillId="4" borderId="28" applyAlignment="1" pivotButton="0" quotePrefix="0" xfId="0">
      <alignment vertical="center"/>
    </xf>
    <xf numFmtId="0" fontId="7" fillId="0" borderId="29" applyAlignment="1" pivotButton="0" quotePrefix="0" xfId="0">
      <alignment horizontal="center"/>
    </xf>
    <xf numFmtId="165" fontId="0" fillId="4" borderId="0" pivotButton="0" quotePrefix="0" xfId="0"/>
    <xf numFmtId="3" fontId="0" fillId="4" borderId="30" pivotButton="0" quotePrefix="0" xfId="0"/>
    <xf numFmtId="0" fontId="7" fillId="0" borderId="31" applyAlignment="1" pivotButton="0" quotePrefix="0" xfId="0">
      <alignment horizontal="center"/>
    </xf>
    <xf numFmtId="3" fontId="0" fillId="0" borderId="32" pivotButton="0" quotePrefix="0" xfId="0"/>
    <xf numFmtId="0" fontId="6" fillId="5" borderId="33" pivotButton="0" quotePrefix="0" xfId="0"/>
    <xf numFmtId="3" fontId="0" fillId="4" borderId="34" applyAlignment="1" pivotButton="0" quotePrefix="0" xfId="0">
      <alignment vertical="top"/>
    </xf>
    <xf numFmtId="3" fontId="0" fillId="4" borderId="35" applyAlignment="1" pivotButton="0" quotePrefix="0" xfId="0">
      <alignment vertical="top"/>
    </xf>
    <xf numFmtId="166" fontId="0" fillId="4" borderId="36" applyAlignment="1" pivotButton="0" quotePrefix="0" xfId="0">
      <alignment vertical="top"/>
    </xf>
    <xf numFmtId="166" fontId="4" fillId="4" borderId="37" applyAlignment="1" pivotButton="0" quotePrefix="0" xfId="0">
      <alignment vertical="center"/>
    </xf>
    <xf numFmtId="0" fontId="6" fillId="5" borderId="38" pivotButton="0" quotePrefix="0" xfId="0"/>
    <xf numFmtId="3" fontId="0" fillId="4" borderId="39" applyAlignment="1" pivotButton="0" quotePrefix="0" xfId="0">
      <alignment vertical="top"/>
    </xf>
    <xf numFmtId="3" fontId="0" fillId="4" borderId="40" applyAlignment="1" pivotButton="0" quotePrefix="0" xfId="0">
      <alignment vertical="top"/>
    </xf>
    <xf numFmtId="166" fontId="0" fillId="4" borderId="41" applyAlignment="1" pivotButton="0" quotePrefix="0" xfId="0">
      <alignment vertical="top"/>
    </xf>
    <xf numFmtId="166" fontId="4" fillId="4" borderId="42" applyAlignment="1" pivotButton="0" quotePrefix="0" xfId="0">
      <alignment vertical="center"/>
    </xf>
    <xf numFmtId="0" fontId="6" fillId="5" borderId="43" pivotButton="0" quotePrefix="0" xfId="0"/>
    <xf numFmtId="3" fontId="0" fillId="6" borderId="44" applyAlignment="1" pivotButton="0" quotePrefix="0" xfId="0">
      <alignment vertical="top"/>
    </xf>
    <xf numFmtId="3" fontId="0" fillId="6" borderId="45" applyAlignment="1" pivotButton="0" quotePrefix="0" xfId="0">
      <alignment vertical="top"/>
    </xf>
    <xf numFmtId="166" fontId="0" fillId="6" borderId="46" applyAlignment="1" pivotButton="0" quotePrefix="0" xfId="0">
      <alignment vertical="top"/>
    </xf>
    <xf numFmtId="166" fontId="4" fillId="6" borderId="47" applyAlignment="1" pivotButton="0" quotePrefix="0" xfId="0">
      <alignment vertical="center"/>
    </xf>
    <xf numFmtId="3" fontId="0" fillId="4" borderId="0" applyAlignment="1" pivotButton="0" quotePrefix="0" xfId="0">
      <alignment vertical="top"/>
    </xf>
    <xf numFmtId="166" fontId="0" fillId="4" borderId="0" applyAlignment="1" pivotButton="0" quotePrefix="0" xfId="0">
      <alignment vertical="top"/>
    </xf>
    <xf numFmtId="166" fontId="4" fillId="4" borderId="0" applyAlignment="1" pivotButton="0" quotePrefix="0" xfId="0">
      <alignment vertical="center"/>
    </xf>
    <xf numFmtId="0" fontId="8" fillId="0" borderId="0" pivotButton="0" quotePrefix="0" xfId="0"/>
    <xf numFmtId="0" fontId="9" fillId="0" borderId="0" pivotButton="0" quotePrefix="0" xfId="0"/>
    <xf numFmtId="0" fontId="5" fillId="4" borderId="0" applyAlignment="1" pivotButton="0" quotePrefix="0" xfId="0">
      <alignment horizontal="center" vertical="top"/>
    </xf>
    <xf numFmtId="0" fontId="5" fillId="4" borderId="0" applyAlignment="1" pivotButton="0" quotePrefix="0" xfId="0">
      <alignment horizontal="center" vertical="center"/>
    </xf>
    <xf numFmtId="0" fontId="7" fillId="0" borderId="48" applyAlignment="1" pivotButton="0" quotePrefix="0" xfId="0">
      <alignment horizontal="center"/>
    </xf>
    <xf numFmtId="0" fontId="0" fillId="0" borderId="12" pivotButton="0" quotePrefix="0" xfId="0"/>
    <xf numFmtId="165" fontId="0" fillId="4" borderId="12" pivotButton="0" quotePrefix="0" xfId="0"/>
    <xf numFmtId="3" fontId="0" fillId="4" borderId="49" pivotButton="0" quotePrefix="0" xfId="0"/>
    <xf numFmtId="0" fontId="7" fillId="0" borderId="50" applyAlignment="1" pivotButton="0" quotePrefix="0" xfId="0">
      <alignment horizontal="center"/>
    </xf>
    <xf numFmtId="0" fontId="0" fillId="0" borderId="51" pivotButton="0" quotePrefix="0" xfId="0"/>
    <xf numFmtId="3" fontId="0" fillId="0" borderId="52" pivotButton="0" quotePrefix="0" xfId="0"/>
    <xf numFmtId="0" fontId="0" fillId="0" borderId="53" pivotButton="0" quotePrefix="0" xfId="0"/>
    <xf numFmtId="3" fontId="0" fillId="4" borderId="54" applyAlignment="1" pivotButton="0" quotePrefix="0" xfId="0">
      <alignment vertical="top"/>
    </xf>
    <xf numFmtId="3" fontId="0" fillId="4" borderId="17" applyAlignment="1" pivotButton="0" quotePrefix="0" xfId="0">
      <alignment vertical="top"/>
    </xf>
    <xf numFmtId="3" fontId="0" fillId="4" borderId="55" applyAlignment="1" pivotButton="0" quotePrefix="0" xfId="0">
      <alignment vertical="top"/>
    </xf>
    <xf numFmtId="3" fontId="0" fillId="4" borderId="56" applyAlignment="1" pivotButton="0" quotePrefix="0" xfId="0">
      <alignment vertical="top"/>
    </xf>
    <xf numFmtId="3" fontId="0" fillId="4" borderId="27" applyAlignment="1" pivotButton="0" quotePrefix="0" xfId="0">
      <alignment vertical="top"/>
    </xf>
    <xf numFmtId="3" fontId="0" fillId="4" borderId="57" applyAlignment="1" pivotButton="0" quotePrefix="0" xfId="0">
      <alignment vertical="top"/>
    </xf>
    <xf numFmtId="3" fontId="0" fillId="4" borderId="58" applyAlignment="1" pivotButton="0" quotePrefix="0" xfId="0">
      <alignment vertical="top"/>
    </xf>
    <xf numFmtId="3" fontId="0" fillId="4" borderId="59" applyAlignment="1" pivotButton="0" quotePrefix="0" xfId="0">
      <alignment vertical="top"/>
    </xf>
    <xf numFmtId="3" fontId="0" fillId="4" borderId="60" applyAlignment="1" pivotButton="0" quotePrefix="0" xfId="0">
      <alignment vertical="top"/>
    </xf>
    <xf numFmtId="0" fontId="10" fillId="7" borderId="0" pivotButton="0" quotePrefix="0" xfId="0"/>
    <xf numFmtId="0" fontId="0" fillId="4" borderId="0" pivotButton="0" quotePrefix="0" xfId="0"/>
    <xf numFmtId="0" fontId="6" fillId="5" borderId="61" pivotButton="0" quotePrefix="0" xfId="0"/>
    <xf numFmtId="3" fontId="0" fillId="8" borderId="62" applyAlignment="1" pivotButton="0" quotePrefix="0" xfId="0">
      <alignment horizontal="right" vertical="top"/>
    </xf>
    <xf numFmtId="3" fontId="0" fillId="8" borderId="36" applyAlignment="1" pivotButton="0" quotePrefix="0" xfId="0">
      <alignment horizontal="right" vertical="top"/>
    </xf>
    <xf numFmtId="3" fontId="0" fillId="8" borderId="63" applyAlignment="1" pivotButton="0" quotePrefix="0" xfId="0">
      <alignment horizontal="right" vertical="top"/>
    </xf>
    <xf numFmtId="3" fontId="0" fillId="4" borderId="62" applyAlignment="1" pivotButton="0" quotePrefix="0" xfId="0">
      <alignment vertical="top"/>
    </xf>
    <xf numFmtId="3" fontId="0" fillId="4" borderId="36" applyAlignment="1" pivotButton="0" quotePrefix="0" xfId="0">
      <alignment vertical="top"/>
    </xf>
    <xf numFmtId="3" fontId="0" fillId="4" borderId="63" applyAlignment="1" pivotButton="0" quotePrefix="0" xfId="0">
      <alignment vertical="top"/>
    </xf>
    <xf numFmtId="3" fontId="0" fillId="6" borderId="64" applyAlignment="1" pivotButton="0" quotePrefix="0" xfId="0">
      <alignment vertical="top"/>
    </xf>
    <xf numFmtId="3" fontId="0" fillId="6" borderId="46" applyAlignment="1" pivotButton="0" quotePrefix="0" xfId="0">
      <alignment vertical="top"/>
    </xf>
    <xf numFmtId="3" fontId="0" fillId="6" borderId="49" applyAlignment="1" pivotButton="0" quotePrefix="0" xfId="0">
      <alignment vertical="top"/>
    </xf>
    <xf numFmtId="0" fontId="6" fillId="5" borderId="65" pivotButton="0" quotePrefix="0" xfId="0"/>
    <xf numFmtId="3" fontId="0" fillId="4" borderId="66" applyAlignment="1" pivotButton="0" quotePrefix="0" xfId="0">
      <alignment vertical="top"/>
    </xf>
    <xf numFmtId="0" fontId="5" fillId="9" borderId="65" applyAlignment="1" pivotButton="0" quotePrefix="0" xfId="0">
      <alignment horizontal="center" vertical="top"/>
    </xf>
    <xf numFmtId="3" fontId="0" fillId="9" borderId="67" applyAlignment="1" pivotButton="0" quotePrefix="0" xfId="0">
      <alignment vertical="top"/>
    </xf>
    <xf numFmtId="0" fontId="1" fillId="2" borderId="2" applyAlignment="1" pivotButton="0" quotePrefix="0" xfId="0">
      <alignment horizontal="center" vertical="center"/>
    </xf>
    <xf numFmtId="164" fontId="3" fillId="3" borderId="4" pivotButton="0" quotePrefix="0" xfId="0"/>
    <xf numFmtId="164" fontId="3" fillId="3" borderId="6" pivotButton="0" quotePrefix="0" xfId="0"/>
    <xf numFmtId="165" fontId="0" fillId="0" borderId="0" pivotButton="0" quotePrefix="0" xfId="0"/>
    <xf numFmtId="3" fontId="7" fillId="0" borderId="19" applyAlignment="1" pivotButton="0" quotePrefix="0" xfId="0">
      <alignment horizontal="center"/>
    </xf>
    <xf numFmtId="4" fontId="0" fillId="4" borderId="20" pivotButton="0" quotePrefix="0" xfId="0"/>
    <xf numFmtId="3" fontId="7" fillId="0" borderId="22" applyAlignment="1" pivotButton="0" quotePrefix="0" xfId="0">
      <alignment horizontal="center"/>
    </xf>
    <xf numFmtId="3" fontId="7" fillId="0" borderId="29" applyAlignment="1" pivotButton="0" quotePrefix="0" xfId="0">
      <alignment horizontal="center"/>
    </xf>
    <xf numFmtId="4" fontId="0" fillId="4" borderId="0" pivotButton="0" quotePrefix="0" xfId="0"/>
    <xf numFmtId="3" fontId="7" fillId="0" borderId="31" applyAlignment="1" pivotButton="0" quotePrefix="0" xfId="0">
      <alignment horizontal="center"/>
    </xf>
    <xf numFmtId="3" fontId="7" fillId="0" borderId="48" applyAlignment="1" pivotButton="0" quotePrefix="0" xfId="0">
      <alignment horizontal="center"/>
    </xf>
    <xf numFmtId="4" fontId="0" fillId="4" borderId="12" pivotButton="0" quotePrefix="0" xfId="0"/>
    <xf numFmtId="3" fontId="7" fillId="0" borderId="50" applyAlignment="1" pivotButton="0" quotePrefix="0" xfId="0">
      <alignment horizontal="center"/>
    </xf>
    <xf numFmtId="4" fontId="0" fillId="4" borderId="54" applyAlignment="1" pivotButton="0" quotePrefix="0" xfId="0">
      <alignment vertical="top"/>
    </xf>
    <xf numFmtId="4" fontId="0" fillId="4" borderId="17" applyAlignment="1" pivotButton="0" quotePrefix="0" xfId="0">
      <alignment vertical="top"/>
    </xf>
    <xf numFmtId="4" fontId="0" fillId="4" borderId="55" applyAlignment="1" pivotButton="0" quotePrefix="0" xfId="0">
      <alignment vertical="top"/>
    </xf>
    <xf numFmtId="4" fontId="0" fillId="4" borderId="56" applyAlignment="1" pivotButton="0" quotePrefix="0" xfId="0">
      <alignment vertical="top"/>
    </xf>
    <xf numFmtId="4" fontId="0" fillId="4" borderId="27" applyAlignment="1" pivotButton="0" quotePrefix="0" xfId="0">
      <alignment vertical="top"/>
    </xf>
    <xf numFmtId="4" fontId="0" fillId="4" borderId="57" applyAlignment="1" pivotButton="0" quotePrefix="0" xfId="0">
      <alignment vertical="top"/>
    </xf>
    <xf numFmtId="4" fontId="0" fillId="4" borderId="58" applyAlignment="1" pivotButton="0" quotePrefix="0" xfId="0">
      <alignment vertical="top"/>
    </xf>
    <xf numFmtId="4" fontId="0" fillId="4" borderId="59" applyAlignment="1" pivotButton="0" quotePrefix="0" xfId="0">
      <alignment vertical="top"/>
    </xf>
    <xf numFmtId="4" fontId="0" fillId="4" borderId="60" applyAlignment="1" pivotButton="0" quotePrefix="0" xfId="0">
      <alignment vertical="top"/>
    </xf>
    <xf numFmtId="4" fontId="0" fillId="8" borderId="62" applyAlignment="1" pivotButton="0" quotePrefix="0" xfId="0">
      <alignment horizontal="right" vertical="top"/>
    </xf>
    <xf numFmtId="4" fontId="0" fillId="8" borderId="36" applyAlignment="1" pivotButton="0" quotePrefix="0" xfId="0">
      <alignment horizontal="right" vertical="top"/>
    </xf>
    <xf numFmtId="4" fontId="0" fillId="8" borderId="63" applyAlignment="1" pivotButton="0" quotePrefix="0" xfId="0">
      <alignment horizontal="right" vertical="top"/>
    </xf>
    <xf numFmtId="4" fontId="0" fillId="4" borderId="62" applyAlignment="1" pivotButton="0" quotePrefix="0" xfId="0">
      <alignment vertical="top"/>
    </xf>
    <xf numFmtId="4" fontId="0" fillId="4" borderId="36" applyAlignment="1" pivotButton="0" quotePrefix="0" xfId="0">
      <alignment vertical="top"/>
    </xf>
    <xf numFmtId="4" fontId="0" fillId="4" borderId="63" applyAlignment="1" pivotButton="0" quotePrefix="0" xfId="0">
      <alignment vertical="top"/>
    </xf>
    <xf numFmtId="4" fontId="0" fillId="6" borderId="64" applyAlignment="1" pivotButton="0" quotePrefix="0" xfId="0">
      <alignment vertical="top"/>
    </xf>
    <xf numFmtId="4" fontId="0" fillId="6" borderId="46" applyAlignment="1" pivotButton="0" quotePrefix="0" xfId="0">
      <alignment vertical="top"/>
    </xf>
    <xf numFmtId="4" fontId="0" fillId="6" borderId="49" applyAlignment="1" pivotButton="0" quotePrefix="0" xfId="0">
      <alignment vertical="top"/>
    </xf>
    <xf numFmtId="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tabSelected="1" zoomScale="80" zoomScaleNormal="80" workbookViewId="0">
      <pane ySplit="13" topLeftCell="A79" activePane="bottomLeft" state="frozen"/>
      <selection activeCell="H10" sqref="H10"/>
      <selection pane="bottomLeft" activeCell="B101" sqref="B10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Health Delegates Amwins Coast College Rebate Only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10/01/2024</t>
        </is>
      </c>
      <c r="AD17" s="4" t="n"/>
      <c r="AE17" s="4" t="n"/>
      <c r="AF17" s="6" t="n">
        <v>2027</v>
      </c>
    </row>
    <row r="18">
      <c r="B18" s="4" t="n"/>
      <c r="C18" s="4" t="inlineStr">
        <is>
          <t>End Date:</t>
        </is>
      </c>
      <c r="D18" s="116" t="inlineStr">
        <is>
          <t>09/30/2025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2027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138</v>
      </c>
      <c r="E25" s="40" t="n">
        <v>6168.5</v>
      </c>
      <c r="F25" s="40" t="n">
        <v>4460</v>
      </c>
      <c r="G25" s="41" t="n">
        <v>44.69927536231884</v>
      </c>
      <c r="H25" s="42" t="n">
        <v>32.31884057971015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ELIQUIS</t>
        </is>
      </c>
      <c r="AG25" s="44" t="inlineStr">
        <is>
          <t>ORAL ANTICOAGULANTS</t>
        </is>
      </c>
      <c r="AH25" s="119" t="n">
        <v>52446.19377634583</v>
      </c>
      <c r="AI25" s="46" t="n">
        <v>101.1285692865419</v>
      </c>
      <c r="AK25" s="120" t="n">
        <v>1</v>
      </c>
      <c r="AL25" s="44" t="inlineStr">
        <is>
          <t>JAKAFI</t>
        </is>
      </c>
      <c r="AM25" s="44" t="inlineStr">
        <is>
          <t>ONCOLOGY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71</v>
      </c>
      <c r="E26" s="51" t="n">
        <v>8390.4</v>
      </c>
      <c r="F26" s="51" t="n">
        <v>6372</v>
      </c>
      <c r="G26" s="52" t="n">
        <v>118.1746478873239</v>
      </c>
      <c r="H26" s="53" t="n">
        <v>89.74647887323944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MOUNJARO</t>
        </is>
      </c>
      <c r="AG26" t="inlineStr">
        <is>
          <t>GLUCAGON-LIKE PEPTIDE-1 AGONISTS (GLP1)</t>
        </is>
      </c>
      <c r="AH26" s="122" t="n">
        <v>40294.15219393585</v>
      </c>
      <c r="AI26" s="56" t="n">
        <v>34.07302870312817</v>
      </c>
      <c r="AK26" s="123" t="n">
        <v>2</v>
      </c>
      <c r="AL26" t="inlineStr">
        <is>
          <t>IBRANCE</t>
        </is>
      </c>
      <c r="AM26" t="inlineStr">
        <is>
          <t>ONCOLOGY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79</v>
      </c>
      <c r="E27" s="61" t="n">
        <v>11167.7</v>
      </c>
      <c r="F27" s="61" t="n">
        <v>6449</v>
      </c>
      <c r="G27" s="62" t="n">
        <v>141.3632911392405</v>
      </c>
      <c r="H27" s="63" t="n">
        <v>81.63291139240506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XARELTO</t>
        </is>
      </c>
      <c r="AG27" t="inlineStr">
        <is>
          <t>ORAL ANTICOAGULANTS</t>
        </is>
      </c>
      <c r="AH27" s="122" t="n">
        <v>12575.74278814263</v>
      </c>
      <c r="AI27" s="56" t="n">
        <v>14.19904104448465</v>
      </c>
      <c r="AK27" s="123" t="n">
        <v>3</v>
      </c>
      <c r="AL27" t="inlineStr">
        <is>
          <t>GENVOYA</t>
        </is>
      </c>
      <c r="AM27" t="inlineStr">
        <is>
          <t>HIV-MULTICLASS COMBO</t>
        </is>
      </c>
      <c r="AN27" s="58" t="n">
        <v>3.263672025365574</v>
      </c>
    </row>
    <row r="28" ht="15" customHeight="1" thickTop="1">
      <c r="B28" s="64" t="inlineStr">
        <is>
          <t>Non-Specialty</t>
        </is>
      </c>
      <c r="C28" s="10" t="n"/>
      <c r="D28" s="65" t="n">
        <v>288</v>
      </c>
      <c r="E28" s="66" t="n">
        <v>25726.6</v>
      </c>
      <c r="F28" s="66" t="n">
        <v>17281</v>
      </c>
      <c r="G28" s="67" t="n">
        <v>89.32847222222222</v>
      </c>
      <c r="H28" s="68" t="n">
        <v>60.00347222222222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ENBREL SURECLICK</t>
        </is>
      </c>
      <c r="AG28" t="inlineStr">
        <is>
          <t>IMMUNOMODULATORS</t>
        </is>
      </c>
      <c r="AH28" s="122" t="n">
        <v>9514.050417980543</v>
      </c>
      <c r="AI28" s="56" t="n">
        <v>1.04326247761626</v>
      </c>
      <c r="AK28" s="123" t="n">
        <v>4</v>
      </c>
      <c r="AL28" t="inlineStr">
        <is>
          <t>ACIPHEX</t>
        </is>
      </c>
      <c r="AM28" t="inlineStr">
        <is>
          <t>PROTON PUMP INHIBITORS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9</v>
      </c>
      <c r="E29" s="61" t="n">
        <v>824</v>
      </c>
      <c r="F29" s="61" t="n">
        <v>984</v>
      </c>
      <c r="G29" s="62" t="n">
        <v>91.55555555555556</v>
      </c>
      <c r="H29" s="63" t="n">
        <v>109.3333333333333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TRELEGY ELLIPTA</t>
        </is>
      </c>
      <c r="AG29" t="inlineStr">
        <is>
          <t>LABA LAMA COMBO</t>
        </is>
      </c>
      <c r="AH29" s="122" t="n">
        <v>9101.017893566175</v>
      </c>
      <c r="AI29" s="56" t="n">
        <v>7.721630244222486</v>
      </c>
      <c r="AK29" s="123" t="n">
        <v>5</v>
      </c>
      <c r="AL29" t="inlineStr">
        <is>
          <t>LIPITOR</t>
        </is>
      </c>
      <c r="AM29" t="inlineStr">
        <is>
          <t>STATINS &amp; COMBOS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297</v>
      </c>
      <c r="E30" s="71" t="n">
        <v>26550.6</v>
      </c>
      <c r="F30" s="71" t="n">
        <v>18265</v>
      </c>
      <c r="G30" s="72" t="n">
        <v>89.3959595959596</v>
      </c>
      <c r="H30" s="73" t="n">
        <v>61.4983164983165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OZEMPIC</t>
        </is>
      </c>
      <c r="AG30" t="inlineStr">
        <is>
          <t>GLUCAGON-LIKE PEPTIDE-1 AGONISTS (GLP1)</t>
        </is>
      </c>
      <c r="AH30" s="122" t="n">
        <v>8622.35350092746</v>
      </c>
      <c r="AI30" s="56" t="n">
        <v>7.231697113331732</v>
      </c>
      <c r="AK30" s="123" t="n">
        <v>6</v>
      </c>
      <c r="AL30" t="inlineStr">
        <is>
          <t>AVODART</t>
        </is>
      </c>
      <c r="AM30" t="inlineStr">
        <is>
          <t>PROSTATIC HYPERTROPHY AGENTS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JARDIANCE</t>
        </is>
      </c>
      <c r="AG31" t="inlineStr">
        <is>
          <t>SGLT-2 INHIBITORS &amp; COMBOS</t>
        </is>
      </c>
      <c r="AH31" s="122" t="n">
        <v>7324.89039610108</v>
      </c>
      <c r="AI31" s="56" t="n">
        <v>22.97068657334675</v>
      </c>
      <c r="AK31" s="123" t="n">
        <v>7</v>
      </c>
      <c r="AL31" t="inlineStr">
        <is>
          <t>SYNTHROID</t>
        </is>
      </c>
      <c r="AM31" t="inlineStr">
        <is>
          <t>THYROID HORMONES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GEMTESA</t>
        </is>
      </c>
      <c r="AG32" t="inlineStr">
        <is>
          <t>URINARY ANTISPASMODICS &amp; OAB DRUGS</t>
        </is>
      </c>
      <c r="AH32" s="122" t="n">
        <v>5453.760831128548</v>
      </c>
      <c r="AI32" s="56" t="n">
        <v>9.113706901155732</v>
      </c>
      <c r="AK32" s="123" t="n">
        <v>8</v>
      </c>
      <c r="AL32" t="inlineStr">
        <is>
          <t>PREZISTA</t>
        </is>
      </c>
      <c r="AM32" t="inlineStr">
        <is>
          <t>HIV-PROTEASE INHIBITOR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0</v>
      </c>
      <c r="E33" s="40" t="n">
        <v>0</v>
      </c>
      <c r="F33" s="40" t="n">
        <v>0</v>
      </c>
      <c r="G33" s="41" t="n">
        <v>0</v>
      </c>
      <c r="H33" s="42" t="n">
        <v>0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BREZTRI AEROSPHERE</t>
        </is>
      </c>
      <c r="AG33" t="inlineStr">
        <is>
          <t>LABA LAMA COMBO</t>
        </is>
      </c>
      <c r="AH33" s="122" t="n">
        <v>5445.796829749904</v>
      </c>
      <c r="AI33" s="56" t="n">
        <v>4.412360139555706</v>
      </c>
      <c r="AK33" s="123" t="n">
        <v>9</v>
      </c>
      <c r="AL33" t="inlineStr">
        <is>
          <t>NEXIUM</t>
        </is>
      </c>
      <c r="AM33" t="inlineStr">
        <is>
          <t>PROTON PUMP INHIBITORS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0</v>
      </c>
      <c r="E34" s="51" t="n">
        <v>0</v>
      </c>
      <c r="F34" s="51" t="n">
        <v>0</v>
      </c>
      <c r="G34" s="52" t="n">
        <v>0</v>
      </c>
      <c r="H34" s="53" t="n">
        <v>0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STIOLTO RESPIMAT</t>
        </is>
      </c>
      <c r="AG34" t="inlineStr">
        <is>
          <t>LABA LAMA COMBO</t>
        </is>
      </c>
      <c r="AH34" s="122" t="n">
        <v>4194.649729902759</v>
      </c>
      <c r="AI34" s="56" t="n">
        <v>4.412360139555706</v>
      </c>
      <c r="AK34" s="123" t="n">
        <v>10</v>
      </c>
      <c r="AL34" t="inlineStr">
        <is>
          <t>VIAGRA</t>
        </is>
      </c>
      <c r="AM34" t="inlineStr">
        <is>
          <t>IMPOTENCE AGENTS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0</v>
      </c>
      <c r="E35" s="61" t="n">
        <v>0</v>
      </c>
      <c r="F35" s="61" t="n">
        <v>0</v>
      </c>
      <c r="G35" s="62" t="n">
        <v>0</v>
      </c>
      <c r="H35" s="63" t="n">
        <v>0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SPIRIVA RESPIMAT</t>
        </is>
      </c>
      <c r="AG35" t="inlineStr">
        <is>
          <t>LAMA/ACH</t>
        </is>
      </c>
      <c r="AH35" s="122" t="n">
        <v>3529.824097401452</v>
      </c>
      <c r="AI35" s="56" t="n">
        <v>6.352872360300239</v>
      </c>
      <c r="AK35" s="123" t="n">
        <v>11</v>
      </c>
      <c r="AL35" t="inlineStr">
        <is>
          <t>RASUVO</t>
        </is>
      </c>
      <c r="AM35" t="inlineStr">
        <is>
          <t>CHRONIC INFLAMMATORY DISEASE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0</v>
      </c>
      <c r="E36" s="66" t="n">
        <v>0</v>
      </c>
      <c r="F36" s="66" t="n">
        <v>0</v>
      </c>
      <c r="G36" s="67" t="n">
        <v>0</v>
      </c>
      <c r="H36" s="68" t="n">
        <v>0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XIIDRA</t>
        </is>
      </c>
      <c r="AG36" t="inlineStr">
        <is>
          <t>OPHTHALMIC INTEGRIN ANTAGONIST</t>
        </is>
      </c>
      <c r="AH36" s="122" t="n">
        <v>3108.570820460975</v>
      </c>
      <c r="AI36" s="56" t="n">
        <v>6.810569155727732</v>
      </c>
      <c r="AK36" s="123" t="n">
        <v>12</v>
      </c>
      <c r="AL36" t="inlineStr">
        <is>
          <t>DEXCOM G7 SENSOR</t>
        </is>
      </c>
      <c r="AM36" t="inlineStr">
        <is>
          <t>DIABETES MONITORING AND TESTING SUPPLIES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LINZESS</t>
        </is>
      </c>
      <c r="AG37" t="inlineStr">
        <is>
          <t>IRRITABLE BOWEL SYNDROME (IBS) AGENTS</t>
        </is>
      </c>
      <c r="AH37" s="122" t="n">
        <v>3061.724137296156</v>
      </c>
      <c r="AI37" s="56" t="n">
        <v>4.506520365848544</v>
      </c>
      <c r="AK37" s="123" t="n">
        <v>13</v>
      </c>
      <c r="AL37" t="inlineStr">
        <is>
          <t>MIEBO</t>
        </is>
      </c>
      <c r="AM37" t="inlineStr">
        <is>
          <t>OPHTHALMICS - MISC.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0</v>
      </c>
      <c r="E38" s="71" t="n">
        <v>0</v>
      </c>
      <c r="F38" s="71" t="n">
        <v>0</v>
      </c>
      <c r="G38" s="72" t="n">
        <v>0</v>
      </c>
      <c r="H38" s="73" t="n">
        <v>0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LUMIGAN</t>
        </is>
      </c>
      <c r="AG38" t="inlineStr">
        <is>
          <t>OPHTHALMIC PROSTAGLANDINS</t>
        </is>
      </c>
      <c r="AH38" s="122" t="n">
        <v>2607.109281659522</v>
      </c>
      <c r="AI38" s="56" t="n">
        <v>8.230525518901738</v>
      </c>
      <c r="AK38" s="123" t="n">
        <v>14</v>
      </c>
      <c r="AL38" t="inlineStr">
        <is>
          <t>INDERAL LA</t>
        </is>
      </c>
      <c r="AM38" t="inlineStr">
        <is>
          <t>BETA BLOCKERS &amp; COMBOS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AIRSUPRA</t>
        </is>
      </c>
      <c r="AG39" t="inlineStr">
        <is>
          <t>LABA LAMA COMBO</t>
        </is>
      </c>
      <c r="AH39" s="122" t="n">
        <v>2594.892291740833</v>
      </c>
      <c r="AI39" s="56" t="n">
        <v>0</v>
      </c>
      <c r="AK39" s="123" t="n">
        <v>15</v>
      </c>
      <c r="AL39" t="inlineStr">
        <is>
          <t>ZEPBOUND</t>
        </is>
      </c>
      <c r="AM39" t="inlineStr">
        <is>
          <t>GLP-1 ANTI-OBESITY AGENTS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BREO ELLIPTA</t>
        </is>
      </c>
      <c r="AG40" t="inlineStr">
        <is>
          <t>LABA LAMA COMBO</t>
        </is>
      </c>
      <c r="AH40" s="122" t="n">
        <v>2588.915961252424</v>
      </c>
      <c r="AI40" s="56" t="n">
        <v>0</v>
      </c>
      <c r="AK40" s="123" t="n">
        <v>16</v>
      </c>
      <c r="AL40" t="inlineStr">
        <is>
          <t>XDEMVY</t>
        </is>
      </c>
      <c r="AM40" t="inlineStr">
        <is>
          <t>OPHTHALMIC ANTI-INFECTIVES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138</v>
      </c>
      <c r="E41" s="40" t="n">
        <v>6168.5</v>
      </c>
      <c r="F41" s="40" t="n">
        <v>4460</v>
      </c>
      <c r="G41" s="41" t="n">
        <v>44.69927536231884</v>
      </c>
      <c r="H41" s="42" t="n">
        <v>32.31884057971015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RHOPRESSA</t>
        </is>
      </c>
      <c r="AG41" t="inlineStr">
        <is>
          <t>OPHTHALMICS - RHO KINASE INHIBITOR &amp; COMBOS</t>
        </is>
      </c>
      <c r="AH41" s="122" t="n">
        <v>2551.064795992128</v>
      </c>
      <c r="AI41" s="56" t="n">
        <v>6.855622252068915</v>
      </c>
      <c r="AK41" s="123" t="n">
        <v>17</v>
      </c>
      <c r="AL41" t="inlineStr">
        <is>
          <t>QNASL</t>
        </is>
      </c>
      <c r="AM41" t="inlineStr">
        <is>
          <t>NASAL STEROIDS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71</v>
      </c>
      <c r="E42" s="51" t="n">
        <v>8390.4</v>
      </c>
      <c r="F42" s="51" t="n">
        <v>6372</v>
      </c>
      <c r="G42" s="52" t="n">
        <v>118.1746478873239</v>
      </c>
      <c r="H42" s="53" t="n">
        <v>89.74647887323944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VYZULTA</t>
        </is>
      </c>
      <c r="AG42" t="inlineStr">
        <is>
          <t>OPHTHALMIC PROSTAGLANDINS</t>
        </is>
      </c>
      <c r="AH42" s="122" t="n">
        <v>2130.930872032979</v>
      </c>
      <c r="AI42" s="56" t="n">
        <v>4.919003304368093</v>
      </c>
      <c r="AK42" s="123" t="n">
        <v>18</v>
      </c>
      <c r="AL42" t="inlineStr">
        <is>
          <t>LEXAPRO</t>
        </is>
      </c>
      <c r="AM42" t="inlineStr">
        <is>
          <t>ANTIDEPRESSANTS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79</v>
      </c>
      <c r="E43" s="61" t="n">
        <v>11167.7</v>
      </c>
      <c r="F43" s="61" t="n">
        <v>6449</v>
      </c>
      <c r="G43" s="62" t="n">
        <v>141.3632911392405</v>
      </c>
      <c r="H43" s="63" t="n">
        <v>81.63291139240506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MYRBETRIQ</t>
        </is>
      </c>
      <c r="AG43" t="inlineStr">
        <is>
          <t>URINARY ANTISPASMODICS &amp; OAB DRUGS</t>
        </is>
      </c>
      <c r="AH43" s="122" t="n">
        <v>1896.541466485185</v>
      </c>
      <c r="AI43" s="56" t="n">
        <v>0</v>
      </c>
      <c r="AK43" s="123" t="n">
        <v>19</v>
      </c>
      <c r="AL43" t="inlineStr">
        <is>
          <t>TIVICAY</t>
        </is>
      </c>
      <c r="AM43" t="inlineStr">
        <is>
          <t>HIV-INTEGRASE INHIBITOR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288</v>
      </c>
      <c r="E44" s="66" t="n">
        <v>25726.6</v>
      </c>
      <c r="F44" s="66" t="n">
        <v>17281</v>
      </c>
      <c r="G44" s="67" t="n">
        <v>89.32847222222222</v>
      </c>
      <c r="H44" s="68" t="n">
        <v>60.00347222222222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CREON</t>
        </is>
      </c>
      <c r="AG44" s="82" t="inlineStr">
        <is>
          <t>DIGESTIVE ENZYMES</t>
        </is>
      </c>
      <c r="AH44" s="125" t="n">
        <v>1576.552975501276</v>
      </c>
      <c r="AI44" s="84" t="n">
        <v>1.064062481716026</v>
      </c>
      <c r="AK44" s="126" t="n">
        <v>20</v>
      </c>
      <c r="AL44" s="86" t="inlineStr">
        <is>
          <t>VALTREX</t>
        </is>
      </c>
      <c r="AM44" s="86" t="inlineStr">
        <is>
          <t>HERPES AGENTS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9</v>
      </c>
      <c r="E45" s="61" t="n">
        <v>824</v>
      </c>
      <c r="F45" s="61" t="n">
        <v>984</v>
      </c>
      <c r="G45" s="62" t="n">
        <v>91.55555555555556</v>
      </c>
      <c r="H45" s="63" t="n">
        <v>109.3333333333333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297</v>
      </c>
      <c r="E46" s="71" t="n">
        <v>26550.6</v>
      </c>
      <c r="F46" s="71" t="n">
        <v>18265</v>
      </c>
      <c r="G46" s="72" t="n">
        <v>89.3959595959596</v>
      </c>
      <c r="H46" s="73" t="n">
        <v>61.4983164983165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ORAL ANTICOAGULANTS</t>
        </is>
      </c>
      <c r="AG49" s="119" t="n">
        <v>65021.93656448846</v>
      </c>
      <c r="AH49" s="46" t="n">
        <v>115.3276103310265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48978.99884328375</v>
      </c>
      <c r="AH50" s="56" t="n">
        <v>41.3512867871618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10/26 - 09/27</t>
        </is>
      </c>
      <c r="K51" s="12" t="n"/>
      <c r="L51" s="12" t="n"/>
      <c r="M51" s="13" t="n"/>
      <c r="N51" s="14" t="n"/>
      <c r="P51" s="11" t="inlineStr">
        <is>
          <t>10/27 - 09/28</t>
        </is>
      </c>
      <c r="Q51" s="12" t="n"/>
      <c r="R51" s="12" t="n"/>
      <c r="S51" s="13" t="n"/>
      <c r="T51" s="14" t="n"/>
      <c r="V51" s="11" t="inlineStr">
        <is>
          <t>10/28 - 09/29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LABA LAMA COMBO</t>
        </is>
      </c>
      <c r="AG51" s="122" t="n">
        <v>24565.71406403156</v>
      </c>
      <c r="AH51" s="56" t="n">
        <v>17.64944055822282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IMMUNOMODULATORS</t>
        </is>
      </c>
      <c r="AG52" s="122" t="n">
        <v>9514.050417980543</v>
      </c>
      <c r="AH52" s="56" t="n">
        <v>1.04326247761626</v>
      </c>
    </row>
    <row r="53">
      <c r="B53" s="38" t="inlineStr">
        <is>
          <t>OTCs</t>
        </is>
      </c>
      <c r="D53" s="127" t="n">
        <v>4</v>
      </c>
      <c r="E53" s="128" t="n">
        <v>3</v>
      </c>
      <c r="F53" s="128" t="n">
        <v>6</v>
      </c>
      <c r="G53" s="128" t="n">
        <v>0</v>
      </c>
      <c r="H53" s="129" t="n">
        <v>13</v>
      </c>
      <c r="J53" s="127" t="n">
        <v>3.367208266425485</v>
      </c>
      <c r="K53" s="128" t="n">
        <v>2.526596826732871</v>
      </c>
      <c r="L53" s="128" t="n">
        <v>5.050972602908545</v>
      </c>
      <c r="M53" s="128" t="n">
        <v>0</v>
      </c>
      <c r="N53" s="129" t="n">
        <v>10.9447776960669</v>
      </c>
      <c r="P53" s="127" t="n">
        <v>3.18705342928946</v>
      </c>
      <c r="Q53" s="128" t="n">
        <v>2.389684032962863</v>
      </c>
      <c r="R53" s="128" t="n">
        <v>4.691096276623046</v>
      </c>
      <c r="S53" s="128" t="n">
        <v>0</v>
      </c>
      <c r="T53" s="129" t="n">
        <v>10.26783373887537</v>
      </c>
      <c r="V53" s="127" t="n">
        <v>3.065343447741625</v>
      </c>
      <c r="W53" s="128" t="n">
        <v>2.255919166465565</v>
      </c>
      <c r="X53" s="128" t="n">
        <v>4.404867691956748</v>
      </c>
      <c r="Y53" s="128" t="n">
        <v>0</v>
      </c>
      <c r="Z53" s="129" t="n">
        <v>9.726130306163938</v>
      </c>
      <c r="AE53" s="121" t="n">
        <v>5</v>
      </c>
      <c r="AF53" t="inlineStr">
        <is>
          <t>URINARY ANTISPASMODICS &amp; OAB DRUGS</t>
        </is>
      </c>
      <c r="AG53" s="122" t="n">
        <v>7350.302297613733</v>
      </c>
      <c r="AH53" s="56" t="n">
        <v>9.113706901155732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SGLT-2 INHIBITORS &amp; COMBOS</t>
        </is>
      </c>
      <c r="AG54" s="122" t="n">
        <v>7324.89039610108</v>
      </c>
      <c r="AH54" s="56" t="n">
        <v>22.97068657334675</v>
      </c>
    </row>
    <row r="55">
      <c r="B55" s="64" t="inlineStr">
        <is>
          <t>Vaccines</t>
        </is>
      </c>
      <c r="D55" s="130" t="n">
        <v>11</v>
      </c>
      <c r="E55" s="131" t="n">
        <v>0</v>
      </c>
      <c r="F55" s="131" t="n">
        <v>0</v>
      </c>
      <c r="G55" s="131" t="n">
        <v>0</v>
      </c>
      <c r="H55" s="132" t="n">
        <v>11</v>
      </c>
      <c r="J55" s="130" t="n">
        <v>11.00421963992369</v>
      </c>
      <c r="K55" s="131" t="n">
        <v>0</v>
      </c>
      <c r="L55" s="131" t="n">
        <v>0</v>
      </c>
      <c r="M55" s="131" t="n">
        <v>0</v>
      </c>
      <c r="N55" s="132" t="n">
        <v>11.00421963992369</v>
      </c>
      <c r="P55" s="130" t="n">
        <v>11.25327823035992</v>
      </c>
      <c r="Q55" s="131" t="n">
        <v>0</v>
      </c>
      <c r="R55" s="131" t="n">
        <v>0</v>
      </c>
      <c r="S55" s="131" t="n">
        <v>0</v>
      </c>
      <c r="T55" s="132" t="n">
        <v>11.25327823035992</v>
      </c>
      <c r="V55" s="130" t="n">
        <v>11.64231197178807</v>
      </c>
      <c r="W55" s="131" t="n">
        <v>0</v>
      </c>
      <c r="X55" s="131" t="n">
        <v>0</v>
      </c>
      <c r="Y55" s="131" t="n">
        <v>0</v>
      </c>
      <c r="Z55" s="132" t="n">
        <v>11.64231197178807</v>
      </c>
      <c r="AE55" s="121" t="n">
        <v>7</v>
      </c>
      <c r="AF55" t="inlineStr">
        <is>
          <t>OPHTHALMIC PROSTAGLANDINS</t>
        </is>
      </c>
      <c r="AG55" s="122" t="n">
        <v>4738.040153692501</v>
      </c>
      <c r="AH55" s="56" t="n">
        <v>13.14952882326983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LAMA/ACH</t>
        </is>
      </c>
      <c r="AG56" s="122" t="n">
        <v>3529.824097401452</v>
      </c>
      <c r="AH56" s="56" t="n">
        <v>6.352872360300239</v>
      </c>
    </row>
    <row r="57">
      <c r="B57" s="64" t="inlineStr">
        <is>
          <t>MSBs</t>
        </is>
      </c>
      <c r="D57" s="130" t="n">
        <v>68</v>
      </c>
      <c r="E57" s="131" t="n">
        <v>70</v>
      </c>
      <c r="F57" s="131" t="n">
        <v>85</v>
      </c>
      <c r="G57" s="131" t="n">
        <v>0</v>
      </c>
      <c r="H57" s="132" t="n">
        <v>223</v>
      </c>
      <c r="J57" s="130" t="n">
        <v>63.51701400863277</v>
      </c>
      <c r="K57" s="131" t="n">
        <v>55.26075949714094</v>
      </c>
      <c r="L57" s="131" t="n">
        <v>70.05762760070749</v>
      </c>
      <c r="M57" s="131" t="n">
        <v>0</v>
      </c>
      <c r="N57" s="132" t="n">
        <v>188.8354011064812</v>
      </c>
      <c r="P57" s="130" t="n">
        <v>62.84620709537454</v>
      </c>
      <c r="Q57" s="131" t="n">
        <v>53.9972686982864</v>
      </c>
      <c r="R57" s="131" t="n">
        <v>67.54614245337035</v>
      </c>
      <c r="S57" s="131" t="n">
        <v>0</v>
      </c>
      <c r="T57" s="132" t="n">
        <v>184.3896182470313</v>
      </c>
      <c r="V57" s="130" t="n">
        <v>59.12606311326168</v>
      </c>
      <c r="W57" s="131" t="n">
        <v>54.54301454127601</v>
      </c>
      <c r="X57" s="131" t="n">
        <v>66.06395772949693</v>
      </c>
      <c r="Y57" s="131" t="n">
        <v>0</v>
      </c>
      <c r="Z57" s="132" t="n">
        <v>179.7330353840346</v>
      </c>
      <c r="AE57" s="121" t="n">
        <v>9</v>
      </c>
      <c r="AF57" t="inlineStr">
        <is>
          <t>OPHTHALMIC INTEGRIN ANTAGONIST</t>
        </is>
      </c>
      <c r="AG57" s="122" t="n">
        <v>3108.570820460975</v>
      </c>
      <c r="AH57" s="56" t="n">
        <v>6.810569155727732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IRRITABLE BOWEL SYNDROME (IBS) AGENTS</t>
        </is>
      </c>
      <c r="AG58" s="122" t="n">
        <v>3061.724137296156</v>
      </c>
      <c r="AH58" s="56" t="n">
        <v>4.506520365848544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16</v>
      </c>
      <c r="H59" s="132" t="n">
        <v>16</v>
      </c>
      <c r="J59" s="130" t="n">
        <v>0</v>
      </c>
      <c r="K59" s="131" t="n">
        <v>0</v>
      </c>
      <c r="L59" s="131" t="n">
        <v>0</v>
      </c>
      <c r="M59" s="131" t="n">
        <v>17.09928479257696</v>
      </c>
      <c r="N59" s="132" t="n">
        <v>17.09928479257696</v>
      </c>
      <c r="P59" s="130" t="n">
        <v>0</v>
      </c>
      <c r="Q59" s="131" t="n">
        <v>0</v>
      </c>
      <c r="R59" s="131" t="n">
        <v>0</v>
      </c>
      <c r="S59" s="131" t="n">
        <v>16.70894513045657</v>
      </c>
      <c r="T59" s="132" t="n">
        <v>16.70894513045657</v>
      </c>
      <c r="V59" s="130" t="n">
        <v>0</v>
      </c>
      <c r="W59" s="131" t="n">
        <v>0</v>
      </c>
      <c r="X59" s="131" t="n">
        <v>0</v>
      </c>
      <c r="Y59" s="131" t="n">
        <v>12.09419802558369</v>
      </c>
      <c r="Z59" s="132" t="n">
        <v>12.09419802558369</v>
      </c>
      <c r="AE59" s="121" t="n">
        <v>11</v>
      </c>
      <c r="AF59" t="inlineStr">
        <is>
          <t>OPHTHALMICS - RHO KINASE INHIBITOR &amp; COMBOS</t>
        </is>
      </c>
      <c r="AG59" s="122" t="n">
        <v>2551.064795992128</v>
      </c>
      <c r="AH59" s="56" t="n">
        <v>6.855622252068915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INSULIN ADMINISTRATION SUPPLIES</t>
        </is>
      </c>
      <c r="AG60" s="122" t="n">
        <v>2546.045009100948</v>
      </c>
      <c r="AH60" s="56" t="n">
        <v>3.919097317386784</v>
      </c>
    </row>
    <row r="61">
      <c r="B61" s="64" t="inlineStr">
        <is>
          <t>Formulary Exclusions</t>
        </is>
      </c>
      <c r="D61" s="130" t="n">
        <v>35</v>
      </c>
      <c r="E61" s="131" t="n">
        <v>14</v>
      </c>
      <c r="F61" s="131" t="n">
        <v>23</v>
      </c>
      <c r="G61" s="131" t="n">
        <v>0</v>
      </c>
      <c r="H61" s="132" t="n">
        <v>72</v>
      </c>
      <c r="J61" s="130" t="n">
        <v>33.80888039188297</v>
      </c>
      <c r="K61" s="131" t="n">
        <v>11.56721622874409</v>
      </c>
      <c r="L61" s="131" t="n">
        <v>27.05108616001349</v>
      </c>
      <c r="M61" s="131" t="n">
        <v>0</v>
      </c>
      <c r="N61" s="132" t="n">
        <v>72.42718278064055</v>
      </c>
      <c r="P61" s="130" t="n">
        <v>34.38023379828338</v>
      </c>
      <c r="Q61" s="131" t="n">
        <v>11.88171813551708</v>
      </c>
      <c r="R61" s="131" t="n">
        <v>28.00195246753046</v>
      </c>
      <c r="S61" s="131" t="n">
        <v>0</v>
      </c>
      <c r="T61" s="132" t="n">
        <v>74.26390440133092</v>
      </c>
      <c r="V61" s="130" t="n">
        <v>35.41500949077938</v>
      </c>
      <c r="W61" s="131" t="n">
        <v>12.10617120330804</v>
      </c>
      <c r="X61" s="131" t="n">
        <v>25.76138345852207</v>
      </c>
      <c r="Y61" s="131" t="n">
        <v>0</v>
      </c>
      <c r="Z61" s="132" t="n">
        <v>73.2825641526095</v>
      </c>
      <c r="AE61" s="121" t="n">
        <v>13</v>
      </c>
      <c r="AF61" t="inlineStr">
        <is>
          <t>DIGESTIVE ENZYMES</t>
        </is>
      </c>
      <c r="AG61" s="122" t="n">
        <v>1576.552975501276</v>
      </c>
      <c r="AH61" s="56" t="n">
        <v>1.064062481716026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ANTIDEPRESSANTS</t>
        </is>
      </c>
      <c r="AG62" s="122" t="n">
        <v>1561.70282805397</v>
      </c>
      <c r="AH62" s="56" t="n">
        <v>7.487248693337843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9</v>
      </c>
      <c r="H63" s="132" t="n">
        <v>9</v>
      </c>
      <c r="J63" s="130" t="n">
        <v>2.58953491341282</v>
      </c>
      <c r="K63" s="131" t="n">
        <v>0.4725356733129189</v>
      </c>
      <c r="L63" s="131" t="n">
        <v>0.2078802046455621</v>
      </c>
      <c r="M63" s="131" t="n">
        <v>7.308333158315506</v>
      </c>
      <c r="N63" s="132" t="n">
        <v>10.57828394968681</v>
      </c>
      <c r="P63" s="130" t="n">
        <v>2.08552136938691</v>
      </c>
      <c r="Q63" s="131" t="n">
        <v>0.1405100237659127</v>
      </c>
      <c r="R63" s="131" t="n">
        <v>0.08133752942403305</v>
      </c>
      <c r="S63" s="131" t="n">
        <v>6.991768917026942</v>
      </c>
      <c r="T63" s="132" t="n">
        <v>9.299137839603798</v>
      </c>
      <c r="V63" s="130" t="n">
        <v>1.437311782396435</v>
      </c>
      <c r="W63" s="131" t="n">
        <v>0.1196840743637466</v>
      </c>
      <c r="X63" s="131" t="n">
        <v>0.07925896025578538</v>
      </c>
      <c r="Y63" s="131" t="n">
        <v>6.012182320226874</v>
      </c>
      <c r="Z63" s="132" t="n">
        <v>7.648437137242841</v>
      </c>
      <c r="AE63" s="121" t="n">
        <v>15</v>
      </c>
      <c r="AF63" t="inlineStr">
        <is>
          <t>INHALED CORTICOSTEROIDS (ICS)</t>
        </is>
      </c>
      <c r="AG63" s="122" t="n">
        <v>1381.914326977275</v>
      </c>
      <c r="AH63" s="56" t="n">
        <v>0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9</v>
      </c>
      <c r="H64" s="135" t="n">
        <v>9</v>
      </c>
      <c r="J64" s="133" t="n">
        <v>0</v>
      </c>
      <c r="K64" s="134" t="n">
        <v>0</v>
      </c>
      <c r="L64" s="134" t="n">
        <v>0</v>
      </c>
      <c r="M64" s="134" t="n">
        <v>7.196331036924444</v>
      </c>
      <c r="N64" s="135" t="n">
        <v>7.196331036924444</v>
      </c>
      <c r="P64" s="133" t="n">
        <v>0</v>
      </c>
      <c r="Q64" s="134" t="n">
        <v>0</v>
      </c>
      <c r="R64" s="134" t="n">
        <v>0</v>
      </c>
      <c r="S64" s="134" t="n">
        <v>6.877622740410126</v>
      </c>
      <c r="T64" s="135" t="n">
        <v>6.877622740410126</v>
      </c>
      <c r="V64" s="133" t="n">
        <v>0</v>
      </c>
      <c r="W64" s="134" t="n">
        <v>0</v>
      </c>
      <c r="X64" s="134" t="n">
        <v>0</v>
      </c>
      <c r="Y64" s="134" t="n">
        <v>5.894981001423753</v>
      </c>
      <c r="Z64" s="135" t="n">
        <v>5.894981001423753</v>
      </c>
      <c r="AE64" s="121" t="n">
        <v>16</v>
      </c>
      <c r="AF64" t="inlineStr">
        <is>
          <t>BASAL INSULIN</t>
        </is>
      </c>
      <c r="AG64" s="122" t="n">
        <v>1043.337599701222</v>
      </c>
      <c r="AH64" s="56" t="n">
        <v>5.448624373134736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VAGINAL ESTROGENS</t>
        </is>
      </c>
      <c r="AG65" s="122" t="n">
        <v>902.9416746470686</v>
      </c>
      <c r="AH65" s="56" t="n">
        <v>4.931725028513852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OSTEOPOROSIS AGENTS</t>
        </is>
      </c>
      <c r="AG66" s="122" t="n">
        <v>819.5319131229344</v>
      </c>
      <c r="AH66" s="56" t="n">
        <v>2.170745535797251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2.893467696716072</v>
      </c>
      <c r="K67" s="140" t="n">
        <v>3.224075867332797</v>
      </c>
      <c r="L67" s="140" t="n">
        <v>5.423006045073503</v>
      </c>
      <c r="M67" s="140" t="n">
        <v>3.399871846615792</v>
      </c>
      <c r="N67" s="141" t="n">
        <v>14.94042145573816</v>
      </c>
      <c r="P67" s="139" t="n">
        <v>5.57556069724153</v>
      </c>
      <c r="Q67" s="140" t="n">
        <v>4.527875195047195</v>
      </c>
      <c r="R67" s="140" t="n">
        <v>5.836822602345891</v>
      </c>
      <c r="S67" s="140" t="n">
        <v>3.458620251626422</v>
      </c>
      <c r="T67" s="141" t="n">
        <v>19.39887874626104</v>
      </c>
      <c r="V67" s="139" t="n">
        <v>9.73976273435381</v>
      </c>
      <c r="W67" s="140" t="n">
        <v>5.762176317484298</v>
      </c>
      <c r="X67" s="140" t="n">
        <v>7.176537158237969</v>
      </c>
      <c r="Y67" s="140" t="n">
        <v>3.60628321038739</v>
      </c>
      <c r="Z67" s="141" t="n">
        <v>26.28475942046347</v>
      </c>
      <c r="AE67" s="121" t="n">
        <v>19</v>
      </c>
      <c r="AF67" t="inlineStr">
        <is>
          <t>MISC. ANTIVIRALS</t>
        </is>
      </c>
      <c r="AG67" s="122" t="n">
        <v>789.0135862907857</v>
      </c>
      <c r="AH67" s="56" t="n">
        <v>1.996222777286802</v>
      </c>
    </row>
    <row r="68" ht="15.6" customHeight="1" thickBot="1" thickTop="1">
      <c r="B68" s="69" t="inlineStr">
        <is>
          <t>Total</t>
        </is>
      </c>
      <c r="D68" s="142" t="n">
        <v>118</v>
      </c>
      <c r="E68" s="143" t="n">
        <v>87</v>
      </c>
      <c r="F68" s="143" t="n">
        <v>114</v>
      </c>
      <c r="G68" s="143" t="n">
        <v>25</v>
      </c>
      <c r="H68" s="144" t="n">
        <v>353</v>
      </c>
      <c r="J68" s="142" t="n">
        <v>117.1803249169938</v>
      </c>
      <c r="K68" s="143" t="n">
        <v>73.05118409326361</v>
      </c>
      <c r="L68" s="143" t="n">
        <v>107.7905726133486</v>
      </c>
      <c r="M68" s="143" t="n">
        <v>27.80748979750825</v>
      </c>
      <c r="N68" s="144" t="n">
        <v>333.0259024580387</v>
      </c>
      <c r="P68" s="142" t="n">
        <v>119.3278546199357</v>
      </c>
      <c r="Q68" s="143" t="n">
        <v>72.93705608557946</v>
      </c>
      <c r="R68" s="143" t="n">
        <v>106.1573513292938</v>
      </c>
      <c r="S68" s="143" t="n">
        <v>27.15933429910994</v>
      </c>
      <c r="T68" s="144" t="n">
        <v>332.4592190743291</v>
      </c>
      <c r="V68" s="142" t="n">
        <v>120.425802540321</v>
      </c>
      <c r="W68" s="143" t="n">
        <v>74.78696530289767</v>
      </c>
      <c r="X68" s="143" t="n">
        <v>103.4860049984695</v>
      </c>
      <c r="Y68" s="143" t="n">
        <v>21.71266355619795</v>
      </c>
      <c r="Z68" s="144" t="n">
        <v>326.3064173993099</v>
      </c>
      <c r="AE68" s="124" t="n">
        <v>20</v>
      </c>
      <c r="AF68" s="82" t="inlineStr">
        <is>
          <t>ATYPICAL ANTIPSYCHOTICS</t>
        </is>
      </c>
      <c r="AG68" s="125" t="n">
        <v>735.2720087139427</v>
      </c>
      <c r="AH68" s="84" t="n">
        <v>1.150196733361794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4.098418325321437</v>
      </c>
      <c r="K75" s="131" t="n">
        <v>14.78356462884474</v>
      </c>
      <c r="L75" s="131" t="n">
        <v>13.61739274799116</v>
      </c>
      <c r="M75" s="131" t="n">
        <v>0</v>
      </c>
      <c r="N75" s="132" t="n">
        <v>32.49937570215734</v>
      </c>
      <c r="P75" s="130" t="n">
        <v>6.055733234399905</v>
      </c>
      <c r="Q75" s="131" t="n">
        <v>18.96397290146506</v>
      </c>
      <c r="R75" s="131" t="n">
        <v>16.07091998078703</v>
      </c>
      <c r="S75" s="131" t="n">
        <v>0</v>
      </c>
      <c r="T75" s="132" t="n">
        <v>41.09062611665199</v>
      </c>
      <c r="V75" s="130" t="n">
        <v>11.49271994395196</v>
      </c>
      <c r="W75" s="131" t="n">
        <v>21.20603144275259</v>
      </c>
      <c r="X75" s="131" t="n">
        <v>18.14934832521764</v>
      </c>
      <c r="Y75" s="131" t="n">
        <v>0</v>
      </c>
      <c r="Z75" s="132" t="n">
        <v>50.84809971192219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1.220807223584646</v>
      </c>
      <c r="N77" s="132" t="n">
        <v>1.220807223584646</v>
      </c>
      <c r="P77" s="130" t="n">
        <v>0</v>
      </c>
      <c r="Q77" s="131" t="n">
        <v>0</v>
      </c>
      <c r="R77" s="131" t="n">
        <v>0</v>
      </c>
      <c r="S77" s="131" t="n">
        <v>2.635178875703777</v>
      </c>
      <c r="T77" s="132" t="n">
        <v>2.635178875703777</v>
      </c>
      <c r="V77" s="130" t="n">
        <v>0</v>
      </c>
      <c r="W77" s="131" t="n">
        <v>0</v>
      </c>
      <c r="X77" s="131" t="n">
        <v>0</v>
      </c>
      <c r="Y77" s="131" t="n">
        <v>8.417156430235023</v>
      </c>
      <c r="Z77" s="132" t="n">
        <v>8.417156430235023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3.225990852581615</v>
      </c>
      <c r="Y79" s="131" t="n">
        <v>0</v>
      </c>
      <c r="Z79" s="132" t="n">
        <v>3.225990852581615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1.757711967973709</v>
      </c>
      <c r="N81" s="132" t="n">
        <v>1.757711967973709</v>
      </c>
      <c r="P81" s="130" t="n">
        <v>0</v>
      </c>
      <c r="Q81" s="131" t="n">
        <v>0</v>
      </c>
      <c r="R81" s="131" t="n">
        <v>0</v>
      </c>
      <c r="S81" s="131" t="n">
        <v>2.015925187910772</v>
      </c>
      <c r="T81" s="132" t="n">
        <v>2.015925187910772</v>
      </c>
      <c r="V81" s="130" t="n">
        <v>0</v>
      </c>
      <c r="W81" s="131" t="n">
        <v>0</v>
      </c>
      <c r="X81" s="131" t="n">
        <v>0</v>
      </c>
      <c r="Y81" s="131" t="n">
        <v>2.974416967432209</v>
      </c>
      <c r="Z81" s="132" t="n">
        <v>2.974416967432209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1.757711967973708</v>
      </c>
      <c r="N82" s="135" t="n">
        <v>1.757711967973708</v>
      </c>
      <c r="P82" s="133" t="n">
        <v>0</v>
      </c>
      <c r="Q82" s="134" t="n">
        <v>0</v>
      </c>
      <c r="R82" s="134" t="n">
        <v>0</v>
      </c>
      <c r="S82" s="134" t="n">
        <v>2.015925187910772</v>
      </c>
      <c r="T82" s="135" t="n">
        <v>2.015925187910772</v>
      </c>
      <c r="V82" s="133" t="n">
        <v>0</v>
      </c>
      <c r="W82" s="134" t="n">
        <v>0</v>
      </c>
      <c r="X82" s="134" t="n">
        <v>0</v>
      </c>
      <c r="Y82" s="134" t="n">
        <v>2.974416967432209</v>
      </c>
      <c r="Z82" s="135" t="n">
        <v>2.974416967432209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11.44832559408679</v>
      </c>
      <c r="K85" s="140" t="n">
        <v>12.12535923748932</v>
      </c>
      <c r="L85" s="140" t="n">
        <v>2.680791333554108</v>
      </c>
      <c r="M85" s="140" t="n">
        <v>2.402670330840043</v>
      </c>
      <c r="N85" s="141" t="n">
        <v>28.65714649597026</v>
      </c>
      <c r="P85" s="139" t="n">
        <v>47.89703212836737</v>
      </c>
      <c r="Q85" s="140" t="n">
        <v>30.2573094073075</v>
      </c>
      <c r="R85" s="140" t="n">
        <v>12.13391549914418</v>
      </c>
      <c r="S85" s="140" t="n">
        <v>2.26227875244484</v>
      </c>
      <c r="T85" s="141" t="n">
        <v>92.5505357872639</v>
      </c>
      <c r="V85" s="139" t="n">
        <v>85.44634092584513</v>
      </c>
      <c r="W85" s="140" t="n">
        <v>46.07117141689103</v>
      </c>
      <c r="X85" s="140" t="n">
        <v>22.36171757360467</v>
      </c>
      <c r="Y85" s="140" t="n">
        <v>2.06062591633851</v>
      </c>
      <c r="Z85" s="141" t="n">
        <v>155.9398558326793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15.54674391940823</v>
      </c>
      <c r="K86" s="143" t="n">
        <v>26.90892386633406</v>
      </c>
      <c r="L86" s="143" t="n">
        <v>16.29818408154527</v>
      </c>
      <c r="M86" s="143" t="n">
        <v>5.381189522398397</v>
      </c>
      <c r="N86" s="144" t="n">
        <v>65.89275335765966</v>
      </c>
      <c r="P86" s="142" t="n">
        <v>53.95276536276727</v>
      </c>
      <c r="Q86" s="143" t="n">
        <v>49.22128230877256</v>
      </c>
      <c r="R86" s="143" t="n">
        <v>28.20483547993121</v>
      </c>
      <c r="S86" s="143" t="n">
        <v>6.913382816059389</v>
      </c>
      <c r="T86" s="144" t="n">
        <v>140.3081911554412</v>
      </c>
      <c r="V86" s="142" t="n">
        <v>96.93906086979709</v>
      </c>
      <c r="W86" s="143" t="n">
        <v>67.27720285964361</v>
      </c>
      <c r="X86" s="143" t="n">
        <v>43.73705675140393</v>
      </c>
      <c r="Y86" s="143" t="n">
        <v>13.45219931400574</v>
      </c>
      <c r="Z86" s="144" t="n">
        <v>224.3799367622826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4</v>
      </c>
      <c r="E89" s="128" t="n">
        <v>3</v>
      </c>
      <c r="F89" s="128" t="n">
        <v>6</v>
      </c>
      <c r="G89" s="128" t="n">
        <v>0</v>
      </c>
      <c r="H89" s="129" t="n">
        <v>13</v>
      </c>
      <c r="J89" s="127" t="n">
        <v>3.367208266425485</v>
      </c>
      <c r="K89" s="128" t="n">
        <v>2.526596826732871</v>
      </c>
      <c r="L89" s="128" t="n">
        <v>5.050972602908545</v>
      </c>
      <c r="M89" s="128" t="n">
        <v>0</v>
      </c>
      <c r="N89" s="129" t="n">
        <v>10.9447776960669</v>
      </c>
      <c r="P89" s="127" t="n">
        <v>3.18705342928946</v>
      </c>
      <c r="Q89" s="128" t="n">
        <v>2.389684032962863</v>
      </c>
      <c r="R89" s="128" t="n">
        <v>4.691096276623046</v>
      </c>
      <c r="S89" s="128" t="n">
        <v>0</v>
      </c>
      <c r="T89" s="129" t="n">
        <v>10.26783373887537</v>
      </c>
      <c r="V89" s="127" t="n">
        <v>3.065343447741625</v>
      </c>
      <c r="W89" s="128" t="n">
        <v>2.255919166465565</v>
      </c>
      <c r="X89" s="128" t="n">
        <v>4.404867691956748</v>
      </c>
      <c r="Y89" s="128" t="n">
        <v>0</v>
      </c>
      <c r="Z89" s="129" t="n">
        <v>9.726130306163938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11</v>
      </c>
      <c r="E91" s="131" t="n">
        <v>0</v>
      </c>
      <c r="F91" s="131" t="n">
        <v>0</v>
      </c>
      <c r="G91" s="131" t="n">
        <v>0</v>
      </c>
      <c r="H91" s="132" t="n">
        <v>11</v>
      </c>
      <c r="J91" s="130" t="n">
        <v>11.00421963992369</v>
      </c>
      <c r="K91" s="131" t="n">
        <v>0</v>
      </c>
      <c r="L91" s="131" t="n">
        <v>0</v>
      </c>
      <c r="M91" s="131" t="n">
        <v>0</v>
      </c>
      <c r="N91" s="132" t="n">
        <v>11.00421963992369</v>
      </c>
      <c r="P91" s="130" t="n">
        <v>11.25327823035992</v>
      </c>
      <c r="Q91" s="131" t="n">
        <v>0</v>
      </c>
      <c r="R91" s="131" t="n">
        <v>0</v>
      </c>
      <c r="S91" s="131" t="n">
        <v>0</v>
      </c>
      <c r="T91" s="132" t="n">
        <v>11.25327823035992</v>
      </c>
      <c r="V91" s="130" t="n">
        <v>11.64231197178807</v>
      </c>
      <c r="W91" s="131" t="n">
        <v>0</v>
      </c>
      <c r="X91" s="131" t="n">
        <v>0</v>
      </c>
      <c r="Y91" s="131" t="n">
        <v>0</v>
      </c>
      <c r="Z91" s="132" t="n">
        <v>11.64231197178807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68</v>
      </c>
      <c r="E93" s="131" t="n">
        <v>70</v>
      </c>
      <c r="F93" s="131" t="n">
        <v>85</v>
      </c>
      <c r="G93" s="131" t="n">
        <v>0</v>
      </c>
      <c r="H93" s="132" t="n">
        <v>223</v>
      </c>
      <c r="J93" s="130" t="n">
        <v>67.6154323339542</v>
      </c>
      <c r="K93" s="131" t="n">
        <v>70.04432412598568</v>
      </c>
      <c r="L93" s="131" t="n">
        <v>83.67502034869865</v>
      </c>
      <c r="M93" s="131" t="n">
        <v>0</v>
      </c>
      <c r="N93" s="132" t="n">
        <v>221.3347768086385</v>
      </c>
      <c r="P93" s="130" t="n">
        <v>68.90194032977445</v>
      </c>
      <c r="Q93" s="131" t="n">
        <v>72.96124159975146</v>
      </c>
      <c r="R93" s="131" t="n">
        <v>83.61706243415738</v>
      </c>
      <c r="S93" s="131" t="n">
        <v>0</v>
      </c>
      <c r="T93" s="132" t="n">
        <v>225.4802443636833</v>
      </c>
      <c r="V93" s="130" t="n">
        <v>70.61878305721363</v>
      </c>
      <c r="W93" s="131" t="n">
        <v>75.7490459840286</v>
      </c>
      <c r="X93" s="131" t="n">
        <v>84.21330605471458</v>
      </c>
      <c r="Y93" s="131" t="n">
        <v>0</v>
      </c>
      <c r="Z93" s="132" t="n">
        <v>230.5811350959568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16</v>
      </c>
      <c r="H95" s="132" t="n">
        <v>16</v>
      </c>
      <c r="J95" s="130" t="n">
        <v>0</v>
      </c>
      <c r="K95" s="131" t="n">
        <v>0</v>
      </c>
      <c r="L95" s="131" t="n">
        <v>0</v>
      </c>
      <c r="M95" s="131" t="n">
        <v>18.3200920161616</v>
      </c>
      <c r="N95" s="132" t="n">
        <v>18.3200920161616</v>
      </c>
      <c r="P95" s="130" t="n">
        <v>0</v>
      </c>
      <c r="Q95" s="131" t="n">
        <v>0</v>
      </c>
      <c r="R95" s="131" t="n">
        <v>0</v>
      </c>
      <c r="S95" s="131" t="n">
        <v>19.34412400616035</v>
      </c>
      <c r="T95" s="132" t="n">
        <v>19.34412400616035</v>
      </c>
      <c r="V95" s="130" t="n">
        <v>0</v>
      </c>
      <c r="W95" s="131" t="n">
        <v>0</v>
      </c>
      <c r="X95" s="131" t="n">
        <v>0</v>
      </c>
      <c r="Y95" s="131" t="n">
        <v>20.51135445581871</v>
      </c>
      <c r="Z95" s="132" t="n">
        <v>20.51135445581871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35</v>
      </c>
      <c r="E97" s="131" t="n">
        <v>14</v>
      </c>
      <c r="F97" s="131" t="n">
        <v>23</v>
      </c>
      <c r="G97" s="131" t="n">
        <v>0</v>
      </c>
      <c r="H97" s="132" t="n">
        <v>72</v>
      </c>
      <c r="J97" s="130" t="n">
        <v>33.80888039188297</v>
      </c>
      <c r="K97" s="131" t="n">
        <v>11.56721622874409</v>
      </c>
      <c r="L97" s="131" t="n">
        <v>27.05108616001349</v>
      </c>
      <c r="M97" s="131" t="n">
        <v>0</v>
      </c>
      <c r="N97" s="132" t="n">
        <v>72.42718278064055</v>
      </c>
      <c r="P97" s="130" t="n">
        <v>34.38023379828338</v>
      </c>
      <c r="Q97" s="131" t="n">
        <v>11.88171813551708</v>
      </c>
      <c r="R97" s="131" t="n">
        <v>28.00195246753046</v>
      </c>
      <c r="S97" s="131" t="n">
        <v>0</v>
      </c>
      <c r="T97" s="132" t="n">
        <v>74.26390440133092</v>
      </c>
      <c r="V97" s="130" t="n">
        <v>35.41500949077938</v>
      </c>
      <c r="W97" s="131" t="n">
        <v>12.10617120330804</v>
      </c>
      <c r="X97" s="131" t="n">
        <v>28.98737431110369</v>
      </c>
      <c r="Y97" s="131" t="n">
        <v>0</v>
      </c>
      <c r="Z97" s="132" t="n">
        <v>76.50855500519111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9</v>
      </c>
      <c r="H99" s="132" t="n">
        <v>9</v>
      </c>
      <c r="J99" s="130" t="n">
        <v>2.58953491341282</v>
      </c>
      <c r="K99" s="131" t="n">
        <v>0.4725356733129189</v>
      </c>
      <c r="L99" s="131" t="n">
        <v>0.2078802046455621</v>
      </c>
      <c r="M99" s="131" t="n">
        <v>9.066045126289218</v>
      </c>
      <c r="N99" s="132" t="n">
        <v>12.33599591766052</v>
      </c>
      <c r="P99" s="130" t="n">
        <v>2.085521369386896</v>
      </c>
      <c r="Q99" s="131" t="n">
        <v>0.1405100237659127</v>
      </c>
      <c r="R99" s="131" t="n">
        <v>0.08133752942404726</v>
      </c>
      <c r="S99" s="131" t="n">
        <v>9.007694104937713</v>
      </c>
      <c r="T99" s="132" t="n">
        <v>11.31506302751457</v>
      </c>
      <c r="V99" s="130" t="n">
        <v>1.437311782396421</v>
      </c>
      <c r="W99" s="131" t="n">
        <v>0.1196840743637608</v>
      </c>
      <c r="X99" s="131" t="n">
        <v>0.07925896025577117</v>
      </c>
      <c r="Y99" s="131" t="n">
        <v>8.986599287659079</v>
      </c>
      <c r="Z99" s="132" t="n">
        <v>10.62285410467503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9</v>
      </c>
      <c r="H100" s="135" t="n">
        <v>9</v>
      </c>
      <c r="J100" s="133" t="n">
        <v>0</v>
      </c>
      <c r="K100" s="134" t="n">
        <v>0</v>
      </c>
      <c r="L100" s="134" t="n">
        <v>0</v>
      </c>
      <c r="M100" s="134" t="n">
        <v>8.954043004898152</v>
      </c>
      <c r="N100" s="135" t="n">
        <v>8.954043004898152</v>
      </c>
      <c r="P100" s="133" t="n">
        <v>0</v>
      </c>
      <c r="Q100" s="134" t="n">
        <v>0</v>
      </c>
      <c r="R100" s="134" t="n">
        <v>0</v>
      </c>
      <c r="S100" s="134" t="n">
        <v>8.893547928320899</v>
      </c>
      <c r="T100" s="135" t="n">
        <v>8.893547928320899</v>
      </c>
      <c r="V100" s="133" t="n">
        <v>0</v>
      </c>
      <c r="W100" s="134" t="n">
        <v>0</v>
      </c>
      <c r="X100" s="134" t="n">
        <v>0</v>
      </c>
      <c r="Y100" s="134" t="n">
        <v>8.869397968855962</v>
      </c>
      <c r="Z100" s="135" t="n">
        <v>8.869397968855962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14.34179329080286</v>
      </c>
      <c r="K103" s="140" t="n">
        <v>15.34943510482212</v>
      </c>
      <c r="L103" s="140" t="n">
        <v>8.103797378627611</v>
      </c>
      <c r="M103" s="140" t="n">
        <v>5.802542177455835</v>
      </c>
      <c r="N103" s="141" t="n">
        <v>43.59756795170842</v>
      </c>
      <c r="P103" s="139" t="n">
        <v>53.4725928256089</v>
      </c>
      <c r="Q103" s="140" t="n">
        <v>34.7851846023547</v>
      </c>
      <c r="R103" s="140" t="n">
        <v>17.97073810149007</v>
      </c>
      <c r="S103" s="140" t="n">
        <v>5.720899004071262</v>
      </c>
      <c r="T103" s="141" t="n">
        <v>111.9494145335249</v>
      </c>
      <c r="V103" s="139" t="n">
        <v>95.18610366019894</v>
      </c>
      <c r="W103" s="140" t="n">
        <v>51.83334773437532</v>
      </c>
      <c r="X103" s="140" t="n">
        <v>29.53825473184264</v>
      </c>
      <c r="Y103" s="140" t="n">
        <v>5.6669091267259</v>
      </c>
      <c r="Z103" s="141" t="n">
        <v>182.2246152531428</v>
      </c>
    </row>
    <row r="104" ht="15.6" customHeight="1" thickBot="1" thickTop="1">
      <c r="B104" s="69" t="inlineStr">
        <is>
          <t>Total</t>
        </is>
      </c>
      <c r="D104" s="142" t="n">
        <v>118</v>
      </c>
      <c r="E104" s="143" t="n">
        <v>87</v>
      </c>
      <c r="F104" s="143" t="n">
        <v>114</v>
      </c>
      <c r="G104" s="143" t="n">
        <v>25</v>
      </c>
      <c r="H104" s="144" t="n">
        <v>353</v>
      </c>
      <c r="J104" s="142" t="n">
        <v>132.727068836402</v>
      </c>
      <c r="K104" s="143" t="n">
        <v>99.96010795959768</v>
      </c>
      <c r="L104" s="143" t="n">
        <v>124.0887566948939</v>
      </c>
      <c r="M104" s="143" t="n">
        <v>33.18867931990665</v>
      </c>
      <c r="N104" s="144" t="n">
        <v>398.9186558156984</v>
      </c>
      <c r="P104" s="142" t="n">
        <v>173.280619982703</v>
      </c>
      <c r="Q104" s="143" t="n">
        <v>122.158338394352</v>
      </c>
      <c r="R104" s="143" t="n">
        <v>134.362186809225</v>
      </c>
      <c r="S104" s="143" t="n">
        <v>34.07271711516933</v>
      </c>
      <c r="T104" s="144" t="n">
        <v>472.7674102297703</v>
      </c>
      <c r="V104" s="142" t="n">
        <v>217.3648634101181</v>
      </c>
      <c r="W104" s="143" t="n">
        <v>142.0641681625413</v>
      </c>
      <c r="X104" s="143" t="n">
        <v>147.2230617498734</v>
      </c>
      <c r="Y104" s="143" t="n">
        <v>35.16486287020369</v>
      </c>
      <c r="Z104" s="144" t="n">
        <v>550.6863541615924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650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Health Delegates Amwins Coast College Rebate Only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10/01/2024</t>
        </is>
      </c>
      <c r="AD17" s="4" t="n"/>
      <c r="AE17" s="4" t="n"/>
      <c r="AF17" s="6" t="n">
        <v>2027</v>
      </c>
    </row>
    <row r="18">
      <c r="B18" s="4" t="n"/>
      <c r="C18" s="4" t="inlineStr">
        <is>
          <t>End Date:</t>
        </is>
      </c>
      <c r="D18" s="116" t="inlineStr">
        <is>
          <t>09/30/2025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2027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138</v>
      </c>
      <c r="E25" s="40" t="n">
        <v>6168.5</v>
      </c>
      <c r="F25" s="40" t="n">
        <v>4460</v>
      </c>
      <c r="G25" s="41" t="n">
        <v>44.69927536231884</v>
      </c>
      <c r="H25" s="42" t="n">
        <v>32.31884057971015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51479.2874751646</v>
      </c>
      <c r="AI25" s="46" t="n">
        <v>42.88056699746012</v>
      </c>
      <c r="AK25" s="120" t="n">
        <v>1</v>
      </c>
      <c r="AL25" s="44" t="inlineStr">
        <is>
          <t>JAKAFI</t>
        </is>
      </c>
      <c r="AM25" s="44" t="inlineStr">
        <is>
          <t>ONCOLOGY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71</v>
      </c>
      <c r="E26" s="51" t="n">
        <v>8390.4</v>
      </c>
      <c r="F26" s="51" t="n">
        <v>6372</v>
      </c>
      <c r="G26" s="52" t="n">
        <v>118.1746478873239</v>
      </c>
      <c r="H26" s="53" t="n">
        <v>89.74647887323944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ELIQUIS</t>
        </is>
      </c>
      <c r="AG26" t="inlineStr">
        <is>
          <t>ORAL ANTICOAGULANTS</t>
        </is>
      </c>
      <c r="AH26" s="122" t="n">
        <v>26438.27534558481</v>
      </c>
      <c r="AI26" s="56" t="n">
        <v>63.51854929769291</v>
      </c>
      <c r="AK26" s="123" t="n">
        <v>2</v>
      </c>
      <c r="AL26" t="inlineStr">
        <is>
          <t>IBRANCE</t>
        </is>
      </c>
      <c r="AM26" t="inlineStr">
        <is>
          <t>ONCOLOGY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79</v>
      </c>
      <c r="E27" s="61" t="n">
        <v>11167.7</v>
      </c>
      <c r="F27" s="61" t="n">
        <v>6449</v>
      </c>
      <c r="G27" s="62" t="n">
        <v>141.3632911392405</v>
      </c>
      <c r="H27" s="63" t="n">
        <v>81.63291139240506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ENBREL SURECLICK</t>
        </is>
      </c>
      <c r="AG27" t="inlineStr">
        <is>
          <t>IMMUNOMODULATORS</t>
        </is>
      </c>
      <c r="AH27" s="122" t="n">
        <v>10021.33067726763</v>
      </c>
      <c r="AI27" s="56" t="n">
        <v>1.062813216446789</v>
      </c>
      <c r="AK27" s="123" t="n">
        <v>3</v>
      </c>
      <c r="AL27" t="inlineStr">
        <is>
          <t>GENVOYA</t>
        </is>
      </c>
      <c r="AM27" t="inlineStr">
        <is>
          <t>HIV-MULTICLASS COMBO</t>
        </is>
      </c>
      <c r="AN27" s="58" t="n">
        <v>3.403128731009445</v>
      </c>
    </row>
    <row r="28" ht="15" customHeight="1" thickTop="1">
      <c r="B28" s="64" t="inlineStr">
        <is>
          <t>Non-Specialty</t>
        </is>
      </c>
      <c r="C28" s="10" t="n"/>
      <c r="D28" s="65" t="n">
        <v>288</v>
      </c>
      <c r="E28" s="66" t="n">
        <v>25726.6</v>
      </c>
      <c r="F28" s="66" t="n">
        <v>17281</v>
      </c>
      <c r="G28" s="67" t="n">
        <v>89.32847222222222</v>
      </c>
      <c r="H28" s="68" t="n">
        <v>60.00347222222222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TRELEGY ELLIPTA</t>
        </is>
      </c>
      <c r="AG28" t="inlineStr">
        <is>
          <t>LABA LAMA COMBO</t>
        </is>
      </c>
      <c r="AH28" s="122" t="n">
        <v>9837.199876517032</v>
      </c>
      <c r="AI28" s="56" t="n">
        <v>8.077442965876257</v>
      </c>
      <c r="AK28" s="123" t="n">
        <v>4</v>
      </c>
      <c r="AL28" t="inlineStr">
        <is>
          <t>ACIPHEX</t>
        </is>
      </c>
      <c r="AM28" t="inlineStr">
        <is>
          <t>PROTON PUMP INHIBITORS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9</v>
      </c>
      <c r="E29" s="61" t="n">
        <v>824</v>
      </c>
      <c r="F29" s="61" t="n">
        <v>984</v>
      </c>
      <c r="G29" s="62" t="n">
        <v>91.55555555555556</v>
      </c>
      <c r="H29" s="63" t="n">
        <v>109.3333333333333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OZEMPIC</t>
        </is>
      </c>
      <c r="AG29" t="inlineStr">
        <is>
          <t>GLUCAGON-LIKE PEPTIDE-1 AGONISTS (GLP1)</t>
        </is>
      </c>
      <c r="AH29" s="122" t="n">
        <v>8558.030471186488</v>
      </c>
      <c r="AI29" s="56" t="n">
        <v>6.942429228798463</v>
      </c>
      <c r="AK29" s="123" t="n">
        <v>5</v>
      </c>
      <c r="AL29" t="inlineStr">
        <is>
          <t>LIPITOR</t>
        </is>
      </c>
      <c r="AM29" t="inlineStr">
        <is>
          <t>STATINS &amp; COMBOS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297</v>
      </c>
      <c r="E30" s="71" t="n">
        <v>26550.6</v>
      </c>
      <c r="F30" s="71" t="n">
        <v>18265</v>
      </c>
      <c r="G30" s="72" t="n">
        <v>89.3959595959596</v>
      </c>
      <c r="H30" s="73" t="n">
        <v>61.4983164983165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JARDIANCE</t>
        </is>
      </c>
      <c r="AG30" t="inlineStr">
        <is>
          <t>SGLT-2 INHIBITORS &amp; COMBOS</t>
        </is>
      </c>
      <c r="AH30" s="122" t="n">
        <v>8320.945419928003</v>
      </c>
      <c r="AI30" s="56" t="n">
        <v>25.9010570595086</v>
      </c>
      <c r="AK30" s="123" t="n">
        <v>6</v>
      </c>
      <c r="AL30" t="inlineStr">
        <is>
          <t>AVODART</t>
        </is>
      </c>
      <c r="AM30" t="inlineStr">
        <is>
          <t>PROSTATIC HYPERTROPHY AGENTS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BREZTRI AEROSPHERE</t>
        </is>
      </c>
      <c r="AG31" t="inlineStr">
        <is>
          <t>LABA LAMA COMBO</t>
        </is>
      </c>
      <c r="AH31" s="122" t="n">
        <v>5905.407911317244</v>
      </c>
      <c r="AI31" s="56" t="n">
        <v>4.615681694786432</v>
      </c>
      <c r="AK31" s="123" t="n">
        <v>7</v>
      </c>
      <c r="AL31" t="inlineStr">
        <is>
          <t>SYNTHROID</t>
        </is>
      </c>
      <c r="AM31" t="inlineStr">
        <is>
          <t>THYROID HORMONES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GEMTESA</t>
        </is>
      </c>
      <c r="AG32" t="inlineStr">
        <is>
          <t>URINARY ANTISPASMODICS &amp; OAB DRUGS</t>
        </is>
      </c>
      <c r="AH32" s="122" t="n">
        <v>5664.179468784093</v>
      </c>
      <c r="AI32" s="56" t="n">
        <v>9.141959392549317</v>
      </c>
      <c r="AK32" s="123" t="n">
        <v>8</v>
      </c>
      <c r="AL32" t="inlineStr">
        <is>
          <t>VIAGRA</t>
        </is>
      </c>
      <c r="AM32" t="inlineStr">
        <is>
          <t>IMPOTENCE AGENTS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0</v>
      </c>
      <c r="E33" s="40" t="n">
        <v>0</v>
      </c>
      <c r="F33" s="40" t="n">
        <v>0</v>
      </c>
      <c r="G33" s="41" t="n">
        <v>0</v>
      </c>
      <c r="H33" s="42" t="n">
        <v>0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STIOLTO RESPIMAT</t>
        </is>
      </c>
      <c r="AG33" t="inlineStr">
        <is>
          <t>LABA LAMA COMBO</t>
        </is>
      </c>
      <c r="AH33" s="122" t="n">
        <v>4571.933266754421</v>
      </c>
      <c r="AI33" s="56" t="n">
        <v>4.615681694786432</v>
      </c>
      <c r="AK33" s="123" t="n">
        <v>9</v>
      </c>
      <c r="AL33" t="inlineStr">
        <is>
          <t>PREZISTA</t>
        </is>
      </c>
      <c r="AM33" t="inlineStr">
        <is>
          <t>HIV-PROTEASE INHIBITOR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0</v>
      </c>
      <c r="E34" s="51" t="n">
        <v>0</v>
      </c>
      <c r="F34" s="51" t="n">
        <v>0</v>
      </c>
      <c r="G34" s="52" t="n">
        <v>0</v>
      </c>
      <c r="H34" s="53" t="n">
        <v>0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SPIRIVA RESPIMAT</t>
        </is>
      </c>
      <c r="AG34" t="inlineStr">
        <is>
          <t>LAMA/ACH</t>
        </is>
      </c>
      <c r="AH34" s="122" t="n">
        <v>3772.976287642397</v>
      </c>
      <c r="AI34" s="56" t="n">
        <v>6.511948284202157</v>
      </c>
      <c r="AK34" s="123" t="n">
        <v>10</v>
      </c>
      <c r="AL34" t="inlineStr">
        <is>
          <t>RASUVO</t>
        </is>
      </c>
      <c r="AM34" t="inlineStr">
        <is>
          <t>CHRONIC INFLAMMATORY DISEASE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0</v>
      </c>
      <c r="E35" s="61" t="n">
        <v>0</v>
      </c>
      <c r="F35" s="61" t="n">
        <v>0</v>
      </c>
      <c r="G35" s="62" t="n">
        <v>0</v>
      </c>
      <c r="H35" s="63" t="n">
        <v>0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LINZESS</t>
        </is>
      </c>
      <c r="AG35" t="inlineStr">
        <is>
          <t>IRRITABLE BOWEL SYNDROME (IBS) AGENTS</t>
        </is>
      </c>
      <c r="AH35" s="122" t="n">
        <v>3127.783258305778</v>
      </c>
      <c r="AI35" s="56" t="n">
        <v>4.775784957707994</v>
      </c>
      <c r="AK35" s="123" t="n">
        <v>11</v>
      </c>
      <c r="AL35" t="inlineStr">
        <is>
          <t>NEXIUM</t>
        </is>
      </c>
      <c r="AM35" t="inlineStr">
        <is>
          <t>PROTON PUMP INHIBITORS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0</v>
      </c>
      <c r="E36" s="66" t="n">
        <v>0</v>
      </c>
      <c r="F36" s="66" t="n">
        <v>0</v>
      </c>
      <c r="G36" s="67" t="n">
        <v>0</v>
      </c>
      <c r="H36" s="68" t="n">
        <v>0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XIIDRA</t>
        </is>
      </c>
      <c r="AG36" t="inlineStr">
        <is>
          <t>OPHTHALMIC INTEGRIN ANTAGONIST</t>
        </is>
      </c>
      <c r="AH36" s="122" t="n">
        <v>3088.69640028716</v>
      </c>
      <c r="AI36" s="56" t="n">
        <v>6.402275534841854</v>
      </c>
      <c r="AK36" s="123" t="n">
        <v>12</v>
      </c>
      <c r="AL36" t="inlineStr">
        <is>
          <t>DEXCOM G7 SENSOR</t>
        </is>
      </c>
      <c r="AM36" t="inlineStr">
        <is>
          <t>DIABETES MONITORING AND TESTING SUPPLIES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AIRSUPRA</t>
        </is>
      </c>
      <c r="AG37" t="inlineStr">
        <is>
          <t>LABA LAMA COMBO</t>
        </is>
      </c>
      <c r="AH37" s="122" t="n">
        <v>2801.295611243828</v>
      </c>
      <c r="AI37" s="56" t="n">
        <v>0</v>
      </c>
      <c r="AK37" s="123" t="n">
        <v>13</v>
      </c>
      <c r="AL37" t="inlineStr">
        <is>
          <t>ZEPBOUND</t>
        </is>
      </c>
      <c r="AM37" t="inlineStr">
        <is>
          <t>GLP-1 ANTI-OBESITY AGENTS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0</v>
      </c>
      <c r="E38" s="71" t="n">
        <v>0</v>
      </c>
      <c r="F38" s="71" t="n">
        <v>0</v>
      </c>
      <c r="G38" s="72" t="n">
        <v>0</v>
      </c>
      <c r="H38" s="73" t="n">
        <v>0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BREO ELLIPTA</t>
        </is>
      </c>
      <c r="AG38" t="inlineStr">
        <is>
          <t>LABA LAMA COMBO</t>
        </is>
      </c>
      <c r="AH38" s="122" t="n">
        <v>2728.417849595505</v>
      </c>
      <c r="AI38" s="56" t="n">
        <v>0</v>
      </c>
      <c r="AK38" s="123" t="n">
        <v>14</v>
      </c>
      <c r="AL38" t="inlineStr">
        <is>
          <t>MIEBO</t>
        </is>
      </c>
      <c r="AM38" t="inlineStr">
        <is>
          <t>OPHTHALMICS - MISC.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RHOPRESSA</t>
        </is>
      </c>
      <c r="AG39" t="inlineStr">
        <is>
          <t>OPHTHALMICS - RHO KINASE INHIBITOR &amp; COMBOS</t>
        </is>
      </c>
      <c r="AH39" s="122" t="n">
        <v>2677.151413269156</v>
      </c>
      <c r="AI39" s="56" t="n">
        <v>6.787888704218474</v>
      </c>
      <c r="AK39" s="123" t="n">
        <v>15</v>
      </c>
      <c r="AL39" t="inlineStr">
        <is>
          <t>INDERAL LA</t>
        </is>
      </c>
      <c r="AM39" t="inlineStr">
        <is>
          <t>BETA BLOCKERS &amp; COMBOS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VYZULTA</t>
        </is>
      </c>
      <c r="AG40" t="inlineStr">
        <is>
          <t>OPHTHALMIC PROSTAGLANDINS</t>
        </is>
      </c>
      <c r="AH40" s="122" t="n">
        <v>2282.745347286319</v>
      </c>
      <c r="AI40" s="56" t="n">
        <v>4.864353177656564</v>
      </c>
      <c r="AK40" s="123" t="n">
        <v>16</v>
      </c>
      <c r="AL40" t="inlineStr">
        <is>
          <t>XDEMVY</t>
        </is>
      </c>
      <c r="AM40" t="inlineStr">
        <is>
          <t>OPHTHALMIC ANTI-INFECTIVES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138</v>
      </c>
      <c r="E41" s="40" t="n">
        <v>6168.5</v>
      </c>
      <c r="F41" s="40" t="n">
        <v>4460</v>
      </c>
      <c r="G41" s="41" t="n">
        <v>44.69927536231884</v>
      </c>
      <c r="H41" s="42" t="n">
        <v>32.31884057971015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V-GO 20</t>
        </is>
      </c>
      <c r="AG41" t="inlineStr">
        <is>
          <t>INSULIN ADMINISTRATION SUPPLIES</t>
        </is>
      </c>
      <c r="AH41" s="122" t="n">
        <v>1917.769802885712</v>
      </c>
      <c r="AI41" s="56" t="n">
        <v>2.743368122170749</v>
      </c>
      <c r="AK41" s="123" t="n">
        <v>17</v>
      </c>
      <c r="AL41" t="inlineStr">
        <is>
          <t>LEXAPRO</t>
        </is>
      </c>
      <c r="AM41" t="inlineStr">
        <is>
          <t>ANTIDEPRESSANTS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71</v>
      </c>
      <c r="E42" s="51" t="n">
        <v>8390.4</v>
      </c>
      <c r="F42" s="51" t="n">
        <v>6372</v>
      </c>
      <c r="G42" s="52" t="n">
        <v>118.1746478873239</v>
      </c>
      <c r="H42" s="53" t="n">
        <v>89.74647887323944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V-GO 30</t>
        </is>
      </c>
      <c r="AG42" t="inlineStr">
        <is>
          <t>INSULIN ADMINISTRATION SUPPLIES</t>
        </is>
      </c>
      <c r="AH42" s="122" t="n">
        <v>1917.769802885712</v>
      </c>
      <c r="AI42" s="56" t="n">
        <v>2.743368122170749</v>
      </c>
      <c r="AK42" s="123" t="n">
        <v>18</v>
      </c>
      <c r="AL42" t="inlineStr">
        <is>
          <t>QNASL</t>
        </is>
      </c>
      <c r="AM42" t="inlineStr">
        <is>
          <t>NASAL STEROIDS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79</v>
      </c>
      <c r="E43" s="61" t="n">
        <v>11167.7</v>
      </c>
      <c r="F43" s="61" t="n">
        <v>6449</v>
      </c>
      <c r="G43" s="62" t="n">
        <v>141.3632911392405</v>
      </c>
      <c r="H43" s="63" t="n">
        <v>81.63291139240506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CREON</t>
        </is>
      </c>
      <c r="AG43" t="inlineStr">
        <is>
          <t>DIGESTIVE ENZYMES</t>
        </is>
      </c>
      <c r="AH43" s="122" t="n">
        <v>1687.204365018862</v>
      </c>
      <c r="AI43" s="56" t="n">
        <v>1.097378278018554</v>
      </c>
      <c r="AK43" s="123" t="n">
        <v>19</v>
      </c>
      <c r="AL43" t="inlineStr">
        <is>
          <t>COZAAR</t>
        </is>
      </c>
      <c r="AM43" t="inlineStr">
        <is>
          <t>ANGIOTENSIN II RECEPTOR ANTAGONISTS &amp; COMBOS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288</v>
      </c>
      <c r="E44" s="66" t="n">
        <v>25726.6</v>
      </c>
      <c r="F44" s="66" t="n">
        <v>17281</v>
      </c>
      <c r="G44" s="67" t="n">
        <v>89.32847222222222</v>
      </c>
      <c r="H44" s="68" t="n">
        <v>60.00347222222222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ARNUITY ELLIPTA</t>
        </is>
      </c>
      <c r="AG44" s="82" t="inlineStr">
        <is>
          <t>INHALED CORTICOSTEROIDS (ICS)</t>
        </is>
      </c>
      <c r="AH44" s="125" t="n">
        <v>1297.716270564621</v>
      </c>
      <c r="AI44" s="84" t="n">
        <v>0</v>
      </c>
      <c r="AK44" s="126" t="n">
        <v>20</v>
      </c>
      <c r="AL44" s="86" t="inlineStr">
        <is>
          <t>CEQUA</t>
        </is>
      </c>
      <c r="AM44" s="86" t="inlineStr">
        <is>
          <t>OPHTHALMIC IMMUNOMODULATORS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9</v>
      </c>
      <c r="E45" s="61" t="n">
        <v>824</v>
      </c>
      <c r="F45" s="61" t="n">
        <v>984</v>
      </c>
      <c r="G45" s="62" t="n">
        <v>91.55555555555556</v>
      </c>
      <c r="H45" s="63" t="n">
        <v>109.3333333333333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297</v>
      </c>
      <c r="E46" s="71" t="n">
        <v>26550.6</v>
      </c>
      <c r="F46" s="71" t="n">
        <v>18265</v>
      </c>
      <c r="G46" s="72" t="n">
        <v>89.3959595959596</v>
      </c>
      <c r="H46" s="73" t="n">
        <v>61.4983164983165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60099.70267713496</v>
      </c>
      <c r="AH49" s="46" t="n">
        <v>49.86769475813242</v>
      </c>
    </row>
    <row r="50" ht="15" customHeight="1" thickBot="1">
      <c r="AE50" s="121" t="n">
        <v>2</v>
      </c>
      <c r="AF50" t="inlineStr">
        <is>
          <t>LABA LAMA COMBO</t>
        </is>
      </c>
      <c r="AG50" s="122" t="n">
        <v>26525.5112411898</v>
      </c>
      <c r="AH50" s="56" t="n">
        <v>18.46272677914573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10/26 - 09/27</t>
        </is>
      </c>
      <c r="K51" s="12" t="n"/>
      <c r="L51" s="12" t="n"/>
      <c r="M51" s="13" t="n"/>
      <c r="N51" s="14" t="n"/>
      <c r="P51" s="11" t="inlineStr">
        <is>
          <t>10/27 - 09/28</t>
        </is>
      </c>
      <c r="Q51" s="12" t="n"/>
      <c r="R51" s="12" t="n"/>
      <c r="S51" s="13" t="n"/>
      <c r="T51" s="14" t="n"/>
      <c r="V51" s="11" t="inlineStr">
        <is>
          <t>10/28 - 09/29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ORAL ANTICOAGULANTS</t>
        </is>
      </c>
      <c r="AG51" s="122" t="n">
        <v>26438.2753455848</v>
      </c>
      <c r="AH51" s="56" t="n">
        <v>65.65184583143798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IMMUNOMODULATORS</t>
        </is>
      </c>
      <c r="AG52" s="122" t="n">
        <v>10021.33067726763</v>
      </c>
      <c r="AH52" s="56" t="n">
        <v>1.062813216446789</v>
      </c>
    </row>
    <row r="53">
      <c r="B53" s="38" t="inlineStr">
        <is>
          <t>OTCs</t>
        </is>
      </c>
      <c r="D53" s="127" t="n">
        <v>4</v>
      </c>
      <c r="E53" s="128" t="n">
        <v>3</v>
      </c>
      <c r="F53" s="128" t="n">
        <v>6</v>
      </c>
      <c r="G53" s="128" t="n">
        <v>0</v>
      </c>
      <c r="H53" s="129" t="n">
        <v>13</v>
      </c>
      <c r="J53" s="127" t="n">
        <v>3.367208266425485</v>
      </c>
      <c r="K53" s="128" t="n">
        <v>2.526596826732871</v>
      </c>
      <c r="L53" s="128" t="n">
        <v>5.050972602908545</v>
      </c>
      <c r="M53" s="128" t="n">
        <v>0</v>
      </c>
      <c r="N53" s="129" t="n">
        <v>10.9447776960669</v>
      </c>
      <c r="P53" s="127" t="n">
        <v>3.18705342928946</v>
      </c>
      <c r="Q53" s="128" t="n">
        <v>2.389684032962863</v>
      </c>
      <c r="R53" s="128" t="n">
        <v>4.691096276623046</v>
      </c>
      <c r="S53" s="128" t="n">
        <v>0</v>
      </c>
      <c r="T53" s="129" t="n">
        <v>10.26783373887537</v>
      </c>
      <c r="V53" s="127" t="n">
        <v>3.065343447741625</v>
      </c>
      <c r="W53" s="128" t="n">
        <v>2.255919166465565</v>
      </c>
      <c r="X53" s="128" t="n">
        <v>4.404867691956748</v>
      </c>
      <c r="Y53" s="128" t="n">
        <v>0</v>
      </c>
      <c r="Z53" s="129" t="n">
        <v>9.726130306163938</v>
      </c>
      <c r="AE53" s="121" t="n">
        <v>5</v>
      </c>
      <c r="AF53" t="inlineStr">
        <is>
          <t>SGLT-2 INHIBITORS &amp; COMBOS</t>
        </is>
      </c>
      <c r="AG53" s="122" t="n">
        <v>8320.945419928003</v>
      </c>
      <c r="AH53" s="56" t="n">
        <v>25.9010570595086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URINARY ANTISPASMODICS &amp; OAB DRUGS</t>
        </is>
      </c>
      <c r="AG54" s="122" t="n">
        <v>5664.179468784093</v>
      </c>
      <c r="AH54" s="56" t="n">
        <v>9.141959392549317</v>
      </c>
    </row>
    <row r="55">
      <c r="B55" s="64" t="inlineStr">
        <is>
          <t>Vaccines</t>
        </is>
      </c>
      <c r="D55" s="130" t="n">
        <v>11</v>
      </c>
      <c r="E55" s="131" t="n">
        <v>0</v>
      </c>
      <c r="F55" s="131" t="n">
        <v>0</v>
      </c>
      <c r="G55" s="131" t="n">
        <v>0</v>
      </c>
      <c r="H55" s="132" t="n">
        <v>11</v>
      </c>
      <c r="J55" s="130" t="n">
        <v>11.00421963992369</v>
      </c>
      <c r="K55" s="131" t="n">
        <v>0</v>
      </c>
      <c r="L55" s="131" t="n">
        <v>0</v>
      </c>
      <c r="M55" s="131" t="n">
        <v>0</v>
      </c>
      <c r="N55" s="132" t="n">
        <v>11.00421963992369</v>
      </c>
      <c r="P55" s="130" t="n">
        <v>11.25327823035992</v>
      </c>
      <c r="Q55" s="131" t="n">
        <v>0</v>
      </c>
      <c r="R55" s="131" t="n">
        <v>0</v>
      </c>
      <c r="S55" s="131" t="n">
        <v>0</v>
      </c>
      <c r="T55" s="132" t="n">
        <v>11.25327823035992</v>
      </c>
      <c r="V55" s="130" t="n">
        <v>11.64231197178807</v>
      </c>
      <c r="W55" s="131" t="n">
        <v>0</v>
      </c>
      <c r="X55" s="131" t="n">
        <v>0</v>
      </c>
      <c r="Y55" s="131" t="n">
        <v>0</v>
      </c>
      <c r="Z55" s="132" t="n">
        <v>11.64231197178807</v>
      </c>
      <c r="AE55" s="121" t="n">
        <v>7</v>
      </c>
      <c r="AF55" t="inlineStr">
        <is>
          <t>INSULIN ADMINISTRATION SUPPLIES</t>
        </is>
      </c>
      <c r="AG55" s="122" t="n">
        <v>3835.539605771425</v>
      </c>
      <c r="AH55" s="56" t="n">
        <v>5.486736244341499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LAMA/ACH</t>
        </is>
      </c>
      <c r="AG56" s="122" t="n">
        <v>3772.976287642397</v>
      </c>
      <c r="AH56" s="56" t="n">
        <v>6.511948284202157</v>
      </c>
    </row>
    <row r="57">
      <c r="B57" s="64" t="inlineStr">
        <is>
          <t>MSBs</t>
        </is>
      </c>
      <c r="D57" s="130" t="n">
        <v>68</v>
      </c>
      <c r="E57" s="131" t="n">
        <v>70</v>
      </c>
      <c r="F57" s="131" t="n">
        <v>85</v>
      </c>
      <c r="G57" s="131" t="n">
        <v>0</v>
      </c>
      <c r="H57" s="132" t="n">
        <v>223</v>
      </c>
      <c r="J57" s="130" t="n">
        <v>63.51701400863277</v>
      </c>
      <c r="K57" s="131" t="n">
        <v>55.26075949714094</v>
      </c>
      <c r="L57" s="131" t="n">
        <v>70.05762760070749</v>
      </c>
      <c r="M57" s="131" t="n">
        <v>0</v>
      </c>
      <c r="N57" s="132" t="n">
        <v>188.8354011064812</v>
      </c>
      <c r="P57" s="130" t="n">
        <v>62.84620709537454</v>
      </c>
      <c r="Q57" s="131" t="n">
        <v>53.9972686982864</v>
      </c>
      <c r="R57" s="131" t="n">
        <v>67.54614245337035</v>
      </c>
      <c r="S57" s="131" t="n">
        <v>0</v>
      </c>
      <c r="T57" s="132" t="n">
        <v>184.3896182470313</v>
      </c>
      <c r="V57" s="130" t="n">
        <v>59.12606311326168</v>
      </c>
      <c r="W57" s="131" t="n">
        <v>54.54301454127601</v>
      </c>
      <c r="X57" s="131" t="n">
        <v>66.06395772949693</v>
      </c>
      <c r="Y57" s="131" t="n">
        <v>0</v>
      </c>
      <c r="Z57" s="132" t="n">
        <v>179.7330353840346</v>
      </c>
      <c r="AE57" s="121" t="n">
        <v>9</v>
      </c>
      <c r="AF57" t="inlineStr">
        <is>
          <t>IRRITABLE BOWEL SYNDROME (IBS) AGENTS</t>
        </is>
      </c>
      <c r="AG57" s="122" t="n">
        <v>3127.783258305778</v>
      </c>
      <c r="AH57" s="56" t="n">
        <v>4.775784957707994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OPHTHALMIC INTEGRIN ANTAGONIST</t>
        </is>
      </c>
      <c r="AG58" s="122" t="n">
        <v>3088.69640028716</v>
      </c>
      <c r="AH58" s="56" t="n">
        <v>6.402275534841854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16</v>
      </c>
      <c r="H59" s="132" t="n">
        <v>16</v>
      </c>
      <c r="J59" s="130" t="n">
        <v>0</v>
      </c>
      <c r="K59" s="131" t="n">
        <v>0</v>
      </c>
      <c r="L59" s="131" t="n">
        <v>0</v>
      </c>
      <c r="M59" s="131" t="n">
        <v>17.09928479257696</v>
      </c>
      <c r="N59" s="132" t="n">
        <v>17.09928479257696</v>
      </c>
      <c r="P59" s="130" t="n">
        <v>0</v>
      </c>
      <c r="Q59" s="131" t="n">
        <v>0</v>
      </c>
      <c r="R59" s="131" t="n">
        <v>0</v>
      </c>
      <c r="S59" s="131" t="n">
        <v>16.70894513045657</v>
      </c>
      <c r="T59" s="132" t="n">
        <v>16.70894513045657</v>
      </c>
      <c r="V59" s="130" t="n">
        <v>0</v>
      </c>
      <c r="W59" s="131" t="n">
        <v>0</v>
      </c>
      <c r="X59" s="131" t="n">
        <v>0</v>
      </c>
      <c r="Y59" s="131" t="n">
        <v>12.09419802558369</v>
      </c>
      <c r="Z59" s="132" t="n">
        <v>12.09419802558369</v>
      </c>
      <c r="AE59" s="121" t="n">
        <v>11</v>
      </c>
      <c r="AF59" t="inlineStr">
        <is>
          <t>OPHTHALMICS - RHO KINASE INHIBITOR &amp; COMBOS</t>
        </is>
      </c>
      <c r="AG59" s="122" t="n">
        <v>2677.151413269156</v>
      </c>
      <c r="AH59" s="56" t="n">
        <v>6.787888704218474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OPHTHALMIC PROSTAGLANDINS</t>
        </is>
      </c>
      <c r="AG60" s="122" t="n">
        <v>2282.745347286319</v>
      </c>
      <c r="AH60" s="56" t="n">
        <v>6.049731189009099</v>
      </c>
    </row>
    <row r="61">
      <c r="B61" s="64" t="inlineStr">
        <is>
          <t>Formulary Exclusions</t>
        </is>
      </c>
      <c r="D61" s="130" t="n">
        <v>35</v>
      </c>
      <c r="E61" s="131" t="n">
        <v>14</v>
      </c>
      <c r="F61" s="131" t="n">
        <v>23</v>
      </c>
      <c r="G61" s="131" t="n">
        <v>0</v>
      </c>
      <c r="H61" s="132" t="n">
        <v>72</v>
      </c>
      <c r="J61" s="130" t="n">
        <v>33.80888039188297</v>
      </c>
      <c r="K61" s="131" t="n">
        <v>11.56721622874409</v>
      </c>
      <c r="L61" s="131" t="n">
        <v>27.05108616001349</v>
      </c>
      <c r="M61" s="131" t="n">
        <v>0</v>
      </c>
      <c r="N61" s="132" t="n">
        <v>72.42718278064055</v>
      </c>
      <c r="P61" s="130" t="n">
        <v>34.38023379828338</v>
      </c>
      <c r="Q61" s="131" t="n">
        <v>11.88171813551708</v>
      </c>
      <c r="R61" s="131" t="n">
        <v>28.00195246753046</v>
      </c>
      <c r="S61" s="131" t="n">
        <v>0</v>
      </c>
      <c r="T61" s="132" t="n">
        <v>74.26390440133092</v>
      </c>
      <c r="V61" s="130" t="n">
        <v>35.41500949077938</v>
      </c>
      <c r="W61" s="131" t="n">
        <v>12.10617120330804</v>
      </c>
      <c r="X61" s="131" t="n">
        <v>25.76138345852207</v>
      </c>
      <c r="Y61" s="131" t="n">
        <v>0</v>
      </c>
      <c r="Z61" s="132" t="n">
        <v>73.2825641526095</v>
      </c>
      <c r="AE61" s="121" t="n">
        <v>13</v>
      </c>
      <c r="AF61" t="inlineStr">
        <is>
          <t>DIGESTIVE ENZYMES</t>
        </is>
      </c>
      <c r="AG61" s="122" t="n">
        <v>1687.204365018862</v>
      </c>
      <c r="AH61" s="56" t="n">
        <v>1.097378278018554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INHALED CORTICOSTEROIDS (ICS)</t>
        </is>
      </c>
      <c r="AG62" s="122" t="n">
        <v>1297.716270564621</v>
      </c>
      <c r="AH62" s="56" t="n">
        <v>0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9</v>
      </c>
      <c r="H63" s="132" t="n">
        <v>9</v>
      </c>
      <c r="J63" s="130" t="n">
        <v>2.58953491341282</v>
      </c>
      <c r="K63" s="131" t="n">
        <v>0.4725356733129189</v>
      </c>
      <c r="L63" s="131" t="n">
        <v>0.2078802046455621</v>
      </c>
      <c r="M63" s="131" t="n">
        <v>7.308333158315506</v>
      </c>
      <c r="N63" s="132" t="n">
        <v>10.57828394968681</v>
      </c>
      <c r="P63" s="130" t="n">
        <v>2.08552136938691</v>
      </c>
      <c r="Q63" s="131" t="n">
        <v>0.1405100237659127</v>
      </c>
      <c r="R63" s="131" t="n">
        <v>0.08133752942403305</v>
      </c>
      <c r="S63" s="131" t="n">
        <v>6.991768917026942</v>
      </c>
      <c r="T63" s="132" t="n">
        <v>9.299137839603798</v>
      </c>
      <c r="V63" s="130" t="n">
        <v>1.437311782396435</v>
      </c>
      <c r="W63" s="131" t="n">
        <v>0.1196840743637466</v>
      </c>
      <c r="X63" s="131" t="n">
        <v>0.07925896025578538</v>
      </c>
      <c r="Y63" s="131" t="n">
        <v>6.012182320226874</v>
      </c>
      <c r="Z63" s="132" t="n">
        <v>7.648437137242841</v>
      </c>
      <c r="AE63" s="121" t="n">
        <v>15</v>
      </c>
      <c r="AF63" t="inlineStr">
        <is>
          <t>VAGINAL ESTROGENS</t>
        </is>
      </c>
      <c r="AG63" s="122" t="n">
        <v>1033.590001964716</v>
      </c>
      <c r="AH63" s="56" t="n">
        <v>5.413110708547088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9</v>
      </c>
      <c r="H64" s="135" t="n">
        <v>9</v>
      </c>
      <c r="J64" s="133" t="n">
        <v>0</v>
      </c>
      <c r="K64" s="134" t="n">
        <v>0</v>
      </c>
      <c r="L64" s="134" t="n">
        <v>0</v>
      </c>
      <c r="M64" s="134" t="n">
        <v>7.196331036924444</v>
      </c>
      <c r="N64" s="135" t="n">
        <v>7.196331036924444</v>
      </c>
      <c r="P64" s="133" t="n">
        <v>0</v>
      </c>
      <c r="Q64" s="134" t="n">
        <v>0</v>
      </c>
      <c r="R64" s="134" t="n">
        <v>0</v>
      </c>
      <c r="S64" s="134" t="n">
        <v>6.877622740410126</v>
      </c>
      <c r="T64" s="135" t="n">
        <v>6.877622740410126</v>
      </c>
      <c r="V64" s="133" t="n">
        <v>0</v>
      </c>
      <c r="W64" s="134" t="n">
        <v>0</v>
      </c>
      <c r="X64" s="134" t="n">
        <v>0</v>
      </c>
      <c r="Y64" s="134" t="n">
        <v>5.894981001423753</v>
      </c>
      <c r="Z64" s="135" t="n">
        <v>5.894981001423753</v>
      </c>
      <c r="AE64" s="121" t="n">
        <v>16</v>
      </c>
      <c r="AF64" t="inlineStr">
        <is>
          <t>BASAL INSULIN</t>
        </is>
      </c>
      <c r="AG64" s="122" t="n">
        <v>1023.793496022804</v>
      </c>
      <c r="AH64" s="56" t="n">
        <v>5.201365799081882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OSTEOPOROSIS AGENTS</t>
        </is>
      </c>
      <c r="AG65" s="122" t="n">
        <v>940.4077324682059</v>
      </c>
      <c r="AH65" s="56" t="n">
        <v>2.227141504817263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MISC. ANTIVIRALS</t>
        </is>
      </c>
      <c r="AG66" s="122" t="n">
        <v>811.9483278905587</v>
      </c>
      <c r="AH66" s="56" t="n">
        <v>1.99057346682708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2.893467696716072</v>
      </c>
      <c r="K67" s="140" t="n">
        <v>3.224075867332797</v>
      </c>
      <c r="L67" s="140" t="n">
        <v>5.423006045073503</v>
      </c>
      <c r="M67" s="140" t="n">
        <v>3.399871846615792</v>
      </c>
      <c r="N67" s="141" t="n">
        <v>14.94042145573816</v>
      </c>
      <c r="P67" s="139" t="n">
        <v>5.57556069724153</v>
      </c>
      <c r="Q67" s="140" t="n">
        <v>4.527875195047195</v>
      </c>
      <c r="R67" s="140" t="n">
        <v>5.836822602345891</v>
      </c>
      <c r="S67" s="140" t="n">
        <v>3.458620251626422</v>
      </c>
      <c r="T67" s="141" t="n">
        <v>19.39887874626104</v>
      </c>
      <c r="V67" s="139" t="n">
        <v>9.73976273435381</v>
      </c>
      <c r="W67" s="140" t="n">
        <v>5.762176317484298</v>
      </c>
      <c r="X67" s="140" t="n">
        <v>7.176537158237969</v>
      </c>
      <c r="Y67" s="140" t="n">
        <v>3.60628321038739</v>
      </c>
      <c r="Z67" s="141" t="n">
        <v>26.28475942046347</v>
      </c>
      <c r="AE67" s="121" t="n">
        <v>19</v>
      </c>
      <c r="AF67" t="inlineStr">
        <is>
          <t>ATYPICAL ANTIPSYCHOTICS</t>
        </is>
      </c>
      <c r="AG67" s="122" t="n">
        <v>797.6477380155681</v>
      </c>
      <c r="AH67" s="56" t="n">
        <v>1.236461488363929</v>
      </c>
    </row>
    <row r="68" ht="15.6" customHeight="1" thickBot="1" thickTop="1">
      <c r="B68" s="69" t="inlineStr">
        <is>
          <t>Total</t>
        </is>
      </c>
      <c r="D68" s="142" t="n">
        <v>118</v>
      </c>
      <c r="E68" s="143" t="n">
        <v>87</v>
      </c>
      <c r="F68" s="143" t="n">
        <v>114</v>
      </c>
      <c r="G68" s="143" t="n">
        <v>25</v>
      </c>
      <c r="H68" s="144" t="n">
        <v>353</v>
      </c>
      <c r="J68" s="142" t="n">
        <v>117.1803249169938</v>
      </c>
      <c r="K68" s="143" t="n">
        <v>73.05118409326361</v>
      </c>
      <c r="L68" s="143" t="n">
        <v>107.7905726133486</v>
      </c>
      <c r="M68" s="143" t="n">
        <v>27.80748979750825</v>
      </c>
      <c r="N68" s="144" t="n">
        <v>333.0259024580387</v>
      </c>
      <c r="P68" s="142" t="n">
        <v>119.3278546199357</v>
      </c>
      <c r="Q68" s="143" t="n">
        <v>72.93705608557946</v>
      </c>
      <c r="R68" s="143" t="n">
        <v>106.1573513292938</v>
      </c>
      <c r="S68" s="143" t="n">
        <v>27.15933429910994</v>
      </c>
      <c r="T68" s="144" t="n">
        <v>332.4592190743291</v>
      </c>
      <c r="V68" s="142" t="n">
        <v>120.425802540321</v>
      </c>
      <c r="W68" s="143" t="n">
        <v>74.78696530289767</v>
      </c>
      <c r="X68" s="143" t="n">
        <v>103.4860049984695</v>
      </c>
      <c r="Y68" s="143" t="n">
        <v>21.71266355619795</v>
      </c>
      <c r="Z68" s="144" t="n">
        <v>326.3064173993099</v>
      </c>
      <c r="AE68" s="124" t="n">
        <v>20</v>
      </c>
      <c r="AF68" s="82" t="inlineStr">
        <is>
          <t>LAXATIVES</t>
        </is>
      </c>
      <c r="AG68" s="125" t="n">
        <v>161.6069459261024</v>
      </c>
      <c r="AH68" s="84" t="n">
        <v>2.624231151487781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4.098418325321437</v>
      </c>
      <c r="K75" s="131" t="n">
        <v>14.78356462884474</v>
      </c>
      <c r="L75" s="131" t="n">
        <v>13.61739274799116</v>
      </c>
      <c r="M75" s="131" t="n">
        <v>0</v>
      </c>
      <c r="N75" s="132" t="n">
        <v>32.49937570215734</v>
      </c>
      <c r="P75" s="130" t="n">
        <v>6.055733234399905</v>
      </c>
      <c r="Q75" s="131" t="n">
        <v>18.96397290146506</v>
      </c>
      <c r="R75" s="131" t="n">
        <v>16.07091998078703</v>
      </c>
      <c r="S75" s="131" t="n">
        <v>0</v>
      </c>
      <c r="T75" s="132" t="n">
        <v>41.09062611665199</v>
      </c>
      <c r="V75" s="130" t="n">
        <v>11.49271994395196</v>
      </c>
      <c r="W75" s="131" t="n">
        <v>21.20603144275259</v>
      </c>
      <c r="X75" s="131" t="n">
        <v>18.14934832521764</v>
      </c>
      <c r="Y75" s="131" t="n">
        <v>0</v>
      </c>
      <c r="Z75" s="132" t="n">
        <v>50.84809971192219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1.220807223584646</v>
      </c>
      <c r="N77" s="132" t="n">
        <v>1.220807223584646</v>
      </c>
      <c r="P77" s="130" t="n">
        <v>0</v>
      </c>
      <c r="Q77" s="131" t="n">
        <v>0</v>
      </c>
      <c r="R77" s="131" t="n">
        <v>0</v>
      </c>
      <c r="S77" s="131" t="n">
        <v>2.635178875703777</v>
      </c>
      <c r="T77" s="132" t="n">
        <v>2.635178875703777</v>
      </c>
      <c r="V77" s="130" t="n">
        <v>0</v>
      </c>
      <c r="W77" s="131" t="n">
        <v>0</v>
      </c>
      <c r="X77" s="131" t="n">
        <v>0</v>
      </c>
      <c r="Y77" s="131" t="n">
        <v>8.417156430235023</v>
      </c>
      <c r="Z77" s="132" t="n">
        <v>8.417156430235023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3.225990852581615</v>
      </c>
      <c r="Y79" s="131" t="n">
        <v>0</v>
      </c>
      <c r="Z79" s="132" t="n">
        <v>3.225990852581615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1.757711967973709</v>
      </c>
      <c r="N81" s="132" t="n">
        <v>1.757711967973709</v>
      </c>
      <c r="P81" s="130" t="n">
        <v>0</v>
      </c>
      <c r="Q81" s="131" t="n">
        <v>0</v>
      </c>
      <c r="R81" s="131" t="n">
        <v>0</v>
      </c>
      <c r="S81" s="131" t="n">
        <v>2.015925187910772</v>
      </c>
      <c r="T81" s="132" t="n">
        <v>2.015925187910772</v>
      </c>
      <c r="V81" s="130" t="n">
        <v>0</v>
      </c>
      <c r="W81" s="131" t="n">
        <v>0</v>
      </c>
      <c r="X81" s="131" t="n">
        <v>0</v>
      </c>
      <c r="Y81" s="131" t="n">
        <v>2.974416967432209</v>
      </c>
      <c r="Z81" s="132" t="n">
        <v>2.974416967432209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1.757711967973708</v>
      </c>
      <c r="N82" s="135" t="n">
        <v>1.757711967973708</v>
      </c>
      <c r="P82" s="133" t="n">
        <v>0</v>
      </c>
      <c r="Q82" s="134" t="n">
        <v>0</v>
      </c>
      <c r="R82" s="134" t="n">
        <v>0</v>
      </c>
      <c r="S82" s="134" t="n">
        <v>2.015925187910772</v>
      </c>
      <c r="T82" s="135" t="n">
        <v>2.015925187910772</v>
      </c>
      <c r="V82" s="133" t="n">
        <v>0</v>
      </c>
      <c r="W82" s="134" t="n">
        <v>0</v>
      </c>
      <c r="X82" s="134" t="n">
        <v>0</v>
      </c>
      <c r="Y82" s="134" t="n">
        <v>2.974416967432209</v>
      </c>
      <c r="Z82" s="135" t="n">
        <v>2.974416967432209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11.44832559408679</v>
      </c>
      <c r="K85" s="140" t="n">
        <v>12.12535923748932</v>
      </c>
      <c r="L85" s="140" t="n">
        <v>2.680791333554108</v>
      </c>
      <c r="M85" s="140" t="n">
        <v>2.402670330840043</v>
      </c>
      <c r="N85" s="141" t="n">
        <v>28.65714649597026</v>
      </c>
      <c r="P85" s="139" t="n">
        <v>47.89703212836737</v>
      </c>
      <c r="Q85" s="140" t="n">
        <v>30.2573094073075</v>
      </c>
      <c r="R85" s="140" t="n">
        <v>12.13391549914418</v>
      </c>
      <c r="S85" s="140" t="n">
        <v>2.26227875244484</v>
      </c>
      <c r="T85" s="141" t="n">
        <v>92.5505357872639</v>
      </c>
      <c r="V85" s="139" t="n">
        <v>85.44634092584513</v>
      </c>
      <c r="W85" s="140" t="n">
        <v>46.07117141689103</v>
      </c>
      <c r="X85" s="140" t="n">
        <v>22.36171757360467</v>
      </c>
      <c r="Y85" s="140" t="n">
        <v>2.06062591633851</v>
      </c>
      <c r="Z85" s="141" t="n">
        <v>155.9398558326793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15.54674391940823</v>
      </c>
      <c r="K86" s="143" t="n">
        <v>26.90892386633406</v>
      </c>
      <c r="L86" s="143" t="n">
        <v>16.29818408154527</v>
      </c>
      <c r="M86" s="143" t="n">
        <v>5.381189522398397</v>
      </c>
      <c r="N86" s="144" t="n">
        <v>65.89275335765966</v>
      </c>
      <c r="P86" s="142" t="n">
        <v>53.95276536276727</v>
      </c>
      <c r="Q86" s="143" t="n">
        <v>49.22128230877256</v>
      </c>
      <c r="R86" s="143" t="n">
        <v>28.20483547993121</v>
      </c>
      <c r="S86" s="143" t="n">
        <v>6.913382816059389</v>
      </c>
      <c r="T86" s="144" t="n">
        <v>140.3081911554412</v>
      </c>
      <c r="V86" s="142" t="n">
        <v>96.93906086979709</v>
      </c>
      <c r="W86" s="143" t="n">
        <v>67.27720285964361</v>
      </c>
      <c r="X86" s="143" t="n">
        <v>43.73705675140393</v>
      </c>
      <c r="Y86" s="143" t="n">
        <v>13.45219931400574</v>
      </c>
      <c r="Z86" s="144" t="n">
        <v>224.3799367622826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4</v>
      </c>
      <c r="E89" s="128" t="n">
        <v>3</v>
      </c>
      <c r="F89" s="128" t="n">
        <v>6</v>
      </c>
      <c r="G89" s="128" t="n">
        <v>0</v>
      </c>
      <c r="H89" s="129" t="n">
        <v>13</v>
      </c>
      <c r="J89" s="127" t="n">
        <v>3.367208266425485</v>
      </c>
      <c r="K89" s="128" t="n">
        <v>2.526596826732871</v>
      </c>
      <c r="L89" s="128" t="n">
        <v>5.050972602908545</v>
      </c>
      <c r="M89" s="128" t="n">
        <v>0</v>
      </c>
      <c r="N89" s="129" t="n">
        <v>10.9447776960669</v>
      </c>
      <c r="P89" s="127" t="n">
        <v>3.18705342928946</v>
      </c>
      <c r="Q89" s="128" t="n">
        <v>2.389684032962863</v>
      </c>
      <c r="R89" s="128" t="n">
        <v>4.691096276623046</v>
      </c>
      <c r="S89" s="128" t="n">
        <v>0</v>
      </c>
      <c r="T89" s="129" t="n">
        <v>10.26783373887537</v>
      </c>
      <c r="V89" s="127" t="n">
        <v>3.065343447741625</v>
      </c>
      <c r="W89" s="128" t="n">
        <v>2.255919166465565</v>
      </c>
      <c r="X89" s="128" t="n">
        <v>4.404867691956748</v>
      </c>
      <c r="Y89" s="128" t="n">
        <v>0</v>
      </c>
      <c r="Z89" s="129" t="n">
        <v>9.726130306163938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11</v>
      </c>
      <c r="E91" s="131" t="n">
        <v>0</v>
      </c>
      <c r="F91" s="131" t="n">
        <v>0</v>
      </c>
      <c r="G91" s="131" t="n">
        <v>0</v>
      </c>
      <c r="H91" s="132" t="n">
        <v>11</v>
      </c>
      <c r="J91" s="130" t="n">
        <v>11.00421963992369</v>
      </c>
      <c r="K91" s="131" t="n">
        <v>0</v>
      </c>
      <c r="L91" s="131" t="n">
        <v>0</v>
      </c>
      <c r="M91" s="131" t="n">
        <v>0</v>
      </c>
      <c r="N91" s="132" t="n">
        <v>11.00421963992369</v>
      </c>
      <c r="P91" s="130" t="n">
        <v>11.25327823035992</v>
      </c>
      <c r="Q91" s="131" t="n">
        <v>0</v>
      </c>
      <c r="R91" s="131" t="n">
        <v>0</v>
      </c>
      <c r="S91" s="131" t="n">
        <v>0</v>
      </c>
      <c r="T91" s="132" t="n">
        <v>11.25327823035992</v>
      </c>
      <c r="V91" s="130" t="n">
        <v>11.64231197178807</v>
      </c>
      <c r="W91" s="131" t="n">
        <v>0</v>
      </c>
      <c r="X91" s="131" t="n">
        <v>0</v>
      </c>
      <c r="Y91" s="131" t="n">
        <v>0</v>
      </c>
      <c r="Z91" s="132" t="n">
        <v>11.64231197178807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68</v>
      </c>
      <c r="E93" s="131" t="n">
        <v>70</v>
      </c>
      <c r="F93" s="131" t="n">
        <v>85</v>
      </c>
      <c r="G93" s="131" t="n">
        <v>0</v>
      </c>
      <c r="H93" s="132" t="n">
        <v>223</v>
      </c>
      <c r="J93" s="130" t="n">
        <v>67.6154323339542</v>
      </c>
      <c r="K93" s="131" t="n">
        <v>70.04432412598568</v>
      </c>
      <c r="L93" s="131" t="n">
        <v>83.67502034869865</v>
      </c>
      <c r="M93" s="131" t="n">
        <v>0</v>
      </c>
      <c r="N93" s="132" t="n">
        <v>221.3347768086385</v>
      </c>
      <c r="P93" s="130" t="n">
        <v>68.90194032977445</v>
      </c>
      <c r="Q93" s="131" t="n">
        <v>72.96124159975146</v>
      </c>
      <c r="R93" s="131" t="n">
        <v>83.61706243415738</v>
      </c>
      <c r="S93" s="131" t="n">
        <v>0</v>
      </c>
      <c r="T93" s="132" t="n">
        <v>225.4802443636833</v>
      </c>
      <c r="V93" s="130" t="n">
        <v>70.61878305721363</v>
      </c>
      <c r="W93" s="131" t="n">
        <v>75.7490459840286</v>
      </c>
      <c r="X93" s="131" t="n">
        <v>84.21330605471458</v>
      </c>
      <c r="Y93" s="131" t="n">
        <v>0</v>
      </c>
      <c r="Z93" s="132" t="n">
        <v>230.5811350959568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16</v>
      </c>
      <c r="H95" s="132" t="n">
        <v>16</v>
      </c>
      <c r="J95" s="130" t="n">
        <v>0</v>
      </c>
      <c r="K95" s="131" t="n">
        <v>0</v>
      </c>
      <c r="L95" s="131" t="n">
        <v>0</v>
      </c>
      <c r="M95" s="131" t="n">
        <v>18.3200920161616</v>
      </c>
      <c r="N95" s="132" t="n">
        <v>18.3200920161616</v>
      </c>
      <c r="P95" s="130" t="n">
        <v>0</v>
      </c>
      <c r="Q95" s="131" t="n">
        <v>0</v>
      </c>
      <c r="R95" s="131" t="n">
        <v>0</v>
      </c>
      <c r="S95" s="131" t="n">
        <v>19.34412400616035</v>
      </c>
      <c r="T95" s="132" t="n">
        <v>19.34412400616035</v>
      </c>
      <c r="V95" s="130" t="n">
        <v>0</v>
      </c>
      <c r="W95" s="131" t="n">
        <v>0</v>
      </c>
      <c r="X95" s="131" t="n">
        <v>0</v>
      </c>
      <c r="Y95" s="131" t="n">
        <v>20.51135445581871</v>
      </c>
      <c r="Z95" s="132" t="n">
        <v>20.51135445581871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35</v>
      </c>
      <c r="E97" s="131" t="n">
        <v>14</v>
      </c>
      <c r="F97" s="131" t="n">
        <v>23</v>
      </c>
      <c r="G97" s="131" t="n">
        <v>0</v>
      </c>
      <c r="H97" s="132" t="n">
        <v>72</v>
      </c>
      <c r="J97" s="130" t="n">
        <v>33.80888039188297</v>
      </c>
      <c r="K97" s="131" t="n">
        <v>11.56721622874409</v>
      </c>
      <c r="L97" s="131" t="n">
        <v>27.05108616001349</v>
      </c>
      <c r="M97" s="131" t="n">
        <v>0</v>
      </c>
      <c r="N97" s="132" t="n">
        <v>72.42718278064055</v>
      </c>
      <c r="P97" s="130" t="n">
        <v>34.38023379828338</v>
      </c>
      <c r="Q97" s="131" t="n">
        <v>11.88171813551708</v>
      </c>
      <c r="R97" s="131" t="n">
        <v>28.00195246753046</v>
      </c>
      <c r="S97" s="131" t="n">
        <v>0</v>
      </c>
      <c r="T97" s="132" t="n">
        <v>74.26390440133092</v>
      </c>
      <c r="V97" s="130" t="n">
        <v>35.41500949077938</v>
      </c>
      <c r="W97" s="131" t="n">
        <v>12.10617120330804</v>
      </c>
      <c r="X97" s="131" t="n">
        <v>28.98737431110369</v>
      </c>
      <c r="Y97" s="131" t="n">
        <v>0</v>
      </c>
      <c r="Z97" s="132" t="n">
        <v>76.50855500519111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9</v>
      </c>
      <c r="H99" s="132" t="n">
        <v>9</v>
      </c>
      <c r="J99" s="130" t="n">
        <v>2.58953491341282</v>
      </c>
      <c r="K99" s="131" t="n">
        <v>0.4725356733129189</v>
      </c>
      <c r="L99" s="131" t="n">
        <v>0.2078802046455621</v>
      </c>
      <c r="M99" s="131" t="n">
        <v>9.066045126289218</v>
      </c>
      <c r="N99" s="132" t="n">
        <v>12.33599591766052</v>
      </c>
      <c r="P99" s="130" t="n">
        <v>2.085521369386896</v>
      </c>
      <c r="Q99" s="131" t="n">
        <v>0.1405100237659127</v>
      </c>
      <c r="R99" s="131" t="n">
        <v>0.08133752942404726</v>
      </c>
      <c r="S99" s="131" t="n">
        <v>9.007694104937713</v>
      </c>
      <c r="T99" s="132" t="n">
        <v>11.31506302751457</v>
      </c>
      <c r="V99" s="130" t="n">
        <v>1.437311782396421</v>
      </c>
      <c r="W99" s="131" t="n">
        <v>0.1196840743637608</v>
      </c>
      <c r="X99" s="131" t="n">
        <v>0.07925896025577117</v>
      </c>
      <c r="Y99" s="131" t="n">
        <v>8.986599287659079</v>
      </c>
      <c r="Z99" s="132" t="n">
        <v>10.62285410467503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9</v>
      </c>
      <c r="H100" s="135" t="n">
        <v>9</v>
      </c>
      <c r="J100" s="133" t="n">
        <v>0</v>
      </c>
      <c r="K100" s="134" t="n">
        <v>0</v>
      </c>
      <c r="L100" s="134" t="n">
        <v>0</v>
      </c>
      <c r="M100" s="134" t="n">
        <v>8.954043004898152</v>
      </c>
      <c r="N100" s="135" t="n">
        <v>8.954043004898152</v>
      </c>
      <c r="P100" s="133" t="n">
        <v>0</v>
      </c>
      <c r="Q100" s="134" t="n">
        <v>0</v>
      </c>
      <c r="R100" s="134" t="n">
        <v>0</v>
      </c>
      <c r="S100" s="134" t="n">
        <v>8.893547928320899</v>
      </c>
      <c r="T100" s="135" t="n">
        <v>8.893547928320899</v>
      </c>
      <c r="V100" s="133" t="n">
        <v>0</v>
      </c>
      <c r="W100" s="134" t="n">
        <v>0</v>
      </c>
      <c r="X100" s="134" t="n">
        <v>0</v>
      </c>
      <c r="Y100" s="134" t="n">
        <v>8.869397968855962</v>
      </c>
      <c r="Z100" s="135" t="n">
        <v>8.869397968855962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14.34179329080286</v>
      </c>
      <c r="K103" s="140" t="n">
        <v>15.34943510482212</v>
      </c>
      <c r="L103" s="140" t="n">
        <v>8.103797378627611</v>
      </c>
      <c r="M103" s="140" t="n">
        <v>5.802542177455835</v>
      </c>
      <c r="N103" s="141" t="n">
        <v>43.59756795170842</v>
      </c>
      <c r="P103" s="139" t="n">
        <v>53.4725928256089</v>
      </c>
      <c r="Q103" s="140" t="n">
        <v>34.7851846023547</v>
      </c>
      <c r="R103" s="140" t="n">
        <v>17.97073810149007</v>
      </c>
      <c r="S103" s="140" t="n">
        <v>5.720899004071262</v>
      </c>
      <c r="T103" s="141" t="n">
        <v>111.9494145335249</v>
      </c>
      <c r="V103" s="139" t="n">
        <v>95.18610366019894</v>
      </c>
      <c r="W103" s="140" t="n">
        <v>51.83334773437532</v>
      </c>
      <c r="X103" s="140" t="n">
        <v>29.53825473184264</v>
      </c>
      <c r="Y103" s="140" t="n">
        <v>5.6669091267259</v>
      </c>
      <c r="Z103" s="141" t="n">
        <v>182.2246152531428</v>
      </c>
    </row>
    <row r="104" ht="15.6" customHeight="1" thickBot="1" thickTop="1">
      <c r="B104" s="69" t="inlineStr">
        <is>
          <t>Total</t>
        </is>
      </c>
      <c r="D104" s="142" t="n">
        <v>118</v>
      </c>
      <c r="E104" s="143" t="n">
        <v>87</v>
      </c>
      <c r="F104" s="143" t="n">
        <v>114</v>
      </c>
      <c r="G104" s="143" t="n">
        <v>25</v>
      </c>
      <c r="H104" s="144" t="n">
        <v>353</v>
      </c>
      <c r="J104" s="142" t="n">
        <v>132.727068836402</v>
      </c>
      <c r="K104" s="143" t="n">
        <v>99.96010795959768</v>
      </c>
      <c r="L104" s="143" t="n">
        <v>124.0887566948939</v>
      </c>
      <c r="M104" s="143" t="n">
        <v>33.18867931990665</v>
      </c>
      <c r="N104" s="144" t="n">
        <v>398.9186558156984</v>
      </c>
      <c r="P104" s="142" t="n">
        <v>173.280619982703</v>
      </c>
      <c r="Q104" s="143" t="n">
        <v>122.158338394352</v>
      </c>
      <c r="R104" s="143" t="n">
        <v>134.362186809225</v>
      </c>
      <c r="S104" s="143" t="n">
        <v>34.07271711516933</v>
      </c>
      <c r="T104" s="144" t="n">
        <v>472.7674102297703</v>
      </c>
      <c r="V104" s="142" t="n">
        <v>217.3648634101181</v>
      </c>
      <c r="W104" s="143" t="n">
        <v>142.0641681625413</v>
      </c>
      <c r="X104" s="143" t="n">
        <v>147.2230617498734</v>
      </c>
      <c r="Y104" s="143" t="n">
        <v>35.16486287020369</v>
      </c>
      <c r="Z104" s="144" t="n">
        <v>550.6863541615924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650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Health Delegates Amwins Coast College Rebate Only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10/01/2024</t>
        </is>
      </c>
      <c r="AD17" s="4" t="n"/>
      <c r="AE17" s="4" t="n"/>
      <c r="AF17" s="6" t="n">
        <v>2028</v>
      </c>
    </row>
    <row r="18">
      <c r="B18" s="4" t="n"/>
      <c r="C18" s="4" t="inlineStr">
        <is>
          <t>End Date:</t>
        </is>
      </c>
      <c r="D18" s="116" t="inlineStr">
        <is>
          <t>09/30/2025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2028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138</v>
      </c>
      <c r="E25" s="40" t="n">
        <v>6168.5</v>
      </c>
      <c r="F25" s="40" t="n">
        <v>4460</v>
      </c>
      <c r="G25" s="41" t="n">
        <v>44.69927536231884</v>
      </c>
      <c r="H25" s="42" t="n">
        <v>32.31884057971015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63989.00620839352</v>
      </c>
      <c r="AI25" s="46" t="n">
        <v>51.41716743555845</v>
      </c>
      <c r="AK25" s="120" t="n">
        <v>1</v>
      </c>
      <c r="AL25" s="44" t="inlineStr">
        <is>
          <t>JAKAFI</t>
        </is>
      </c>
      <c r="AM25" s="44" t="inlineStr">
        <is>
          <t>ONCOLOGY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71</v>
      </c>
      <c r="E26" s="51" t="n">
        <v>8390.4</v>
      </c>
      <c r="F26" s="51" t="n">
        <v>6372</v>
      </c>
      <c r="G26" s="52" t="n">
        <v>118.1746478873239</v>
      </c>
      <c r="H26" s="53" t="n">
        <v>89.74647887323944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ENBREL SURECLICK</t>
        </is>
      </c>
      <c r="AG26" t="inlineStr">
        <is>
          <t>IMMUNOMODULATORS</t>
        </is>
      </c>
      <c r="AH26" s="122" t="n">
        <v>10867.48132842812</v>
      </c>
      <c r="AI26" s="56" t="n">
        <v>1.091030907343451</v>
      </c>
      <c r="AK26" s="123" t="n">
        <v>2</v>
      </c>
      <c r="AL26" t="inlineStr">
        <is>
          <t>IBRANCE</t>
        </is>
      </c>
      <c r="AM26" t="inlineStr">
        <is>
          <t>ONCOLOGY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79</v>
      </c>
      <c r="E27" s="61" t="n">
        <v>11167.7</v>
      </c>
      <c r="F27" s="61" t="n">
        <v>6449</v>
      </c>
      <c r="G27" s="62" t="n">
        <v>141.3632911392405</v>
      </c>
      <c r="H27" s="63" t="n">
        <v>81.63291139240506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TRELEGY ELLIPTA</t>
        </is>
      </c>
      <c r="AG27" t="inlineStr">
        <is>
          <t>LABA LAMA COMBO</t>
        </is>
      </c>
      <c r="AH27" s="122" t="n">
        <v>10767.59735043812</v>
      </c>
      <c r="AI27" s="56" t="n">
        <v>8.449651537743833</v>
      </c>
      <c r="AK27" s="123" t="n">
        <v>3</v>
      </c>
      <c r="AL27" t="inlineStr">
        <is>
          <t>GENVOYA</t>
        </is>
      </c>
      <c r="AM27" t="inlineStr">
        <is>
          <t>HIV-MULTICLASS COMBO</t>
        </is>
      </c>
      <c r="AN27" s="58" t="n">
        <v>3.544358573346337</v>
      </c>
    </row>
    <row r="28" ht="15" customHeight="1" thickTop="1">
      <c r="B28" s="64" t="inlineStr">
        <is>
          <t>Non-Specialty</t>
        </is>
      </c>
      <c r="C28" s="10" t="n"/>
      <c r="D28" s="65" t="n">
        <v>288</v>
      </c>
      <c r="E28" s="66" t="n">
        <v>25726.6</v>
      </c>
      <c r="F28" s="66" t="n">
        <v>17281</v>
      </c>
      <c r="G28" s="67" t="n">
        <v>89.32847222222222</v>
      </c>
      <c r="H28" s="68" t="n">
        <v>60.00347222222222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JARDIANCE</t>
        </is>
      </c>
      <c r="AG28" t="inlineStr">
        <is>
          <t>SGLT-2 INHIBITORS &amp; COMBOS</t>
        </is>
      </c>
      <c r="AH28" s="122" t="n">
        <v>9553.230210623156</v>
      </c>
      <c r="AI28" s="56" t="n">
        <v>29.1474955513474</v>
      </c>
      <c r="AK28" s="123" t="n">
        <v>4</v>
      </c>
      <c r="AL28" t="inlineStr">
        <is>
          <t>ACIPHEX</t>
        </is>
      </c>
      <c r="AM28" t="inlineStr">
        <is>
          <t>PROTON PUMP INHIBITORS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9</v>
      </c>
      <c r="E29" s="61" t="n">
        <v>824</v>
      </c>
      <c r="F29" s="61" t="n">
        <v>984</v>
      </c>
      <c r="G29" s="62" t="n">
        <v>91.55555555555556</v>
      </c>
      <c r="H29" s="63" t="n">
        <v>109.3333333333333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OZEMPIC</t>
        </is>
      </c>
      <c r="AG29" t="inlineStr">
        <is>
          <t>GLUCAGON-LIKE PEPTIDE-1 AGONISTS (GLP1)</t>
        </is>
      </c>
      <c r="AH29" s="122" t="n">
        <v>8665.251438752506</v>
      </c>
      <c r="AI29" s="56" t="n">
        <v>6.664732059646523</v>
      </c>
      <c r="AK29" s="123" t="n">
        <v>5</v>
      </c>
      <c r="AL29" t="inlineStr">
        <is>
          <t>LIPITOR</t>
        </is>
      </c>
      <c r="AM29" t="inlineStr">
        <is>
          <t>STATINS &amp; COMBOS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297</v>
      </c>
      <c r="E30" s="71" t="n">
        <v>26550.6</v>
      </c>
      <c r="F30" s="71" t="n">
        <v>18265</v>
      </c>
      <c r="G30" s="72" t="n">
        <v>89.3959595959596</v>
      </c>
      <c r="H30" s="73" t="n">
        <v>61.4983164983165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BREZTRI AEROSPHERE</t>
        </is>
      </c>
      <c r="AG30" t="inlineStr">
        <is>
          <t>LABA LAMA COMBO</t>
        </is>
      </c>
      <c r="AH30" s="122" t="n">
        <v>6471.84171363593</v>
      </c>
      <c r="AI30" s="56" t="n">
        <v>4.828372307282191</v>
      </c>
      <c r="AK30" s="123" t="n">
        <v>6</v>
      </c>
      <c r="AL30" t="inlineStr">
        <is>
          <t>AVODART</t>
        </is>
      </c>
      <c r="AM30" t="inlineStr">
        <is>
          <t>PROSTATIC HYPERTROPHY AGENTS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GEMTESA</t>
        </is>
      </c>
      <c r="AG31" t="inlineStr">
        <is>
          <t>URINARY ANTISPASMODICS &amp; OAB DRUGS</t>
        </is>
      </c>
      <c r="AH31" s="122" t="n">
        <v>5928.785311344228</v>
      </c>
      <c r="AI31" s="56" t="n">
        <v>9.146347533057741</v>
      </c>
      <c r="AK31" s="123" t="n">
        <v>7</v>
      </c>
      <c r="AL31" t="inlineStr">
        <is>
          <t>SYNTHROID</t>
        </is>
      </c>
      <c r="AM31" t="inlineStr">
        <is>
          <t>THYROID HORMONES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STIOLTO RESPIMAT</t>
        </is>
      </c>
      <c r="AG32" t="inlineStr">
        <is>
          <t>LABA LAMA COMBO</t>
        </is>
      </c>
      <c r="AH32" s="122" t="n">
        <v>5039.475489170963</v>
      </c>
      <c r="AI32" s="56" t="n">
        <v>4.828372307282191</v>
      </c>
      <c r="AK32" s="123" t="n">
        <v>8</v>
      </c>
      <c r="AL32" t="inlineStr">
        <is>
          <t>ELIQUIS</t>
        </is>
      </c>
      <c r="AM32" t="inlineStr">
        <is>
          <t>ORAL ANTICOAGULANTS</t>
        </is>
      </c>
      <c r="AN32" s="58" t="n">
        <v>9.393915268543527</v>
      </c>
    </row>
    <row r="33">
      <c r="B33" s="38" t="inlineStr">
        <is>
          <t>Retail 30</t>
        </is>
      </c>
      <c r="C33" s="10" t="n"/>
      <c r="D33" s="39" t="n">
        <v>0</v>
      </c>
      <c r="E33" s="40" t="n">
        <v>0</v>
      </c>
      <c r="F33" s="40" t="n">
        <v>0</v>
      </c>
      <c r="G33" s="41" t="n">
        <v>0</v>
      </c>
      <c r="H33" s="42" t="n">
        <v>0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SPIRIVA RESPIMAT</t>
        </is>
      </c>
      <c r="AG33" t="inlineStr">
        <is>
          <t>LAMA/ACH</t>
        </is>
      </c>
      <c r="AH33" s="122" t="n">
        <v>4078.899902930601</v>
      </c>
      <c r="AI33" s="56" t="n">
        <v>6.675007469238579</v>
      </c>
      <c r="AK33" s="123" t="n">
        <v>9</v>
      </c>
      <c r="AL33" t="inlineStr">
        <is>
          <t>VIAGRA</t>
        </is>
      </c>
      <c r="AM33" t="inlineStr">
        <is>
          <t>IMPOTENCE AGENTS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0</v>
      </c>
      <c r="E34" s="51" t="n">
        <v>0</v>
      </c>
      <c r="F34" s="51" t="n">
        <v>0</v>
      </c>
      <c r="G34" s="52" t="n">
        <v>0</v>
      </c>
      <c r="H34" s="53" t="n">
        <v>0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XIIDRA</t>
        </is>
      </c>
      <c r="AG34" t="inlineStr">
        <is>
          <t>OPHTHALMIC INTEGRIN ANTAGONIST</t>
        </is>
      </c>
      <c r="AH34" s="122" t="n">
        <v>3134.659476618592</v>
      </c>
      <c r="AI34" s="56" t="n">
        <v>6.067564569880322</v>
      </c>
      <c r="AK34" s="123" t="n">
        <v>10</v>
      </c>
      <c r="AL34" t="inlineStr">
        <is>
          <t>PREZISTA</t>
        </is>
      </c>
      <c r="AM34" t="inlineStr">
        <is>
          <t>HIV-PROTEASE INHIBITOR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0</v>
      </c>
      <c r="E35" s="61" t="n">
        <v>0</v>
      </c>
      <c r="F35" s="61" t="n">
        <v>0</v>
      </c>
      <c r="G35" s="62" t="n">
        <v>0</v>
      </c>
      <c r="H35" s="63" t="n">
        <v>0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AIRSUPRA</t>
        </is>
      </c>
      <c r="AG35" t="inlineStr">
        <is>
          <t>LABA LAMA COMBO</t>
        </is>
      </c>
      <c r="AH35" s="122" t="n">
        <v>3058.165762987117</v>
      </c>
      <c r="AI35" s="56" t="n">
        <v>0</v>
      </c>
      <c r="AK35" s="123" t="n">
        <v>11</v>
      </c>
      <c r="AL35" t="inlineStr">
        <is>
          <t>NEXIUM</t>
        </is>
      </c>
      <c r="AM35" t="inlineStr">
        <is>
          <t>PROTON PUMP INHIBITORS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0</v>
      </c>
      <c r="E36" s="66" t="n">
        <v>0</v>
      </c>
      <c r="F36" s="66" t="n">
        <v>0</v>
      </c>
      <c r="G36" s="67" t="n">
        <v>0</v>
      </c>
      <c r="H36" s="68" t="n">
        <v>0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V-GO 20</t>
        </is>
      </c>
      <c r="AG36" t="inlineStr">
        <is>
          <t>INSULIN ADMINISTRATION SUPPLIES</t>
        </is>
      </c>
      <c r="AH36" s="122" t="n">
        <v>2933.192918778607</v>
      </c>
      <c r="AI36" s="56" t="n">
        <v>3.840715371039049</v>
      </c>
      <c r="AK36" s="123" t="n">
        <v>12</v>
      </c>
      <c r="AL36" t="inlineStr">
        <is>
          <t>ZEPBOUND</t>
        </is>
      </c>
      <c r="AM36" t="inlineStr">
        <is>
          <t>GLP-1 ANTI-OBESITY AGENTS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V-GO 30</t>
        </is>
      </c>
      <c r="AG37" t="inlineStr">
        <is>
          <t>INSULIN ADMINISTRATION SUPPLIES</t>
        </is>
      </c>
      <c r="AH37" s="122" t="n">
        <v>2933.192918778607</v>
      </c>
      <c r="AI37" s="56" t="n">
        <v>3.840715371039049</v>
      </c>
      <c r="AK37" s="123" t="n">
        <v>13</v>
      </c>
      <c r="AL37" t="inlineStr">
        <is>
          <t>DEXCOM G7 SENSOR</t>
        </is>
      </c>
      <c r="AM37" t="inlineStr">
        <is>
          <t>DIABETES MONITORING AND TESTING SUPPLIES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0</v>
      </c>
      <c r="E38" s="71" t="n">
        <v>0</v>
      </c>
      <c r="F38" s="71" t="n">
        <v>0</v>
      </c>
      <c r="G38" s="72" t="n">
        <v>0</v>
      </c>
      <c r="H38" s="73" t="n">
        <v>0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RHOPRESSA</t>
        </is>
      </c>
      <c r="AG38" t="inlineStr">
        <is>
          <t>OPHTHALMICS - RHO KINASE INHIBITOR &amp; COMBOS</t>
        </is>
      </c>
      <c r="AH38" s="122" t="n">
        <v>2833.200812122138</v>
      </c>
      <c r="AI38" s="56" t="n">
        <v>6.720824363820796</v>
      </c>
      <c r="AK38" s="123" t="n">
        <v>14</v>
      </c>
      <c r="AL38" t="inlineStr">
        <is>
          <t>RASUVO</t>
        </is>
      </c>
      <c r="AM38" t="inlineStr">
        <is>
          <t>CHRONIC INFLAMMATORY DISEASE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CREON</t>
        </is>
      </c>
      <c r="AG39" t="inlineStr">
        <is>
          <t>DIGESTIVE ENZYMES</t>
        </is>
      </c>
      <c r="AH39" s="122" t="n">
        <v>1826.39791279468</v>
      </c>
      <c r="AI39" s="56" t="n">
        <v>1.130442285535253</v>
      </c>
      <c r="AK39" s="123" t="n">
        <v>15</v>
      </c>
      <c r="AL39" t="inlineStr">
        <is>
          <t>XDEMVY</t>
        </is>
      </c>
      <c r="AM39" t="inlineStr">
        <is>
          <t>OPHTHALMIC ANTI-INFECTIVES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LINZESS</t>
        </is>
      </c>
      <c r="AG40" t="inlineStr">
        <is>
          <t>IRRITABLE BOWEL SYNDROME (IBS) AGENTS</t>
        </is>
      </c>
      <c r="AH40" s="122" t="n">
        <v>1673.421719542132</v>
      </c>
      <c r="AI40" s="56" t="n">
        <v>3.148664098804754</v>
      </c>
      <c r="AK40" s="123" t="n">
        <v>16</v>
      </c>
      <c r="AL40" t="inlineStr">
        <is>
          <t>INDERAL LA</t>
        </is>
      </c>
      <c r="AM40" t="inlineStr">
        <is>
          <t>BETA BLOCKERS &amp; COMBOS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138</v>
      </c>
      <c r="E41" s="40" t="n">
        <v>6168.5</v>
      </c>
      <c r="F41" s="40" t="n">
        <v>4460</v>
      </c>
      <c r="G41" s="41" t="n">
        <v>44.69927536231884</v>
      </c>
      <c r="H41" s="42" t="n">
        <v>32.31884057971015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ARNUITY ELLIPTA</t>
        </is>
      </c>
      <c r="AG41" t="inlineStr">
        <is>
          <t>INHALED CORTICOSTEROIDS (ICS)</t>
        </is>
      </c>
      <c r="AH41" s="122" t="n">
        <v>1242.758769146862</v>
      </c>
      <c r="AI41" s="56" t="n">
        <v>0</v>
      </c>
      <c r="AK41" s="123" t="n">
        <v>17</v>
      </c>
      <c r="AL41" t="inlineStr">
        <is>
          <t>MIEBO</t>
        </is>
      </c>
      <c r="AM41" t="inlineStr">
        <is>
          <t>OPHTHALMICS - MISC.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71</v>
      </c>
      <c r="E42" s="51" t="n">
        <v>8390.4</v>
      </c>
      <c r="F42" s="51" t="n">
        <v>6372</v>
      </c>
      <c r="G42" s="52" t="n">
        <v>118.1746478873239</v>
      </c>
      <c r="H42" s="53" t="n">
        <v>89.74647887323944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PREMARIN</t>
        </is>
      </c>
      <c r="AG42" t="inlineStr">
        <is>
          <t>VAGINAL ESTROGENS</t>
        </is>
      </c>
      <c r="AH42" s="122" t="n">
        <v>1188.45056336453</v>
      </c>
      <c r="AI42" s="56" t="n">
        <v>5.90072372117301</v>
      </c>
      <c r="AK42" s="123" t="n">
        <v>18</v>
      </c>
      <c r="AL42" t="inlineStr">
        <is>
          <t>LEXAPRO</t>
        </is>
      </c>
      <c r="AM42" t="inlineStr">
        <is>
          <t>ANTIDEPRESSANTS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79</v>
      </c>
      <c r="E43" s="61" t="n">
        <v>11167.7</v>
      </c>
      <c r="F43" s="61" t="n">
        <v>6449</v>
      </c>
      <c r="G43" s="62" t="n">
        <v>141.3632911392405</v>
      </c>
      <c r="H43" s="63" t="n">
        <v>81.63291139240506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PROLIA</t>
        </is>
      </c>
      <c r="AG43" t="inlineStr">
        <is>
          <t>OSTEOPOROSIS AGENTS</t>
        </is>
      </c>
      <c r="AH43" s="122" t="n">
        <v>1088.524615180074</v>
      </c>
      <c r="AI43" s="56" t="n">
        <v>2.294824335148659</v>
      </c>
      <c r="AK43" s="123" t="n">
        <v>19</v>
      </c>
      <c r="AL43" t="inlineStr">
        <is>
          <t>QNASL</t>
        </is>
      </c>
      <c r="AM43" t="inlineStr">
        <is>
          <t>NASAL STEROIDS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288</v>
      </c>
      <c r="E44" s="66" t="n">
        <v>25726.6</v>
      </c>
      <c r="F44" s="66" t="n">
        <v>17281</v>
      </c>
      <c r="G44" s="67" t="n">
        <v>89.32847222222222</v>
      </c>
      <c r="H44" s="68" t="n">
        <v>60.00347222222222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BREO ELLIPTA</t>
        </is>
      </c>
      <c r="AG44" s="82" t="inlineStr">
        <is>
          <t>LABA LAMA COMBO</t>
        </is>
      </c>
      <c r="AH44" s="125" t="n">
        <v>1054.842003786466</v>
      </c>
      <c r="AI44" s="84" t="n">
        <v>0</v>
      </c>
      <c r="AK44" s="126" t="n">
        <v>20</v>
      </c>
      <c r="AL44" s="86" t="inlineStr">
        <is>
          <t>COZAAR</t>
        </is>
      </c>
      <c r="AM44" s="86" t="inlineStr">
        <is>
          <t>ANGIOTENSIN II RECEPTOR ANTAGONISTS &amp; COMBOS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9</v>
      </c>
      <c r="E45" s="61" t="n">
        <v>824</v>
      </c>
      <c r="F45" s="61" t="n">
        <v>984</v>
      </c>
      <c r="G45" s="62" t="n">
        <v>91.55555555555556</v>
      </c>
      <c r="H45" s="63" t="n">
        <v>109.3333333333333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297</v>
      </c>
      <c r="E46" s="71" t="n">
        <v>26550.6</v>
      </c>
      <c r="F46" s="71" t="n">
        <v>18265</v>
      </c>
      <c r="G46" s="72" t="n">
        <v>89.3959595959596</v>
      </c>
      <c r="H46" s="73" t="n">
        <v>61.4983164983165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72717.68135410942</v>
      </c>
      <c r="AH49" s="46" t="n">
        <v>58.12481008580385</v>
      </c>
    </row>
    <row r="50" ht="15" customHeight="1" thickBot="1">
      <c r="AE50" s="121" t="n">
        <v>2</v>
      </c>
      <c r="AF50" t="inlineStr">
        <is>
          <t>LABA LAMA COMBO</t>
        </is>
      </c>
      <c r="AG50" s="122" t="n">
        <v>26862.56624283873</v>
      </c>
      <c r="AH50" s="56" t="n">
        <v>19.31348922912876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10/26 - 09/27</t>
        </is>
      </c>
      <c r="K51" s="12" t="n"/>
      <c r="L51" s="12" t="n"/>
      <c r="M51" s="13" t="n"/>
      <c r="N51" s="14" t="n"/>
      <c r="P51" s="11" t="inlineStr">
        <is>
          <t>10/27 - 09/28</t>
        </is>
      </c>
      <c r="Q51" s="12" t="n"/>
      <c r="R51" s="12" t="n"/>
      <c r="S51" s="13" t="n"/>
      <c r="T51" s="14" t="n"/>
      <c r="V51" s="11" t="inlineStr">
        <is>
          <t>10/28 - 09/29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IMMUNOMODULATORS</t>
        </is>
      </c>
      <c r="AG51" s="122" t="n">
        <v>10867.48132842812</v>
      </c>
      <c r="AH51" s="56" t="n">
        <v>1.091030907343451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SGLT-2 INHIBITORS &amp; COMBOS</t>
        </is>
      </c>
      <c r="AG52" s="122" t="n">
        <v>9553.230210623156</v>
      </c>
      <c r="AH52" s="56" t="n">
        <v>29.1474955513474</v>
      </c>
    </row>
    <row r="53">
      <c r="B53" s="38" t="inlineStr">
        <is>
          <t>OTCs</t>
        </is>
      </c>
      <c r="D53" s="127" t="n">
        <v>4</v>
      </c>
      <c r="E53" s="128" t="n">
        <v>3</v>
      </c>
      <c r="F53" s="128" t="n">
        <v>6</v>
      </c>
      <c r="G53" s="128" t="n">
        <v>0</v>
      </c>
      <c r="H53" s="129" t="n">
        <v>13</v>
      </c>
      <c r="J53" s="127" t="n">
        <v>3.367208266425485</v>
      </c>
      <c r="K53" s="128" t="n">
        <v>2.526596826732871</v>
      </c>
      <c r="L53" s="128" t="n">
        <v>5.050972602908545</v>
      </c>
      <c r="M53" s="128" t="n">
        <v>0</v>
      </c>
      <c r="N53" s="129" t="n">
        <v>10.9447776960669</v>
      </c>
      <c r="P53" s="127" t="n">
        <v>3.18705342928946</v>
      </c>
      <c r="Q53" s="128" t="n">
        <v>2.389684032962863</v>
      </c>
      <c r="R53" s="128" t="n">
        <v>4.691096276623046</v>
      </c>
      <c r="S53" s="128" t="n">
        <v>0</v>
      </c>
      <c r="T53" s="129" t="n">
        <v>10.26783373887537</v>
      </c>
      <c r="V53" s="127" t="n">
        <v>3.065343447741625</v>
      </c>
      <c r="W53" s="128" t="n">
        <v>2.255919166465565</v>
      </c>
      <c r="X53" s="128" t="n">
        <v>4.404867691956748</v>
      </c>
      <c r="Y53" s="128" t="n">
        <v>0</v>
      </c>
      <c r="Z53" s="129" t="n">
        <v>9.726130306163938</v>
      </c>
      <c r="AE53" s="121" t="n">
        <v>5</v>
      </c>
      <c r="AF53" t="inlineStr">
        <is>
          <t>URINARY ANTISPASMODICS &amp; OAB DRUGS</t>
        </is>
      </c>
      <c r="AG53" s="122" t="n">
        <v>5928.785311344227</v>
      </c>
      <c r="AH53" s="56" t="n">
        <v>9.146347533057741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INSULIN ADMINISTRATION SUPPLIES</t>
        </is>
      </c>
      <c r="AG54" s="122" t="n">
        <v>5866.385837557214</v>
      </c>
      <c r="AH54" s="56" t="n">
        <v>7.681430742078097</v>
      </c>
    </row>
    <row r="55">
      <c r="B55" s="64" t="inlineStr">
        <is>
          <t>Vaccines</t>
        </is>
      </c>
      <c r="D55" s="130" t="n">
        <v>11</v>
      </c>
      <c r="E55" s="131" t="n">
        <v>0</v>
      </c>
      <c r="F55" s="131" t="n">
        <v>0</v>
      </c>
      <c r="G55" s="131" t="n">
        <v>0</v>
      </c>
      <c r="H55" s="132" t="n">
        <v>11</v>
      </c>
      <c r="J55" s="130" t="n">
        <v>11.00421963992369</v>
      </c>
      <c r="K55" s="131" t="n">
        <v>0</v>
      </c>
      <c r="L55" s="131" t="n">
        <v>0</v>
      </c>
      <c r="M55" s="131" t="n">
        <v>0</v>
      </c>
      <c r="N55" s="132" t="n">
        <v>11.00421963992369</v>
      </c>
      <c r="P55" s="130" t="n">
        <v>11.25327823035992</v>
      </c>
      <c r="Q55" s="131" t="n">
        <v>0</v>
      </c>
      <c r="R55" s="131" t="n">
        <v>0</v>
      </c>
      <c r="S55" s="131" t="n">
        <v>0</v>
      </c>
      <c r="T55" s="132" t="n">
        <v>11.25327823035992</v>
      </c>
      <c r="V55" s="130" t="n">
        <v>11.64231197178807</v>
      </c>
      <c r="W55" s="131" t="n">
        <v>0</v>
      </c>
      <c r="X55" s="131" t="n">
        <v>0</v>
      </c>
      <c r="Y55" s="131" t="n">
        <v>0</v>
      </c>
      <c r="Z55" s="132" t="n">
        <v>11.64231197178807</v>
      </c>
      <c r="AE55" s="121" t="n">
        <v>7</v>
      </c>
      <c r="AF55" t="inlineStr">
        <is>
          <t>LAMA/ACH</t>
        </is>
      </c>
      <c r="AG55" s="122" t="n">
        <v>4078.899902930601</v>
      </c>
      <c r="AH55" s="56" t="n">
        <v>6.675007469238579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OPHTHALMIC INTEGRIN ANTAGONIST</t>
        </is>
      </c>
      <c r="AG56" s="122" t="n">
        <v>3134.659476618592</v>
      </c>
      <c r="AH56" s="56" t="n">
        <v>6.067564569880322</v>
      </c>
    </row>
    <row r="57">
      <c r="B57" s="64" t="inlineStr">
        <is>
          <t>MSBs</t>
        </is>
      </c>
      <c r="D57" s="130" t="n">
        <v>68</v>
      </c>
      <c r="E57" s="131" t="n">
        <v>70</v>
      </c>
      <c r="F57" s="131" t="n">
        <v>85</v>
      </c>
      <c r="G57" s="131" t="n">
        <v>0</v>
      </c>
      <c r="H57" s="132" t="n">
        <v>223</v>
      </c>
      <c r="J57" s="130" t="n">
        <v>63.51701400863277</v>
      </c>
      <c r="K57" s="131" t="n">
        <v>55.26075949714094</v>
      </c>
      <c r="L57" s="131" t="n">
        <v>70.05762760070749</v>
      </c>
      <c r="M57" s="131" t="n">
        <v>0</v>
      </c>
      <c r="N57" s="132" t="n">
        <v>188.8354011064812</v>
      </c>
      <c r="P57" s="130" t="n">
        <v>62.84620709537454</v>
      </c>
      <c r="Q57" s="131" t="n">
        <v>53.9972686982864</v>
      </c>
      <c r="R57" s="131" t="n">
        <v>67.54614245337035</v>
      </c>
      <c r="S57" s="131" t="n">
        <v>0</v>
      </c>
      <c r="T57" s="132" t="n">
        <v>184.3896182470313</v>
      </c>
      <c r="V57" s="130" t="n">
        <v>59.12606311326168</v>
      </c>
      <c r="W57" s="131" t="n">
        <v>54.54301454127601</v>
      </c>
      <c r="X57" s="131" t="n">
        <v>66.06395772949693</v>
      </c>
      <c r="Y57" s="131" t="n">
        <v>0</v>
      </c>
      <c r="Z57" s="132" t="n">
        <v>179.7330353840346</v>
      </c>
      <c r="AE57" s="121" t="n">
        <v>9</v>
      </c>
      <c r="AF57" t="inlineStr">
        <is>
          <t>OPHTHALMICS - RHO KINASE INHIBITOR &amp; COMBOS</t>
        </is>
      </c>
      <c r="AG57" s="122" t="n">
        <v>2833.200812122138</v>
      </c>
      <c r="AH57" s="56" t="n">
        <v>6.720824363820796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DIGESTIVE ENZYMES</t>
        </is>
      </c>
      <c r="AG58" s="122" t="n">
        <v>1826.39791279468</v>
      </c>
      <c r="AH58" s="56" t="n">
        <v>1.130442285535253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16</v>
      </c>
      <c r="H59" s="132" t="n">
        <v>16</v>
      </c>
      <c r="J59" s="130" t="n">
        <v>0</v>
      </c>
      <c r="K59" s="131" t="n">
        <v>0</v>
      </c>
      <c r="L59" s="131" t="n">
        <v>0</v>
      </c>
      <c r="M59" s="131" t="n">
        <v>17.09928479257696</v>
      </c>
      <c r="N59" s="132" t="n">
        <v>17.09928479257696</v>
      </c>
      <c r="P59" s="130" t="n">
        <v>0</v>
      </c>
      <c r="Q59" s="131" t="n">
        <v>0</v>
      </c>
      <c r="R59" s="131" t="n">
        <v>0</v>
      </c>
      <c r="S59" s="131" t="n">
        <v>16.70894513045657</v>
      </c>
      <c r="T59" s="132" t="n">
        <v>16.70894513045657</v>
      </c>
      <c r="V59" s="130" t="n">
        <v>0</v>
      </c>
      <c r="W59" s="131" t="n">
        <v>0</v>
      </c>
      <c r="X59" s="131" t="n">
        <v>0</v>
      </c>
      <c r="Y59" s="131" t="n">
        <v>12.09419802558369</v>
      </c>
      <c r="Z59" s="132" t="n">
        <v>12.09419802558369</v>
      </c>
      <c r="AE59" s="121" t="n">
        <v>11</v>
      </c>
      <c r="AF59" t="inlineStr">
        <is>
          <t>IRRITABLE BOWEL SYNDROME (IBS) AGENTS</t>
        </is>
      </c>
      <c r="AG59" s="122" t="n">
        <v>1673.421719542132</v>
      </c>
      <c r="AH59" s="56" t="n">
        <v>3.148664098804754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INHALED CORTICOSTEROIDS (ICS)</t>
        </is>
      </c>
      <c r="AG60" s="122" t="n">
        <v>1242.758769146862</v>
      </c>
      <c r="AH60" s="56" t="n">
        <v>0</v>
      </c>
    </row>
    <row r="61">
      <c r="B61" s="64" t="inlineStr">
        <is>
          <t>Formulary Exclusions</t>
        </is>
      </c>
      <c r="D61" s="130" t="n">
        <v>35</v>
      </c>
      <c r="E61" s="131" t="n">
        <v>14</v>
      </c>
      <c r="F61" s="131" t="n">
        <v>23</v>
      </c>
      <c r="G61" s="131" t="n">
        <v>0</v>
      </c>
      <c r="H61" s="132" t="n">
        <v>72</v>
      </c>
      <c r="J61" s="130" t="n">
        <v>33.80888039188297</v>
      </c>
      <c r="K61" s="131" t="n">
        <v>11.56721622874409</v>
      </c>
      <c r="L61" s="131" t="n">
        <v>27.05108616001349</v>
      </c>
      <c r="M61" s="131" t="n">
        <v>0</v>
      </c>
      <c r="N61" s="132" t="n">
        <v>72.42718278064055</v>
      </c>
      <c r="P61" s="130" t="n">
        <v>34.38023379828338</v>
      </c>
      <c r="Q61" s="131" t="n">
        <v>11.88171813551708</v>
      </c>
      <c r="R61" s="131" t="n">
        <v>28.00195246753046</v>
      </c>
      <c r="S61" s="131" t="n">
        <v>0</v>
      </c>
      <c r="T61" s="132" t="n">
        <v>74.26390440133092</v>
      </c>
      <c r="V61" s="130" t="n">
        <v>35.41500949077938</v>
      </c>
      <c r="W61" s="131" t="n">
        <v>12.10617120330804</v>
      </c>
      <c r="X61" s="131" t="n">
        <v>25.76138345852207</v>
      </c>
      <c r="Y61" s="131" t="n">
        <v>0</v>
      </c>
      <c r="Z61" s="132" t="n">
        <v>73.2825641526095</v>
      </c>
      <c r="AE61" s="121" t="n">
        <v>13</v>
      </c>
      <c r="AF61" t="inlineStr">
        <is>
          <t>VAGINAL ESTROGENS</t>
        </is>
      </c>
      <c r="AG61" s="122" t="n">
        <v>1188.45056336453</v>
      </c>
      <c r="AH61" s="56" t="n">
        <v>5.90072372117301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OSTEOPOROSIS AGENTS</t>
        </is>
      </c>
      <c r="AG62" s="122" t="n">
        <v>1088.524615180074</v>
      </c>
      <c r="AH62" s="56" t="n">
        <v>2.294824335148659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9</v>
      </c>
      <c r="H63" s="132" t="n">
        <v>9</v>
      </c>
      <c r="J63" s="130" t="n">
        <v>2.58953491341282</v>
      </c>
      <c r="K63" s="131" t="n">
        <v>0.4725356733129189</v>
      </c>
      <c r="L63" s="131" t="n">
        <v>0.2078802046455621</v>
      </c>
      <c r="M63" s="131" t="n">
        <v>7.308333158315506</v>
      </c>
      <c r="N63" s="132" t="n">
        <v>10.57828394968681</v>
      </c>
      <c r="P63" s="130" t="n">
        <v>2.08552136938691</v>
      </c>
      <c r="Q63" s="131" t="n">
        <v>0.1405100237659127</v>
      </c>
      <c r="R63" s="131" t="n">
        <v>0.08133752942403305</v>
      </c>
      <c r="S63" s="131" t="n">
        <v>6.991768917026942</v>
      </c>
      <c r="T63" s="132" t="n">
        <v>9.299137839603798</v>
      </c>
      <c r="V63" s="130" t="n">
        <v>1.437311782396435</v>
      </c>
      <c r="W63" s="131" t="n">
        <v>0.1196840743637466</v>
      </c>
      <c r="X63" s="131" t="n">
        <v>0.07925896025578538</v>
      </c>
      <c r="Y63" s="131" t="n">
        <v>6.012182320226874</v>
      </c>
      <c r="Z63" s="132" t="n">
        <v>7.648437137242841</v>
      </c>
      <c r="AE63" s="121" t="n">
        <v>15</v>
      </c>
      <c r="AF63" t="inlineStr">
        <is>
          <t>BASAL INSULIN</t>
        </is>
      </c>
      <c r="AG63" s="122" t="n">
        <v>1022.553694770773</v>
      </c>
      <c r="AH63" s="56" t="n">
        <v>4.964599627907676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9</v>
      </c>
      <c r="H64" s="135" t="n">
        <v>9</v>
      </c>
      <c r="J64" s="133" t="n">
        <v>0</v>
      </c>
      <c r="K64" s="134" t="n">
        <v>0</v>
      </c>
      <c r="L64" s="134" t="n">
        <v>0</v>
      </c>
      <c r="M64" s="134" t="n">
        <v>7.196331036924444</v>
      </c>
      <c r="N64" s="135" t="n">
        <v>7.196331036924444</v>
      </c>
      <c r="P64" s="133" t="n">
        <v>0</v>
      </c>
      <c r="Q64" s="134" t="n">
        <v>0</v>
      </c>
      <c r="R64" s="134" t="n">
        <v>0</v>
      </c>
      <c r="S64" s="134" t="n">
        <v>6.877622740410126</v>
      </c>
      <c r="T64" s="135" t="n">
        <v>6.877622740410126</v>
      </c>
      <c r="V64" s="133" t="n">
        <v>0</v>
      </c>
      <c r="W64" s="134" t="n">
        <v>0</v>
      </c>
      <c r="X64" s="134" t="n">
        <v>0</v>
      </c>
      <c r="Y64" s="134" t="n">
        <v>5.894981001423753</v>
      </c>
      <c r="Z64" s="135" t="n">
        <v>5.894981001423753</v>
      </c>
      <c r="AE64" s="121" t="n">
        <v>16</v>
      </c>
      <c r="AF64" t="inlineStr">
        <is>
          <t>ATYPICAL ANTIPSYCHOTICS</t>
        </is>
      </c>
      <c r="AG64" s="122" t="n">
        <v>897.7442049693354</v>
      </c>
      <c r="AH64" s="56" t="n">
        <v>1.329196099991223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MISC. ANTIVIRALS</t>
        </is>
      </c>
      <c r="AG65" s="122" t="n">
        <v>843.2795671194968</v>
      </c>
      <c r="AH65" s="56" t="n">
        <v>1.980998808451642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OPHTHALMIC PROSTAGLANDINS</t>
        </is>
      </c>
      <c r="AG66" s="122" t="n">
        <v>613.2733171041837</v>
      </c>
      <c r="AH66" s="56" t="n">
        <v>2.338162445965628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2.893467696716072</v>
      </c>
      <c r="K67" s="140" t="n">
        <v>3.224075867332797</v>
      </c>
      <c r="L67" s="140" t="n">
        <v>5.423006045073503</v>
      </c>
      <c r="M67" s="140" t="n">
        <v>3.399871846615792</v>
      </c>
      <c r="N67" s="141" t="n">
        <v>14.94042145573816</v>
      </c>
      <c r="P67" s="139" t="n">
        <v>5.57556069724153</v>
      </c>
      <c r="Q67" s="140" t="n">
        <v>4.527875195047195</v>
      </c>
      <c r="R67" s="140" t="n">
        <v>5.836822602345891</v>
      </c>
      <c r="S67" s="140" t="n">
        <v>3.458620251626422</v>
      </c>
      <c r="T67" s="141" t="n">
        <v>19.39887874626104</v>
      </c>
      <c r="V67" s="139" t="n">
        <v>9.73976273435381</v>
      </c>
      <c r="W67" s="140" t="n">
        <v>5.762176317484298</v>
      </c>
      <c r="X67" s="140" t="n">
        <v>7.176537158237969</v>
      </c>
      <c r="Y67" s="140" t="n">
        <v>3.60628321038739</v>
      </c>
      <c r="Z67" s="141" t="n">
        <v>26.28475942046347</v>
      </c>
      <c r="AE67" s="121" t="n">
        <v>19</v>
      </c>
      <c r="AF67" t="inlineStr">
        <is>
          <t>RAPID ACTING</t>
        </is>
      </c>
      <c r="AG67" s="122" t="n">
        <v>76.90241004527748</v>
      </c>
      <c r="AH67" s="56" t="n">
        <v>4.137166356589729</v>
      </c>
    </row>
    <row r="68" ht="15.6" customHeight="1" thickBot="1" thickTop="1">
      <c r="B68" s="69" t="inlineStr">
        <is>
          <t>Total</t>
        </is>
      </c>
      <c r="D68" s="142" t="n">
        <v>118</v>
      </c>
      <c r="E68" s="143" t="n">
        <v>87</v>
      </c>
      <c r="F68" s="143" t="n">
        <v>114</v>
      </c>
      <c r="G68" s="143" t="n">
        <v>25</v>
      </c>
      <c r="H68" s="144" t="n">
        <v>353</v>
      </c>
      <c r="J68" s="142" t="n">
        <v>117.1803249169938</v>
      </c>
      <c r="K68" s="143" t="n">
        <v>73.05118409326361</v>
      </c>
      <c r="L68" s="143" t="n">
        <v>107.7905726133486</v>
      </c>
      <c r="M68" s="143" t="n">
        <v>27.80748979750825</v>
      </c>
      <c r="N68" s="144" t="n">
        <v>333.0259024580387</v>
      </c>
      <c r="P68" s="142" t="n">
        <v>119.3278546199357</v>
      </c>
      <c r="Q68" s="143" t="n">
        <v>72.93705608557946</v>
      </c>
      <c r="R68" s="143" t="n">
        <v>106.1573513292938</v>
      </c>
      <c r="S68" s="143" t="n">
        <v>27.15933429910994</v>
      </c>
      <c r="T68" s="144" t="n">
        <v>332.4592190743291</v>
      </c>
      <c r="V68" s="142" t="n">
        <v>120.425802540321</v>
      </c>
      <c r="W68" s="143" t="n">
        <v>74.78696530289767</v>
      </c>
      <c r="X68" s="143" t="n">
        <v>103.4860049984695</v>
      </c>
      <c r="Y68" s="143" t="n">
        <v>21.71266355619795</v>
      </c>
      <c r="Z68" s="144" t="n">
        <v>326.3064173993099</v>
      </c>
      <c r="AE68" s="124" t="n">
        <v>20</v>
      </c>
      <c r="AF68" s="82" t="inlineStr">
        <is>
          <t>LAXATIVES</t>
        </is>
      </c>
      <c r="AG68" s="125" t="n">
        <v>45.10066748864599</v>
      </c>
      <c r="AH68" s="84" t="n">
        <v>1.973322278771683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4.098418325321437</v>
      </c>
      <c r="K75" s="131" t="n">
        <v>14.78356462884474</v>
      </c>
      <c r="L75" s="131" t="n">
        <v>13.61739274799116</v>
      </c>
      <c r="M75" s="131" t="n">
        <v>0</v>
      </c>
      <c r="N75" s="132" t="n">
        <v>32.49937570215734</v>
      </c>
      <c r="P75" s="130" t="n">
        <v>6.055733234399905</v>
      </c>
      <c r="Q75" s="131" t="n">
        <v>18.96397290146506</v>
      </c>
      <c r="R75" s="131" t="n">
        <v>16.07091998078703</v>
      </c>
      <c r="S75" s="131" t="n">
        <v>0</v>
      </c>
      <c r="T75" s="132" t="n">
        <v>41.09062611665199</v>
      </c>
      <c r="V75" s="130" t="n">
        <v>11.49271994395196</v>
      </c>
      <c r="W75" s="131" t="n">
        <v>21.20603144275259</v>
      </c>
      <c r="X75" s="131" t="n">
        <v>18.14934832521764</v>
      </c>
      <c r="Y75" s="131" t="n">
        <v>0</v>
      </c>
      <c r="Z75" s="132" t="n">
        <v>50.84809971192219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1.220807223584646</v>
      </c>
      <c r="N77" s="132" t="n">
        <v>1.220807223584646</v>
      </c>
      <c r="P77" s="130" t="n">
        <v>0</v>
      </c>
      <c r="Q77" s="131" t="n">
        <v>0</v>
      </c>
      <c r="R77" s="131" t="n">
        <v>0</v>
      </c>
      <c r="S77" s="131" t="n">
        <v>2.635178875703777</v>
      </c>
      <c r="T77" s="132" t="n">
        <v>2.635178875703777</v>
      </c>
      <c r="V77" s="130" t="n">
        <v>0</v>
      </c>
      <c r="W77" s="131" t="n">
        <v>0</v>
      </c>
      <c r="X77" s="131" t="n">
        <v>0</v>
      </c>
      <c r="Y77" s="131" t="n">
        <v>8.417156430235023</v>
      </c>
      <c r="Z77" s="132" t="n">
        <v>8.417156430235023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3.225990852581615</v>
      </c>
      <c r="Y79" s="131" t="n">
        <v>0</v>
      </c>
      <c r="Z79" s="132" t="n">
        <v>3.225990852581615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1.757711967973709</v>
      </c>
      <c r="N81" s="132" t="n">
        <v>1.757711967973709</v>
      </c>
      <c r="P81" s="130" t="n">
        <v>0</v>
      </c>
      <c r="Q81" s="131" t="n">
        <v>0</v>
      </c>
      <c r="R81" s="131" t="n">
        <v>0</v>
      </c>
      <c r="S81" s="131" t="n">
        <v>2.015925187910772</v>
      </c>
      <c r="T81" s="132" t="n">
        <v>2.015925187910772</v>
      </c>
      <c r="V81" s="130" t="n">
        <v>0</v>
      </c>
      <c r="W81" s="131" t="n">
        <v>0</v>
      </c>
      <c r="X81" s="131" t="n">
        <v>0</v>
      </c>
      <c r="Y81" s="131" t="n">
        <v>2.974416967432209</v>
      </c>
      <c r="Z81" s="132" t="n">
        <v>2.974416967432209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1.757711967973708</v>
      </c>
      <c r="N82" s="135" t="n">
        <v>1.757711967973708</v>
      </c>
      <c r="P82" s="133" t="n">
        <v>0</v>
      </c>
      <c r="Q82" s="134" t="n">
        <v>0</v>
      </c>
      <c r="R82" s="134" t="n">
        <v>0</v>
      </c>
      <c r="S82" s="134" t="n">
        <v>2.015925187910772</v>
      </c>
      <c r="T82" s="135" t="n">
        <v>2.015925187910772</v>
      </c>
      <c r="V82" s="133" t="n">
        <v>0</v>
      </c>
      <c r="W82" s="134" t="n">
        <v>0</v>
      </c>
      <c r="X82" s="134" t="n">
        <v>0</v>
      </c>
      <c r="Y82" s="134" t="n">
        <v>2.974416967432209</v>
      </c>
      <c r="Z82" s="135" t="n">
        <v>2.974416967432209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11.44832559408679</v>
      </c>
      <c r="K85" s="140" t="n">
        <v>12.12535923748932</v>
      </c>
      <c r="L85" s="140" t="n">
        <v>2.680791333554108</v>
      </c>
      <c r="M85" s="140" t="n">
        <v>2.402670330840043</v>
      </c>
      <c r="N85" s="141" t="n">
        <v>28.65714649597026</v>
      </c>
      <c r="P85" s="139" t="n">
        <v>47.89703212836737</v>
      </c>
      <c r="Q85" s="140" t="n">
        <v>30.2573094073075</v>
      </c>
      <c r="R85" s="140" t="n">
        <v>12.13391549914418</v>
      </c>
      <c r="S85" s="140" t="n">
        <v>2.26227875244484</v>
      </c>
      <c r="T85" s="141" t="n">
        <v>92.5505357872639</v>
      </c>
      <c r="V85" s="139" t="n">
        <v>85.44634092584513</v>
      </c>
      <c r="W85" s="140" t="n">
        <v>46.07117141689103</v>
      </c>
      <c r="X85" s="140" t="n">
        <v>22.36171757360467</v>
      </c>
      <c r="Y85" s="140" t="n">
        <v>2.06062591633851</v>
      </c>
      <c r="Z85" s="141" t="n">
        <v>155.9398558326793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15.54674391940823</v>
      </c>
      <c r="K86" s="143" t="n">
        <v>26.90892386633406</v>
      </c>
      <c r="L86" s="143" t="n">
        <v>16.29818408154527</v>
      </c>
      <c r="M86" s="143" t="n">
        <v>5.381189522398397</v>
      </c>
      <c r="N86" s="144" t="n">
        <v>65.89275335765966</v>
      </c>
      <c r="P86" s="142" t="n">
        <v>53.95276536276727</v>
      </c>
      <c r="Q86" s="143" t="n">
        <v>49.22128230877256</v>
      </c>
      <c r="R86" s="143" t="n">
        <v>28.20483547993121</v>
      </c>
      <c r="S86" s="143" t="n">
        <v>6.913382816059389</v>
      </c>
      <c r="T86" s="144" t="n">
        <v>140.3081911554412</v>
      </c>
      <c r="V86" s="142" t="n">
        <v>96.93906086979709</v>
      </c>
      <c r="W86" s="143" t="n">
        <v>67.27720285964361</v>
      </c>
      <c r="X86" s="143" t="n">
        <v>43.73705675140393</v>
      </c>
      <c r="Y86" s="143" t="n">
        <v>13.45219931400574</v>
      </c>
      <c r="Z86" s="144" t="n">
        <v>224.3799367622826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4</v>
      </c>
      <c r="E89" s="128" t="n">
        <v>3</v>
      </c>
      <c r="F89" s="128" t="n">
        <v>6</v>
      </c>
      <c r="G89" s="128" t="n">
        <v>0</v>
      </c>
      <c r="H89" s="129" t="n">
        <v>13</v>
      </c>
      <c r="J89" s="127" t="n">
        <v>3.367208266425485</v>
      </c>
      <c r="K89" s="128" t="n">
        <v>2.526596826732871</v>
      </c>
      <c r="L89" s="128" t="n">
        <v>5.050972602908545</v>
      </c>
      <c r="M89" s="128" t="n">
        <v>0</v>
      </c>
      <c r="N89" s="129" t="n">
        <v>10.9447776960669</v>
      </c>
      <c r="P89" s="127" t="n">
        <v>3.18705342928946</v>
      </c>
      <c r="Q89" s="128" t="n">
        <v>2.389684032962863</v>
      </c>
      <c r="R89" s="128" t="n">
        <v>4.691096276623046</v>
      </c>
      <c r="S89" s="128" t="n">
        <v>0</v>
      </c>
      <c r="T89" s="129" t="n">
        <v>10.26783373887537</v>
      </c>
      <c r="V89" s="127" t="n">
        <v>3.065343447741625</v>
      </c>
      <c r="W89" s="128" t="n">
        <v>2.255919166465565</v>
      </c>
      <c r="X89" s="128" t="n">
        <v>4.404867691956748</v>
      </c>
      <c r="Y89" s="128" t="n">
        <v>0</v>
      </c>
      <c r="Z89" s="129" t="n">
        <v>9.726130306163938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11</v>
      </c>
      <c r="E91" s="131" t="n">
        <v>0</v>
      </c>
      <c r="F91" s="131" t="n">
        <v>0</v>
      </c>
      <c r="G91" s="131" t="n">
        <v>0</v>
      </c>
      <c r="H91" s="132" t="n">
        <v>11</v>
      </c>
      <c r="J91" s="130" t="n">
        <v>11.00421963992369</v>
      </c>
      <c r="K91" s="131" t="n">
        <v>0</v>
      </c>
      <c r="L91" s="131" t="n">
        <v>0</v>
      </c>
      <c r="M91" s="131" t="n">
        <v>0</v>
      </c>
      <c r="N91" s="132" t="n">
        <v>11.00421963992369</v>
      </c>
      <c r="P91" s="130" t="n">
        <v>11.25327823035992</v>
      </c>
      <c r="Q91" s="131" t="n">
        <v>0</v>
      </c>
      <c r="R91" s="131" t="n">
        <v>0</v>
      </c>
      <c r="S91" s="131" t="n">
        <v>0</v>
      </c>
      <c r="T91" s="132" t="n">
        <v>11.25327823035992</v>
      </c>
      <c r="V91" s="130" t="n">
        <v>11.64231197178807</v>
      </c>
      <c r="W91" s="131" t="n">
        <v>0</v>
      </c>
      <c r="X91" s="131" t="n">
        <v>0</v>
      </c>
      <c r="Y91" s="131" t="n">
        <v>0</v>
      </c>
      <c r="Z91" s="132" t="n">
        <v>11.64231197178807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68</v>
      </c>
      <c r="E93" s="131" t="n">
        <v>70</v>
      </c>
      <c r="F93" s="131" t="n">
        <v>85</v>
      </c>
      <c r="G93" s="131" t="n">
        <v>0</v>
      </c>
      <c r="H93" s="132" t="n">
        <v>223</v>
      </c>
      <c r="J93" s="130" t="n">
        <v>67.6154323339542</v>
      </c>
      <c r="K93" s="131" t="n">
        <v>70.04432412598568</v>
      </c>
      <c r="L93" s="131" t="n">
        <v>83.67502034869865</v>
      </c>
      <c r="M93" s="131" t="n">
        <v>0</v>
      </c>
      <c r="N93" s="132" t="n">
        <v>221.3347768086385</v>
      </c>
      <c r="P93" s="130" t="n">
        <v>68.90194032977445</v>
      </c>
      <c r="Q93" s="131" t="n">
        <v>72.96124159975146</v>
      </c>
      <c r="R93" s="131" t="n">
        <v>83.61706243415738</v>
      </c>
      <c r="S93" s="131" t="n">
        <v>0</v>
      </c>
      <c r="T93" s="132" t="n">
        <v>225.4802443636833</v>
      </c>
      <c r="V93" s="130" t="n">
        <v>70.61878305721363</v>
      </c>
      <c r="W93" s="131" t="n">
        <v>75.7490459840286</v>
      </c>
      <c r="X93" s="131" t="n">
        <v>84.21330605471458</v>
      </c>
      <c r="Y93" s="131" t="n">
        <v>0</v>
      </c>
      <c r="Z93" s="132" t="n">
        <v>230.5811350959568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16</v>
      </c>
      <c r="H95" s="132" t="n">
        <v>16</v>
      </c>
      <c r="J95" s="130" t="n">
        <v>0</v>
      </c>
      <c r="K95" s="131" t="n">
        <v>0</v>
      </c>
      <c r="L95" s="131" t="n">
        <v>0</v>
      </c>
      <c r="M95" s="131" t="n">
        <v>18.3200920161616</v>
      </c>
      <c r="N95" s="132" t="n">
        <v>18.3200920161616</v>
      </c>
      <c r="P95" s="130" t="n">
        <v>0</v>
      </c>
      <c r="Q95" s="131" t="n">
        <v>0</v>
      </c>
      <c r="R95" s="131" t="n">
        <v>0</v>
      </c>
      <c r="S95" s="131" t="n">
        <v>19.34412400616035</v>
      </c>
      <c r="T95" s="132" t="n">
        <v>19.34412400616035</v>
      </c>
      <c r="V95" s="130" t="n">
        <v>0</v>
      </c>
      <c r="W95" s="131" t="n">
        <v>0</v>
      </c>
      <c r="X95" s="131" t="n">
        <v>0</v>
      </c>
      <c r="Y95" s="131" t="n">
        <v>20.51135445581871</v>
      </c>
      <c r="Z95" s="132" t="n">
        <v>20.51135445581871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35</v>
      </c>
      <c r="E97" s="131" t="n">
        <v>14</v>
      </c>
      <c r="F97" s="131" t="n">
        <v>23</v>
      </c>
      <c r="G97" s="131" t="n">
        <v>0</v>
      </c>
      <c r="H97" s="132" t="n">
        <v>72</v>
      </c>
      <c r="J97" s="130" t="n">
        <v>33.80888039188297</v>
      </c>
      <c r="K97" s="131" t="n">
        <v>11.56721622874409</v>
      </c>
      <c r="L97" s="131" t="n">
        <v>27.05108616001349</v>
      </c>
      <c r="M97" s="131" t="n">
        <v>0</v>
      </c>
      <c r="N97" s="132" t="n">
        <v>72.42718278064055</v>
      </c>
      <c r="P97" s="130" t="n">
        <v>34.38023379828338</v>
      </c>
      <c r="Q97" s="131" t="n">
        <v>11.88171813551708</v>
      </c>
      <c r="R97" s="131" t="n">
        <v>28.00195246753046</v>
      </c>
      <c r="S97" s="131" t="n">
        <v>0</v>
      </c>
      <c r="T97" s="132" t="n">
        <v>74.26390440133092</v>
      </c>
      <c r="V97" s="130" t="n">
        <v>35.41500949077938</v>
      </c>
      <c r="W97" s="131" t="n">
        <v>12.10617120330804</v>
      </c>
      <c r="X97" s="131" t="n">
        <v>28.98737431110369</v>
      </c>
      <c r="Y97" s="131" t="n">
        <v>0</v>
      </c>
      <c r="Z97" s="132" t="n">
        <v>76.50855500519111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9</v>
      </c>
      <c r="H99" s="132" t="n">
        <v>9</v>
      </c>
      <c r="J99" s="130" t="n">
        <v>2.58953491341282</v>
      </c>
      <c r="K99" s="131" t="n">
        <v>0.4725356733129189</v>
      </c>
      <c r="L99" s="131" t="n">
        <v>0.2078802046455621</v>
      </c>
      <c r="M99" s="131" t="n">
        <v>9.066045126289218</v>
      </c>
      <c r="N99" s="132" t="n">
        <v>12.33599591766052</v>
      </c>
      <c r="P99" s="130" t="n">
        <v>2.085521369386896</v>
      </c>
      <c r="Q99" s="131" t="n">
        <v>0.1405100237659127</v>
      </c>
      <c r="R99" s="131" t="n">
        <v>0.08133752942404726</v>
      </c>
      <c r="S99" s="131" t="n">
        <v>9.007694104937713</v>
      </c>
      <c r="T99" s="132" t="n">
        <v>11.31506302751457</v>
      </c>
      <c r="V99" s="130" t="n">
        <v>1.437311782396421</v>
      </c>
      <c r="W99" s="131" t="n">
        <v>0.1196840743637608</v>
      </c>
      <c r="X99" s="131" t="n">
        <v>0.07925896025577117</v>
      </c>
      <c r="Y99" s="131" t="n">
        <v>8.986599287659079</v>
      </c>
      <c r="Z99" s="132" t="n">
        <v>10.62285410467503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9</v>
      </c>
      <c r="H100" s="135" t="n">
        <v>9</v>
      </c>
      <c r="J100" s="133" t="n">
        <v>0</v>
      </c>
      <c r="K100" s="134" t="n">
        <v>0</v>
      </c>
      <c r="L100" s="134" t="n">
        <v>0</v>
      </c>
      <c r="M100" s="134" t="n">
        <v>8.954043004898152</v>
      </c>
      <c r="N100" s="135" t="n">
        <v>8.954043004898152</v>
      </c>
      <c r="P100" s="133" t="n">
        <v>0</v>
      </c>
      <c r="Q100" s="134" t="n">
        <v>0</v>
      </c>
      <c r="R100" s="134" t="n">
        <v>0</v>
      </c>
      <c r="S100" s="134" t="n">
        <v>8.893547928320899</v>
      </c>
      <c r="T100" s="135" t="n">
        <v>8.893547928320899</v>
      </c>
      <c r="V100" s="133" t="n">
        <v>0</v>
      </c>
      <c r="W100" s="134" t="n">
        <v>0</v>
      </c>
      <c r="X100" s="134" t="n">
        <v>0</v>
      </c>
      <c r="Y100" s="134" t="n">
        <v>8.869397968855962</v>
      </c>
      <c r="Z100" s="135" t="n">
        <v>8.869397968855962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14.34179329080286</v>
      </c>
      <c r="K103" s="140" t="n">
        <v>15.34943510482212</v>
      </c>
      <c r="L103" s="140" t="n">
        <v>8.103797378627611</v>
      </c>
      <c r="M103" s="140" t="n">
        <v>5.802542177455835</v>
      </c>
      <c r="N103" s="141" t="n">
        <v>43.59756795170842</v>
      </c>
      <c r="P103" s="139" t="n">
        <v>53.4725928256089</v>
      </c>
      <c r="Q103" s="140" t="n">
        <v>34.7851846023547</v>
      </c>
      <c r="R103" s="140" t="n">
        <v>17.97073810149007</v>
      </c>
      <c r="S103" s="140" t="n">
        <v>5.720899004071262</v>
      </c>
      <c r="T103" s="141" t="n">
        <v>111.9494145335249</v>
      </c>
      <c r="V103" s="139" t="n">
        <v>95.18610366019894</v>
      </c>
      <c r="W103" s="140" t="n">
        <v>51.83334773437532</v>
      </c>
      <c r="X103" s="140" t="n">
        <v>29.53825473184264</v>
      </c>
      <c r="Y103" s="140" t="n">
        <v>5.6669091267259</v>
      </c>
      <c r="Z103" s="141" t="n">
        <v>182.2246152531428</v>
      </c>
    </row>
    <row r="104" ht="15.6" customHeight="1" thickBot="1" thickTop="1">
      <c r="B104" s="69" t="inlineStr">
        <is>
          <t>Total</t>
        </is>
      </c>
      <c r="D104" s="142" t="n">
        <v>118</v>
      </c>
      <c r="E104" s="143" t="n">
        <v>87</v>
      </c>
      <c r="F104" s="143" t="n">
        <v>114</v>
      </c>
      <c r="G104" s="143" t="n">
        <v>25</v>
      </c>
      <c r="H104" s="144" t="n">
        <v>353</v>
      </c>
      <c r="J104" s="142" t="n">
        <v>132.727068836402</v>
      </c>
      <c r="K104" s="143" t="n">
        <v>99.96010795959768</v>
      </c>
      <c r="L104" s="143" t="n">
        <v>124.0887566948939</v>
      </c>
      <c r="M104" s="143" t="n">
        <v>33.18867931990665</v>
      </c>
      <c r="N104" s="144" t="n">
        <v>398.9186558156984</v>
      </c>
      <c r="P104" s="142" t="n">
        <v>173.280619982703</v>
      </c>
      <c r="Q104" s="143" t="n">
        <v>122.158338394352</v>
      </c>
      <c r="R104" s="143" t="n">
        <v>134.362186809225</v>
      </c>
      <c r="S104" s="143" t="n">
        <v>34.07271711516933</v>
      </c>
      <c r="T104" s="144" t="n">
        <v>472.7674102297703</v>
      </c>
      <c r="V104" s="142" t="n">
        <v>217.3648634101181</v>
      </c>
      <c r="W104" s="143" t="n">
        <v>142.0641681625413</v>
      </c>
      <c r="X104" s="143" t="n">
        <v>147.2230617498734</v>
      </c>
      <c r="Y104" s="143" t="n">
        <v>35.16486287020369</v>
      </c>
      <c r="Z104" s="144" t="n">
        <v>550.6863541615924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650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Health Delegates Amwins Coast College Rebate Only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10/01/2024</t>
        </is>
      </c>
      <c r="AD17" s="4" t="n"/>
      <c r="AE17" s="4" t="n"/>
      <c r="AF17" s="6" t="n">
        <v>2029</v>
      </c>
    </row>
    <row r="18">
      <c r="B18" s="4" t="n"/>
      <c r="C18" s="4" t="inlineStr">
        <is>
          <t>End Date:</t>
        </is>
      </c>
      <c r="D18" s="116" t="inlineStr">
        <is>
          <t>09/30/2025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2029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138</v>
      </c>
      <c r="E25" s="40" t="n">
        <v>6168.5</v>
      </c>
      <c r="F25" s="40" t="n">
        <v>4460</v>
      </c>
      <c r="G25" s="41" t="n">
        <v>44.69927536231884</v>
      </c>
      <c r="H25" s="42" t="n">
        <v>32.31884057971015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78535.60640343542</v>
      </c>
      <c r="AI25" s="46" t="n">
        <v>61.66266847973219</v>
      </c>
      <c r="AK25" s="120" t="n">
        <v>1</v>
      </c>
      <c r="AL25" s="44" t="inlineStr">
        <is>
          <t>JAKAFI</t>
        </is>
      </c>
      <c r="AM25" s="44" t="inlineStr">
        <is>
          <t>ONCOLOGY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71</v>
      </c>
      <c r="E26" s="51" t="n">
        <v>8390.4</v>
      </c>
      <c r="F26" s="51" t="n">
        <v>6372</v>
      </c>
      <c r="G26" s="52" t="n">
        <v>118.1746478873239</v>
      </c>
      <c r="H26" s="53" t="n">
        <v>89.74647887323944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TRELEGY ELLIPTA</t>
        </is>
      </c>
      <c r="AG26" t="inlineStr">
        <is>
          <t>LABA LAMA COMBO</t>
        </is>
      </c>
      <c r="AH26" s="122" t="n">
        <v>11709.21834792133</v>
      </c>
      <c r="AI26" s="56" t="n">
        <v>8.83901148060307</v>
      </c>
      <c r="AK26" s="123" t="n">
        <v>2</v>
      </c>
      <c r="AL26" t="inlineStr">
        <is>
          <t>IBRANCE</t>
        </is>
      </c>
      <c r="AM26" t="inlineStr">
        <is>
          <t>ONCOLOGY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79</v>
      </c>
      <c r="E27" s="61" t="n">
        <v>11167.7</v>
      </c>
      <c r="F27" s="61" t="n">
        <v>6449</v>
      </c>
      <c r="G27" s="62" t="n">
        <v>141.3632911392405</v>
      </c>
      <c r="H27" s="63" t="n">
        <v>81.63291139240506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ENBREL SURECLICK</t>
        </is>
      </c>
      <c r="AG27" t="inlineStr">
        <is>
          <t>IMMUNOMODULATORS</t>
        </is>
      </c>
      <c r="AH27" s="122" t="n">
        <v>11575.91832093565</v>
      </c>
      <c r="AI27" s="56" t="n">
        <v>1.112753332708659</v>
      </c>
      <c r="AK27" s="123" t="n">
        <v>3</v>
      </c>
      <c r="AL27" t="inlineStr">
        <is>
          <t>GENVOYA</t>
        </is>
      </c>
      <c r="AM27" t="inlineStr">
        <is>
          <t>HIV-MULTICLASS COMBO</t>
        </is>
      </c>
      <c r="AN27" s="58" t="n">
        <v>3.683120211492846</v>
      </c>
    </row>
    <row r="28" ht="15" customHeight="1" thickTop="1">
      <c r="B28" s="64" t="inlineStr">
        <is>
          <t>Non-Specialty</t>
        </is>
      </c>
      <c r="C28" s="10" t="n"/>
      <c r="D28" s="65" t="n">
        <v>288</v>
      </c>
      <c r="E28" s="66" t="n">
        <v>25726.6</v>
      </c>
      <c r="F28" s="66" t="n">
        <v>17281</v>
      </c>
      <c r="G28" s="67" t="n">
        <v>89.32847222222222</v>
      </c>
      <c r="H28" s="68" t="n">
        <v>60.00347222222222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JARDIANCE</t>
        </is>
      </c>
      <c r="AG28" t="inlineStr">
        <is>
          <t>SGLT-2 INHIBITORS &amp; COMBOS</t>
        </is>
      </c>
      <c r="AH28" s="122" t="n">
        <v>10863.35226983261</v>
      </c>
      <c r="AI28" s="56" t="n">
        <v>32.70086673401217</v>
      </c>
      <c r="AK28" s="123" t="n">
        <v>4</v>
      </c>
      <c r="AL28" t="inlineStr">
        <is>
          <t>ACIPHEX</t>
        </is>
      </c>
      <c r="AM28" t="inlineStr">
        <is>
          <t>PROTON PUMP INHIBITORS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9</v>
      </c>
      <c r="E29" s="61" t="n">
        <v>824</v>
      </c>
      <c r="F29" s="61" t="n">
        <v>984</v>
      </c>
      <c r="G29" s="62" t="n">
        <v>91.55555555555556</v>
      </c>
      <c r="H29" s="63" t="n">
        <v>109.3333333333333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OZEMPIC</t>
        </is>
      </c>
      <c r="AG29" t="inlineStr">
        <is>
          <t>GLUCAGON-LIKE PEPTIDE-1 AGONISTS (GLP1)</t>
        </is>
      </c>
      <c r="AH29" s="122" t="n">
        <v>8645.452534710479</v>
      </c>
      <c r="AI29" s="56" t="n">
        <v>6.398142777260663</v>
      </c>
      <c r="AK29" s="123" t="n">
        <v>5</v>
      </c>
      <c r="AL29" t="inlineStr">
        <is>
          <t>LIPITOR</t>
        </is>
      </c>
      <c r="AM29" t="inlineStr">
        <is>
          <t>STATINS &amp; COMBOS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297</v>
      </c>
      <c r="E30" s="71" t="n">
        <v>26550.6</v>
      </c>
      <c r="F30" s="71" t="n">
        <v>18265</v>
      </c>
      <c r="G30" s="72" t="n">
        <v>89.3959595959596</v>
      </c>
      <c r="H30" s="73" t="n">
        <v>61.4983164983165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BREZTRI AEROSPHERE</t>
        </is>
      </c>
      <c r="AG30" t="inlineStr">
        <is>
          <t>LABA LAMA COMBO</t>
        </is>
      </c>
      <c r="AH30" s="122" t="n">
        <v>7028.35896996095</v>
      </c>
      <c r="AI30" s="56" t="n">
        <v>5.050863703201753</v>
      </c>
      <c r="AK30" s="123" t="n">
        <v>6</v>
      </c>
      <c r="AL30" t="inlineStr">
        <is>
          <t>AVODART</t>
        </is>
      </c>
      <c r="AM30" t="inlineStr">
        <is>
          <t>PROSTATIC HYPERTROPHY AGENTS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GEMTESA</t>
        </is>
      </c>
      <c r="AG31" t="inlineStr">
        <is>
          <t>URINARY ANTISPASMODICS &amp; OAB DRUGS</t>
        </is>
      </c>
      <c r="AH31" s="122" t="n">
        <v>6124.848440483007</v>
      </c>
      <c r="AI31" s="56" t="n">
        <v>9.116896294001295</v>
      </c>
      <c r="AK31" s="123" t="n">
        <v>7</v>
      </c>
      <c r="AL31" t="inlineStr">
        <is>
          <t>SYNTHROID</t>
        </is>
      </c>
      <c r="AM31" t="inlineStr">
        <is>
          <t>THYROID HORMONES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STIOLTO RESPIMAT</t>
        </is>
      </c>
      <c r="AG32" t="inlineStr">
        <is>
          <t>LABA LAMA COMBO</t>
        </is>
      </c>
      <c r="AH32" s="122" t="n">
        <v>5512.154474116913</v>
      </c>
      <c r="AI32" s="56" t="n">
        <v>5.050863703201753</v>
      </c>
      <c r="AK32" s="123" t="n">
        <v>8</v>
      </c>
      <c r="AL32" t="inlineStr">
        <is>
          <t>VIAGRA</t>
        </is>
      </c>
      <c r="AM32" t="inlineStr">
        <is>
          <t>IMPOTENCE AGENTS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0</v>
      </c>
      <c r="E33" s="40" t="n">
        <v>0</v>
      </c>
      <c r="F33" s="40" t="n">
        <v>0</v>
      </c>
      <c r="G33" s="41" t="n">
        <v>0</v>
      </c>
      <c r="H33" s="42" t="n">
        <v>0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V-GO 20</t>
        </is>
      </c>
      <c r="AG33" t="inlineStr">
        <is>
          <t>INSULIN ADMINISTRATION SUPPLIES</t>
        </is>
      </c>
      <c r="AH33" s="122" t="n">
        <v>4457.137198140937</v>
      </c>
      <c r="AI33" s="56" t="n">
        <v>5.377001519454669</v>
      </c>
      <c r="AK33" s="123" t="n">
        <v>9</v>
      </c>
      <c r="AL33" t="inlineStr">
        <is>
          <t>ZEPBOUND</t>
        </is>
      </c>
      <c r="AM33" t="inlineStr">
        <is>
          <t>GLP-1 ANTI-OBESITY AGENTS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0</v>
      </c>
      <c r="E34" s="51" t="n">
        <v>0</v>
      </c>
      <c r="F34" s="51" t="n">
        <v>0</v>
      </c>
      <c r="G34" s="52" t="n">
        <v>0</v>
      </c>
      <c r="H34" s="53" t="n">
        <v>0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V-GO 30</t>
        </is>
      </c>
      <c r="AG34" t="inlineStr">
        <is>
          <t>INSULIN ADMINISTRATION SUPPLIES</t>
        </is>
      </c>
      <c r="AH34" s="122" t="n">
        <v>4457.137198140937</v>
      </c>
      <c r="AI34" s="56" t="n">
        <v>5.377001519454669</v>
      </c>
      <c r="AK34" s="123" t="n">
        <v>10</v>
      </c>
      <c r="AL34" t="inlineStr">
        <is>
          <t>PREZISTA</t>
        </is>
      </c>
      <c r="AM34" t="inlineStr">
        <is>
          <t>HIV-PROTEASE INHIBITOR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0</v>
      </c>
      <c r="E35" s="61" t="n">
        <v>0</v>
      </c>
      <c r="F35" s="61" t="n">
        <v>0</v>
      </c>
      <c r="G35" s="62" t="n">
        <v>0</v>
      </c>
      <c r="H35" s="63" t="n">
        <v>0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SPIRIVA RESPIMAT</t>
        </is>
      </c>
      <c r="AG35" t="inlineStr">
        <is>
          <t>LAMA/ACH</t>
        </is>
      </c>
      <c r="AH35" s="122" t="n">
        <v>4376.717766339134</v>
      </c>
      <c r="AI35" s="56" t="n">
        <v>6.842149656268312</v>
      </c>
      <c r="AK35" s="123" t="n">
        <v>11</v>
      </c>
      <c r="AL35" t="inlineStr">
        <is>
          <t>NEXIUM</t>
        </is>
      </c>
      <c r="AM35" t="inlineStr">
        <is>
          <t>PROTON PUMP INHIBITORS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0</v>
      </c>
      <c r="E36" s="66" t="n">
        <v>0</v>
      </c>
      <c r="F36" s="66" t="n">
        <v>0</v>
      </c>
      <c r="G36" s="67" t="n">
        <v>0</v>
      </c>
      <c r="H36" s="68" t="n">
        <v>0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RHOPRESSA</t>
        </is>
      </c>
      <c r="AG36" t="inlineStr">
        <is>
          <t>OPHTHALMICS - RHO KINASE INHIBITOR &amp; COMBOS</t>
        </is>
      </c>
      <c r="AH36" s="122" t="n">
        <v>2972.175877588218</v>
      </c>
      <c r="AI36" s="56" t="n">
        <v>6.654422619106247</v>
      </c>
      <c r="AK36" s="123" t="n">
        <v>12</v>
      </c>
      <c r="AL36" t="inlineStr">
        <is>
          <t>DEXCOM G7 SENSOR</t>
        </is>
      </c>
      <c r="AM36" t="inlineStr">
        <is>
          <t>DIABETES MONITORING AND TESTING SUPPLIES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AIRSUPRA</t>
        </is>
      </c>
      <c r="AG37" t="inlineStr">
        <is>
          <t>LABA LAMA COMBO</t>
        </is>
      </c>
      <c r="AH37" s="122" t="n">
        <v>2185.612976660736</v>
      </c>
      <c r="AI37" s="56" t="n">
        <v>0</v>
      </c>
      <c r="AK37" s="123" t="n">
        <v>13</v>
      </c>
      <c r="AL37" t="inlineStr">
        <is>
          <t>XDEMVY</t>
        </is>
      </c>
      <c r="AM37" t="inlineStr">
        <is>
          <t>OPHTHALMIC ANTI-INFECTIVES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0</v>
      </c>
      <c r="E38" s="71" t="n">
        <v>0</v>
      </c>
      <c r="F38" s="71" t="n">
        <v>0</v>
      </c>
      <c r="G38" s="72" t="n">
        <v>0</v>
      </c>
      <c r="H38" s="73" t="n">
        <v>0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CREON</t>
        </is>
      </c>
      <c r="AG38" t="inlineStr">
        <is>
          <t>DIGESTIVE ENZYMES</t>
        </is>
      </c>
      <c r="AH38" s="122" t="n">
        <v>1959.848972304708</v>
      </c>
      <c r="AI38" s="56" t="n">
        <v>1.16192510318741</v>
      </c>
      <c r="AK38" s="123" t="n">
        <v>14</v>
      </c>
      <c r="AL38" t="inlineStr">
        <is>
          <t>LEXAPRO</t>
        </is>
      </c>
      <c r="AM38" t="inlineStr">
        <is>
          <t>ANTIDEPRESSANTS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PREMARIN</t>
        </is>
      </c>
      <c r="AG39" t="inlineStr">
        <is>
          <t>VAGINAL ESTROGENS</t>
        </is>
      </c>
      <c r="AH39" s="122" t="n">
        <v>1345.591307915927</v>
      </c>
      <c r="AI39" s="56" t="n">
        <v>6.381219653788129</v>
      </c>
      <c r="AK39" s="123" t="n">
        <v>15</v>
      </c>
      <c r="AL39" t="inlineStr">
        <is>
          <t>INDERAL LA</t>
        </is>
      </c>
      <c r="AM39" t="inlineStr">
        <is>
          <t>BETA BLOCKERS &amp; COMBOS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PROLIA</t>
        </is>
      </c>
      <c r="AG40" t="inlineStr">
        <is>
          <t>OSTEOPOROSIS AGENTS</t>
        </is>
      </c>
      <c r="AH40" s="122" t="n">
        <v>1220.14835071125</v>
      </c>
      <c r="AI40" s="56" t="n">
        <v>2.341363372665474</v>
      </c>
      <c r="AK40" s="123" t="n">
        <v>16</v>
      </c>
      <c r="AL40" t="inlineStr">
        <is>
          <t>QNASL</t>
        </is>
      </c>
      <c r="AM40" t="inlineStr">
        <is>
          <t>NASAL STEROIDS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138</v>
      </c>
      <c r="E41" s="40" t="n">
        <v>6168.5</v>
      </c>
      <c r="F41" s="40" t="n">
        <v>4460</v>
      </c>
      <c r="G41" s="41" t="n">
        <v>44.69927536231884</v>
      </c>
      <c r="H41" s="42" t="n">
        <v>32.31884057971015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ARNUITY ELLIPTA</t>
        </is>
      </c>
      <c r="AG41" t="inlineStr">
        <is>
          <t>INHALED CORTICOSTEROIDS (ICS)</t>
        </is>
      </c>
      <c r="AH41" s="122" t="n">
        <v>1183.583424121983</v>
      </c>
      <c r="AI41" s="56" t="n">
        <v>0</v>
      </c>
      <c r="AK41" s="123" t="n">
        <v>17</v>
      </c>
      <c r="AL41" t="inlineStr">
        <is>
          <t>MIEBO</t>
        </is>
      </c>
      <c r="AM41" t="inlineStr">
        <is>
          <t>OPHTHALMICS - MISC.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71</v>
      </c>
      <c r="E42" s="51" t="n">
        <v>8390.4</v>
      </c>
      <c r="F42" s="51" t="n">
        <v>6372</v>
      </c>
      <c r="G42" s="52" t="n">
        <v>118.1746478873239</v>
      </c>
      <c r="H42" s="53" t="n">
        <v>89.74647887323944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PAXLOVID</t>
        </is>
      </c>
      <c r="AG42" t="inlineStr">
        <is>
          <t>MISC. ANTIVIRALS</t>
        </is>
      </c>
      <c r="AH42" s="122" t="n">
        <v>866.077379193867</v>
      </c>
      <c r="AI42" s="56" t="n">
        <v>1.965467777793381</v>
      </c>
      <c r="AK42" s="123" t="n">
        <v>18</v>
      </c>
      <c r="AL42" t="inlineStr">
        <is>
          <t>COZAAR</t>
        </is>
      </c>
      <c r="AM42" t="inlineStr">
        <is>
          <t>ANGIOTENSIN II RECEPTOR ANTAGONISTS &amp; COMBOS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79</v>
      </c>
      <c r="E43" s="61" t="n">
        <v>11167.7</v>
      </c>
      <c r="F43" s="61" t="n">
        <v>6449</v>
      </c>
      <c r="G43" s="62" t="n">
        <v>141.3632911392405</v>
      </c>
      <c r="H43" s="63" t="n">
        <v>81.63291139240506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XIIDRA</t>
        </is>
      </c>
      <c r="AG43" t="inlineStr">
        <is>
          <t>OPHTHALMIC INTEGRIN ANTAGONIST</t>
        </is>
      </c>
      <c r="AH43" s="122" t="n">
        <v>796.8353056031549</v>
      </c>
      <c r="AI43" s="56" t="n">
        <v>2.350854437418025</v>
      </c>
      <c r="AK43" s="123" t="n">
        <v>19</v>
      </c>
      <c r="AL43" t="inlineStr">
        <is>
          <t>CEQUA</t>
        </is>
      </c>
      <c r="AM43" t="inlineStr">
        <is>
          <t>OPHTHALMIC IMMUNOMODULATORS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288</v>
      </c>
      <c r="E44" s="66" t="n">
        <v>25726.6</v>
      </c>
      <c r="F44" s="66" t="n">
        <v>17281</v>
      </c>
      <c r="G44" s="67" t="n">
        <v>89.32847222222222</v>
      </c>
      <c r="H44" s="68" t="n">
        <v>60.00347222222222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TOUJEO SOLOSTAR</t>
        </is>
      </c>
      <c r="AG44" s="82" t="inlineStr">
        <is>
          <t>BASAL INSULIN</t>
        </is>
      </c>
      <c r="AH44" s="125" t="n">
        <v>541.2977986495906</v>
      </c>
      <c r="AI44" s="84" t="n">
        <v>1.577600823760222</v>
      </c>
      <c r="AK44" s="126" t="n">
        <v>20</v>
      </c>
      <c r="AL44" s="86" t="inlineStr">
        <is>
          <t>VALTREX</t>
        </is>
      </c>
      <c r="AM44" s="86" t="inlineStr">
        <is>
          <t>HERPES AGENTS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9</v>
      </c>
      <c r="E45" s="61" t="n">
        <v>824</v>
      </c>
      <c r="F45" s="61" t="n">
        <v>984</v>
      </c>
      <c r="G45" s="62" t="n">
        <v>91.55555555555556</v>
      </c>
      <c r="H45" s="63" t="n">
        <v>109.3333333333333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297</v>
      </c>
      <c r="E46" s="71" t="n">
        <v>26550.6</v>
      </c>
      <c r="F46" s="71" t="n">
        <v>18265</v>
      </c>
      <c r="G46" s="72" t="n">
        <v>89.3959595959596</v>
      </c>
      <c r="H46" s="73" t="n">
        <v>61.4983164983165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87244.47624222033</v>
      </c>
      <c r="AH49" s="46" t="n">
        <v>68.10200542396778</v>
      </c>
    </row>
    <row r="50" ht="15" customHeight="1" thickBot="1">
      <c r="AE50" s="121" t="n">
        <v>2</v>
      </c>
      <c r="AF50" t="inlineStr">
        <is>
          <t>LABA LAMA COMBO</t>
        </is>
      </c>
      <c r="AG50" s="122" t="n">
        <v>26851.37325934067</v>
      </c>
      <c r="AH50" s="56" t="n">
        <v>20.20345481280701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10/26 - 09/27</t>
        </is>
      </c>
      <c r="K51" s="12" t="n"/>
      <c r="L51" s="12" t="n"/>
      <c r="M51" s="13" t="n"/>
      <c r="N51" s="14" t="n"/>
      <c r="P51" s="11" t="inlineStr">
        <is>
          <t>10/27 - 09/28</t>
        </is>
      </c>
      <c r="Q51" s="12" t="n"/>
      <c r="R51" s="12" t="n"/>
      <c r="S51" s="13" t="n"/>
      <c r="T51" s="14" t="n"/>
      <c r="V51" s="11" t="inlineStr">
        <is>
          <t>10/28 - 09/29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IMMUNOMODULATORS</t>
        </is>
      </c>
      <c r="AG51" s="122" t="n">
        <v>11575.91832093565</v>
      </c>
      <c r="AH51" s="56" t="n">
        <v>1.112753332708659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SGLT-2 INHIBITORS &amp; COMBOS</t>
        </is>
      </c>
      <c r="AG52" s="122" t="n">
        <v>10863.35226983261</v>
      </c>
      <c r="AH52" s="56" t="n">
        <v>32.70086673401217</v>
      </c>
    </row>
    <row r="53">
      <c r="B53" s="38" t="inlineStr">
        <is>
          <t>OTCs</t>
        </is>
      </c>
      <c r="D53" s="127" t="n">
        <v>4</v>
      </c>
      <c r="E53" s="128" t="n">
        <v>3</v>
      </c>
      <c r="F53" s="128" t="n">
        <v>6</v>
      </c>
      <c r="G53" s="128" t="n">
        <v>0</v>
      </c>
      <c r="H53" s="129" t="n">
        <v>13</v>
      </c>
      <c r="J53" s="127" t="n">
        <v>3.367208266425485</v>
      </c>
      <c r="K53" s="128" t="n">
        <v>2.526596826732871</v>
      </c>
      <c r="L53" s="128" t="n">
        <v>5.050972602908545</v>
      </c>
      <c r="M53" s="128" t="n">
        <v>0</v>
      </c>
      <c r="N53" s="129" t="n">
        <v>10.9447776960669</v>
      </c>
      <c r="P53" s="127" t="n">
        <v>3.18705342928946</v>
      </c>
      <c r="Q53" s="128" t="n">
        <v>2.389684032962863</v>
      </c>
      <c r="R53" s="128" t="n">
        <v>4.691096276623046</v>
      </c>
      <c r="S53" s="128" t="n">
        <v>0</v>
      </c>
      <c r="T53" s="129" t="n">
        <v>10.26783373887537</v>
      </c>
      <c r="V53" s="127" t="n">
        <v>3.065343447741625</v>
      </c>
      <c r="W53" s="128" t="n">
        <v>2.255919166465565</v>
      </c>
      <c r="X53" s="128" t="n">
        <v>4.404867691956748</v>
      </c>
      <c r="Y53" s="128" t="n">
        <v>0</v>
      </c>
      <c r="Z53" s="129" t="n">
        <v>9.726130306163938</v>
      </c>
      <c r="AE53" s="121" t="n">
        <v>5</v>
      </c>
      <c r="AF53" t="inlineStr">
        <is>
          <t>INSULIN ADMINISTRATION SUPPLIES</t>
        </is>
      </c>
      <c r="AG53" s="122" t="n">
        <v>8914.274396281873</v>
      </c>
      <c r="AH53" s="56" t="n">
        <v>10.75400303890934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URINARY ANTISPASMODICS &amp; OAB DRUGS</t>
        </is>
      </c>
      <c r="AG54" s="122" t="n">
        <v>6124.848440483007</v>
      </c>
      <c r="AH54" s="56" t="n">
        <v>9.116896294001295</v>
      </c>
    </row>
    <row r="55">
      <c r="B55" s="64" t="inlineStr">
        <is>
          <t>Vaccines</t>
        </is>
      </c>
      <c r="D55" s="130" t="n">
        <v>11</v>
      </c>
      <c r="E55" s="131" t="n">
        <v>0</v>
      </c>
      <c r="F55" s="131" t="n">
        <v>0</v>
      </c>
      <c r="G55" s="131" t="n">
        <v>0</v>
      </c>
      <c r="H55" s="132" t="n">
        <v>11</v>
      </c>
      <c r="J55" s="130" t="n">
        <v>11.00421963992369</v>
      </c>
      <c r="K55" s="131" t="n">
        <v>0</v>
      </c>
      <c r="L55" s="131" t="n">
        <v>0</v>
      </c>
      <c r="M55" s="131" t="n">
        <v>0</v>
      </c>
      <c r="N55" s="132" t="n">
        <v>11.00421963992369</v>
      </c>
      <c r="P55" s="130" t="n">
        <v>11.25327823035992</v>
      </c>
      <c r="Q55" s="131" t="n">
        <v>0</v>
      </c>
      <c r="R55" s="131" t="n">
        <v>0</v>
      </c>
      <c r="S55" s="131" t="n">
        <v>0</v>
      </c>
      <c r="T55" s="132" t="n">
        <v>11.25327823035992</v>
      </c>
      <c r="V55" s="130" t="n">
        <v>11.64231197178807</v>
      </c>
      <c r="W55" s="131" t="n">
        <v>0</v>
      </c>
      <c r="X55" s="131" t="n">
        <v>0</v>
      </c>
      <c r="Y55" s="131" t="n">
        <v>0</v>
      </c>
      <c r="Z55" s="132" t="n">
        <v>11.64231197178807</v>
      </c>
      <c r="AE55" s="121" t="n">
        <v>7</v>
      </c>
      <c r="AF55" t="inlineStr">
        <is>
          <t>LAMA/ACH</t>
        </is>
      </c>
      <c r="AG55" s="122" t="n">
        <v>4376.717766339134</v>
      </c>
      <c r="AH55" s="56" t="n">
        <v>6.842149656268312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OPHTHALMICS - RHO KINASE INHIBITOR &amp; COMBOS</t>
        </is>
      </c>
      <c r="AG56" s="122" t="n">
        <v>2972.175877588218</v>
      </c>
      <c r="AH56" s="56" t="n">
        <v>6.654422619106247</v>
      </c>
    </row>
    <row r="57">
      <c r="B57" s="64" t="inlineStr">
        <is>
          <t>MSBs</t>
        </is>
      </c>
      <c r="D57" s="130" t="n">
        <v>68</v>
      </c>
      <c r="E57" s="131" t="n">
        <v>70</v>
      </c>
      <c r="F57" s="131" t="n">
        <v>85</v>
      </c>
      <c r="G57" s="131" t="n">
        <v>0</v>
      </c>
      <c r="H57" s="132" t="n">
        <v>223</v>
      </c>
      <c r="J57" s="130" t="n">
        <v>63.51701400863277</v>
      </c>
      <c r="K57" s="131" t="n">
        <v>55.26075949714094</v>
      </c>
      <c r="L57" s="131" t="n">
        <v>70.05762760070749</v>
      </c>
      <c r="M57" s="131" t="n">
        <v>0</v>
      </c>
      <c r="N57" s="132" t="n">
        <v>188.8354011064812</v>
      </c>
      <c r="P57" s="130" t="n">
        <v>62.84620709537454</v>
      </c>
      <c r="Q57" s="131" t="n">
        <v>53.9972686982864</v>
      </c>
      <c r="R57" s="131" t="n">
        <v>67.54614245337035</v>
      </c>
      <c r="S57" s="131" t="n">
        <v>0</v>
      </c>
      <c r="T57" s="132" t="n">
        <v>184.3896182470313</v>
      </c>
      <c r="V57" s="130" t="n">
        <v>59.12606311326168</v>
      </c>
      <c r="W57" s="131" t="n">
        <v>54.54301454127601</v>
      </c>
      <c r="X57" s="131" t="n">
        <v>66.06395772949693</v>
      </c>
      <c r="Y57" s="131" t="n">
        <v>0</v>
      </c>
      <c r="Z57" s="132" t="n">
        <v>179.7330353840346</v>
      </c>
      <c r="AE57" s="121" t="n">
        <v>9</v>
      </c>
      <c r="AF57" t="inlineStr">
        <is>
          <t>DIGESTIVE ENZYMES</t>
        </is>
      </c>
      <c r="AG57" s="122" t="n">
        <v>1959.848972304708</v>
      </c>
      <c r="AH57" s="56" t="n">
        <v>1.16192510318741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VAGINAL ESTROGENS</t>
        </is>
      </c>
      <c r="AG58" s="122" t="n">
        <v>1345.591307915927</v>
      </c>
      <c r="AH58" s="56" t="n">
        <v>6.381219653788129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16</v>
      </c>
      <c r="H59" s="132" t="n">
        <v>16</v>
      </c>
      <c r="J59" s="130" t="n">
        <v>0</v>
      </c>
      <c r="K59" s="131" t="n">
        <v>0</v>
      </c>
      <c r="L59" s="131" t="n">
        <v>0</v>
      </c>
      <c r="M59" s="131" t="n">
        <v>17.09928479257696</v>
      </c>
      <c r="N59" s="132" t="n">
        <v>17.09928479257696</v>
      </c>
      <c r="P59" s="130" t="n">
        <v>0</v>
      </c>
      <c r="Q59" s="131" t="n">
        <v>0</v>
      </c>
      <c r="R59" s="131" t="n">
        <v>0</v>
      </c>
      <c r="S59" s="131" t="n">
        <v>16.70894513045657</v>
      </c>
      <c r="T59" s="132" t="n">
        <v>16.70894513045657</v>
      </c>
      <c r="V59" s="130" t="n">
        <v>0</v>
      </c>
      <c r="W59" s="131" t="n">
        <v>0</v>
      </c>
      <c r="X59" s="131" t="n">
        <v>0</v>
      </c>
      <c r="Y59" s="131" t="n">
        <v>12.09419802558369</v>
      </c>
      <c r="Z59" s="132" t="n">
        <v>12.09419802558369</v>
      </c>
      <c r="AE59" s="121" t="n">
        <v>11</v>
      </c>
      <c r="AF59" t="inlineStr">
        <is>
          <t>OSTEOPOROSIS AGENTS</t>
        </is>
      </c>
      <c r="AG59" s="122" t="n">
        <v>1220.14835071125</v>
      </c>
      <c r="AH59" s="56" t="n">
        <v>2.341363372665474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INHALED CORTICOSTEROIDS (ICS)</t>
        </is>
      </c>
      <c r="AG60" s="122" t="n">
        <v>1183.583424121983</v>
      </c>
      <c r="AH60" s="56" t="n">
        <v>0</v>
      </c>
    </row>
    <row r="61">
      <c r="B61" s="64" t="inlineStr">
        <is>
          <t>Formulary Exclusions</t>
        </is>
      </c>
      <c r="D61" s="130" t="n">
        <v>35</v>
      </c>
      <c r="E61" s="131" t="n">
        <v>14</v>
      </c>
      <c r="F61" s="131" t="n">
        <v>23</v>
      </c>
      <c r="G61" s="131" t="n">
        <v>0</v>
      </c>
      <c r="H61" s="132" t="n">
        <v>72</v>
      </c>
      <c r="J61" s="130" t="n">
        <v>33.80888039188297</v>
      </c>
      <c r="K61" s="131" t="n">
        <v>11.56721622874409</v>
      </c>
      <c r="L61" s="131" t="n">
        <v>27.05108616001349</v>
      </c>
      <c r="M61" s="131" t="n">
        <v>0</v>
      </c>
      <c r="N61" s="132" t="n">
        <v>72.42718278064055</v>
      </c>
      <c r="P61" s="130" t="n">
        <v>34.38023379828338</v>
      </c>
      <c r="Q61" s="131" t="n">
        <v>11.88171813551708</v>
      </c>
      <c r="R61" s="131" t="n">
        <v>28.00195246753046</v>
      </c>
      <c r="S61" s="131" t="n">
        <v>0</v>
      </c>
      <c r="T61" s="132" t="n">
        <v>74.26390440133092</v>
      </c>
      <c r="V61" s="130" t="n">
        <v>35.41500949077938</v>
      </c>
      <c r="W61" s="131" t="n">
        <v>12.10617120330804</v>
      </c>
      <c r="X61" s="131" t="n">
        <v>25.76138345852207</v>
      </c>
      <c r="Y61" s="131" t="n">
        <v>0</v>
      </c>
      <c r="Z61" s="132" t="n">
        <v>73.2825641526095</v>
      </c>
      <c r="AE61" s="121" t="n">
        <v>13</v>
      </c>
      <c r="AF61" t="inlineStr">
        <is>
          <t>BASAL INSULIN</t>
        </is>
      </c>
      <c r="AG61" s="122" t="n">
        <v>1002.353975250877</v>
      </c>
      <c r="AH61" s="56" t="n">
        <v>4.732802471280666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MISC. ANTIVIRALS</t>
        </is>
      </c>
      <c r="AG62" s="122" t="n">
        <v>866.077379193867</v>
      </c>
      <c r="AH62" s="56" t="n">
        <v>1.965467777793381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9</v>
      </c>
      <c r="H63" s="132" t="n">
        <v>9</v>
      </c>
      <c r="J63" s="130" t="n">
        <v>2.58953491341282</v>
      </c>
      <c r="K63" s="131" t="n">
        <v>0.4725356733129189</v>
      </c>
      <c r="L63" s="131" t="n">
        <v>0.2078802046455621</v>
      </c>
      <c r="M63" s="131" t="n">
        <v>7.308333158315506</v>
      </c>
      <c r="N63" s="132" t="n">
        <v>10.57828394968681</v>
      </c>
      <c r="P63" s="130" t="n">
        <v>2.08552136938691</v>
      </c>
      <c r="Q63" s="131" t="n">
        <v>0.1405100237659127</v>
      </c>
      <c r="R63" s="131" t="n">
        <v>0.08133752942403305</v>
      </c>
      <c r="S63" s="131" t="n">
        <v>6.991768917026942</v>
      </c>
      <c r="T63" s="132" t="n">
        <v>9.299137839603798</v>
      </c>
      <c r="V63" s="130" t="n">
        <v>1.437311782396435</v>
      </c>
      <c r="W63" s="131" t="n">
        <v>0.1196840743637466</v>
      </c>
      <c r="X63" s="131" t="n">
        <v>0.07925896025578538</v>
      </c>
      <c r="Y63" s="131" t="n">
        <v>6.012182320226874</v>
      </c>
      <c r="Z63" s="132" t="n">
        <v>7.648437137242841</v>
      </c>
      <c r="AE63" s="121" t="n">
        <v>15</v>
      </c>
      <c r="AF63" t="inlineStr">
        <is>
          <t>OPHTHALMIC INTEGRIN ANTAGONIST</t>
        </is>
      </c>
      <c r="AG63" s="122" t="n">
        <v>796.8353056031549</v>
      </c>
      <c r="AH63" s="56" t="n">
        <v>2.350854437418025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9</v>
      </c>
      <c r="H64" s="135" t="n">
        <v>9</v>
      </c>
      <c r="J64" s="133" t="n">
        <v>0</v>
      </c>
      <c r="K64" s="134" t="n">
        <v>0</v>
      </c>
      <c r="L64" s="134" t="n">
        <v>0</v>
      </c>
      <c r="M64" s="134" t="n">
        <v>7.196331036924444</v>
      </c>
      <c r="N64" s="135" t="n">
        <v>7.196331036924444</v>
      </c>
      <c r="P64" s="133" t="n">
        <v>0</v>
      </c>
      <c r="Q64" s="134" t="n">
        <v>0</v>
      </c>
      <c r="R64" s="134" t="n">
        <v>0</v>
      </c>
      <c r="S64" s="134" t="n">
        <v>6.877622740410126</v>
      </c>
      <c r="T64" s="135" t="n">
        <v>6.877622740410126</v>
      </c>
      <c r="V64" s="133" t="n">
        <v>0</v>
      </c>
      <c r="W64" s="134" t="n">
        <v>0</v>
      </c>
      <c r="X64" s="134" t="n">
        <v>0</v>
      </c>
      <c r="Y64" s="134" t="n">
        <v>5.894981001423753</v>
      </c>
      <c r="Z64" s="135" t="n">
        <v>5.894981001423753</v>
      </c>
      <c r="AE64" s="121" t="n">
        <v>16</v>
      </c>
      <c r="AF64" t="inlineStr">
        <is>
          <t>ATYPICAL ANTIPSYCHOTICS</t>
        </is>
      </c>
      <c r="AG64" s="122" t="n">
        <v>250.9367406932567</v>
      </c>
      <c r="AH64" s="56" t="n">
        <v>0.5801038230777111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RAPID ACTING</t>
        </is>
      </c>
      <c r="AG65" s="122" t="n">
        <v>74.306995134326</v>
      </c>
      <c r="AH65" s="56" t="n">
        <v>3.944002059400555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ONCOLOGY</t>
        </is>
      </c>
      <c r="AG66" s="122" t="n">
        <v>0</v>
      </c>
      <c r="AH66" s="56" t="n">
        <v>0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2.893467696716072</v>
      </c>
      <c r="K67" s="140" t="n">
        <v>3.224075867332797</v>
      </c>
      <c r="L67" s="140" t="n">
        <v>5.423006045073503</v>
      </c>
      <c r="M67" s="140" t="n">
        <v>3.399871846615792</v>
      </c>
      <c r="N67" s="141" t="n">
        <v>14.94042145573816</v>
      </c>
      <c r="P67" s="139" t="n">
        <v>5.57556069724153</v>
      </c>
      <c r="Q67" s="140" t="n">
        <v>4.527875195047195</v>
      </c>
      <c r="R67" s="140" t="n">
        <v>5.836822602345891</v>
      </c>
      <c r="S67" s="140" t="n">
        <v>3.458620251626422</v>
      </c>
      <c r="T67" s="141" t="n">
        <v>19.39887874626104</v>
      </c>
      <c r="V67" s="139" t="n">
        <v>9.73976273435381</v>
      </c>
      <c r="W67" s="140" t="n">
        <v>5.762176317484298</v>
      </c>
      <c r="X67" s="140" t="n">
        <v>7.176537158237969</v>
      </c>
      <c r="Y67" s="140" t="n">
        <v>3.60628321038739</v>
      </c>
      <c r="Z67" s="141" t="n">
        <v>26.28475942046347</v>
      </c>
      <c r="AE67" s="121" t="n">
        <v>19</v>
      </c>
      <c r="AG67" s="122" t="n"/>
      <c r="AH67" s="56" t="n"/>
    </row>
    <row r="68" ht="15.6" customHeight="1" thickBot="1" thickTop="1">
      <c r="B68" s="69" t="inlineStr">
        <is>
          <t>Total</t>
        </is>
      </c>
      <c r="D68" s="142" t="n">
        <v>118</v>
      </c>
      <c r="E68" s="143" t="n">
        <v>87</v>
      </c>
      <c r="F68" s="143" t="n">
        <v>114</v>
      </c>
      <c r="G68" s="143" t="n">
        <v>25</v>
      </c>
      <c r="H68" s="144" t="n">
        <v>353</v>
      </c>
      <c r="J68" s="142" t="n">
        <v>117.1803249169938</v>
      </c>
      <c r="K68" s="143" t="n">
        <v>73.05118409326361</v>
      </c>
      <c r="L68" s="143" t="n">
        <v>107.7905726133486</v>
      </c>
      <c r="M68" s="143" t="n">
        <v>27.80748979750825</v>
      </c>
      <c r="N68" s="144" t="n">
        <v>333.0259024580387</v>
      </c>
      <c r="P68" s="142" t="n">
        <v>119.3278546199357</v>
      </c>
      <c r="Q68" s="143" t="n">
        <v>72.93705608557946</v>
      </c>
      <c r="R68" s="143" t="n">
        <v>106.1573513292938</v>
      </c>
      <c r="S68" s="143" t="n">
        <v>27.15933429910994</v>
      </c>
      <c r="T68" s="144" t="n">
        <v>332.4592190743291</v>
      </c>
      <c r="V68" s="142" t="n">
        <v>120.425802540321</v>
      </c>
      <c r="W68" s="143" t="n">
        <v>74.78696530289767</v>
      </c>
      <c r="X68" s="143" t="n">
        <v>103.4860049984695</v>
      </c>
      <c r="Y68" s="143" t="n">
        <v>21.71266355619795</v>
      </c>
      <c r="Z68" s="144" t="n">
        <v>326.3064173993099</v>
      </c>
      <c r="AE68" s="124" t="n">
        <v>20</v>
      </c>
      <c r="AF68" s="82" t="n"/>
      <c r="AG68" s="125" t="n"/>
      <c r="AH68" s="84" t="n"/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4.098418325321437</v>
      </c>
      <c r="K75" s="131" t="n">
        <v>14.78356462884474</v>
      </c>
      <c r="L75" s="131" t="n">
        <v>13.61739274799116</v>
      </c>
      <c r="M75" s="131" t="n">
        <v>0</v>
      </c>
      <c r="N75" s="132" t="n">
        <v>32.49937570215734</v>
      </c>
      <c r="P75" s="130" t="n">
        <v>6.055733234399905</v>
      </c>
      <c r="Q75" s="131" t="n">
        <v>18.96397290146506</v>
      </c>
      <c r="R75" s="131" t="n">
        <v>16.07091998078703</v>
      </c>
      <c r="S75" s="131" t="n">
        <v>0</v>
      </c>
      <c r="T75" s="132" t="n">
        <v>41.09062611665199</v>
      </c>
      <c r="V75" s="130" t="n">
        <v>11.49271994395196</v>
      </c>
      <c r="W75" s="131" t="n">
        <v>21.20603144275259</v>
      </c>
      <c r="X75" s="131" t="n">
        <v>18.14934832521764</v>
      </c>
      <c r="Y75" s="131" t="n">
        <v>0</v>
      </c>
      <c r="Z75" s="132" t="n">
        <v>50.84809971192219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1.220807223584646</v>
      </c>
      <c r="N77" s="132" t="n">
        <v>1.220807223584646</v>
      </c>
      <c r="P77" s="130" t="n">
        <v>0</v>
      </c>
      <c r="Q77" s="131" t="n">
        <v>0</v>
      </c>
      <c r="R77" s="131" t="n">
        <v>0</v>
      </c>
      <c r="S77" s="131" t="n">
        <v>2.635178875703777</v>
      </c>
      <c r="T77" s="132" t="n">
        <v>2.635178875703777</v>
      </c>
      <c r="V77" s="130" t="n">
        <v>0</v>
      </c>
      <c r="W77" s="131" t="n">
        <v>0</v>
      </c>
      <c r="X77" s="131" t="n">
        <v>0</v>
      </c>
      <c r="Y77" s="131" t="n">
        <v>8.417156430235023</v>
      </c>
      <c r="Z77" s="132" t="n">
        <v>8.417156430235023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3.225990852581615</v>
      </c>
      <c r="Y79" s="131" t="n">
        <v>0</v>
      </c>
      <c r="Z79" s="132" t="n">
        <v>3.225990852581615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1.757711967973709</v>
      </c>
      <c r="N81" s="132" t="n">
        <v>1.757711967973709</v>
      </c>
      <c r="P81" s="130" t="n">
        <v>0</v>
      </c>
      <c r="Q81" s="131" t="n">
        <v>0</v>
      </c>
      <c r="R81" s="131" t="n">
        <v>0</v>
      </c>
      <c r="S81" s="131" t="n">
        <v>2.015925187910772</v>
      </c>
      <c r="T81" s="132" t="n">
        <v>2.015925187910772</v>
      </c>
      <c r="V81" s="130" t="n">
        <v>0</v>
      </c>
      <c r="W81" s="131" t="n">
        <v>0</v>
      </c>
      <c r="X81" s="131" t="n">
        <v>0</v>
      </c>
      <c r="Y81" s="131" t="n">
        <v>2.974416967432209</v>
      </c>
      <c r="Z81" s="132" t="n">
        <v>2.974416967432209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1.757711967973708</v>
      </c>
      <c r="N82" s="135" t="n">
        <v>1.757711967973708</v>
      </c>
      <c r="P82" s="133" t="n">
        <v>0</v>
      </c>
      <c r="Q82" s="134" t="n">
        <v>0</v>
      </c>
      <c r="R82" s="134" t="n">
        <v>0</v>
      </c>
      <c r="S82" s="134" t="n">
        <v>2.015925187910772</v>
      </c>
      <c r="T82" s="135" t="n">
        <v>2.015925187910772</v>
      </c>
      <c r="V82" s="133" t="n">
        <v>0</v>
      </c>
      <c r="W82" s="134" t="n">
        <v>0</v>
      </c>
      <c r="X82" s="134" t="n">
        <v>0</v>
      </c>
      <c r="Y82" s="134" t="n">
        <v>2.974416967432209</v>
      </c>
      <c r="Z82" s="135" t="n">
        <v>2.974416967432209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11.44832559408679</v>
      </c>
      <c r="K85" s="140" t="n">
        <v>12.12535923748932</v>
      </c>
      <c r="L85" s="140" t="n">
        <v>2.680791333554108</v>
      </c>
      <c r="M85" s="140" t="n">
        <v>2.402670330840043</v>
      </c>
      <c r="N85" s="141" t="n">
        <v>28.65714649597026</v>
      </c>
      <c r="P85" s="139" t="n">
        <v>47.89703212836737</v>
      </c>
      <c r="Q85" s="140" t="n">
        <v>30.2573094073075</v>
      </c>
      <c r="R85" s="140" t="n">
        <v>12.13391549914418</v>
      </c>
      <c r="S85" s="140" t="n">
        <v>2.26227875244484</v>
      </c>
      <c r="T85" s="141" t="n">
        <v>92.5505357872639</v>
      </c>
      <c r="V85" s="139" t="n">
        <v>85.44634092584513</v>
      </c>
      <c r="W85" s="140" t="n">
        <v>46.07117141689103</v>
      </c>
      <c r="X85" s="140" t="n">
        <v>22.36171757360467</v>
      </c>
      <c r="Y85" s="140" t="n">
        <v>2.06062591633851</v>
      </c>
      <c r="Z85" s="141" t="n">
        <v>155.9398558326793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15.54674391940823</v>
      </c>
      <c r="K86" s="143" t="n">
        <v>26.90892386633406</v>
      </c>
      <c r="L86" s="143" t="n">
        <v>16.29818408154527</v>
      </c>
      <c r="M86" s="143" t="n">
        <v>5.381189522398397</v>
      </c>
      <c r="N86" s="144" t="n">
        <v>65.89275335765966</v>
      </c>
      <c r="P86" s="142" t="n">
        <v>53.95276536276727</v>
      </c>
      <c r="Q86" s="143" t="n">
        <v>49.22128230877256</v>
      </c>
      <c r="R86" s="143" t="n">
        <v>28.20483547993121</v>
      </c>
      <c r="S86" s="143" t="n">
        <v>6.913382816059389</v>
      </c>
      <c r="T86" s="144" t="n">
        <v>140.3081911554412</v>
      </c>
      <c r="V86" s="142" t="n">
        <v>96.93906086979709</v>
      </c>
      <c r="W86" s="143" t="n">
        <v>67.27720285964361</v>
      </c>
      <c r="X86" s="143" t="n">
        <v>43.73705675140393</v>
      </c>
      <c r="Y86" s="143" t="n">
        <v>13.45219931400574</v>
      </c>
      <c r="Z86" s="144" t="n">
        <v>224.3799367622826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4</v>
      </c>
      <c r="E89" s="128" t="n">
        <v>3</v>
      </c>
      <c r="F89" s="128" t="n">
        <v>6</v>
      </c>
      <c r="G89" s="128" t="n">
        <v>0</v>
      </c>
      <c r="H89" s="129" t="n">
        <v>13</v>
      </c>
      <c r="J89" s="127" t="n">
        <v>3.367208266425485</v>
      </c>
      <c r="K89" s="128" t="n">
        <v>2.526596826732871</v>
      </c>
      <c r="L89" s="128" t="n">
        <v>5.050972602908545</v>
      </c>
      <c r="M89" s="128" t="n">
        <v>0</v>
      </c>
      <c r="N89" s="129" t="n">
        <v>10.9447776960669</v>
      </c>
      <c r="P89" s="127" t="n">
        <v>3.18705342928946</v>
      </c>
      <c r="Q89" s="128" t="n">
        <v>2.389684032962863</v>
      </c>
      <c r="R89" s="128" t="n">
        <v>4.691096276623046</v>
      </c>
      <c r="S89" s="128" t="n">
        <v>0</v>
      </c>
      <c r="T89" s="129" t="n">
        <v>10.26783373887537</v>
      </c>
      <c r="V89" s="127" t="n">
        <v>3.065343447741625</v>
      </c>
      <c r="W89" s="128" t="n">
        <v>2.255919166465565</v>
      </c>
      <c r="X89" s="128" t="n">
        <v>4.404867691956748</v>
      </c>
      <c r="Y89" s="128" t="n">
        <v>0</v>
      </c>
      <c r="Z89" s="129" t="n">
        <v>9.726130306163938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11</v>
      </c>
      <c r="E91" s="131" t="n">
        <v>0</v>
      </c>
      <c r="F91" s="131" t="n">
        <v>0</v>
      </c>
      <c r="G91" s="131" t="n">
        <v>0</v>
      </c>
      <c r="H91" s="132" t="n">
        <v>11</v>
      </c>
      <c r="J91" s="130" t="n">
        <v>11.00421963992369</v>
      </c>
      <c r="K91" s="131" t="n">
        <v>0</v>
      </c>
      <c r="L91" s="131" t="n">
        <v>0</v>
      </c>
      <c r="M91" s="131" t="n">
        <v>0</v>
      </c>
      <c r="N91" s="132" t="n">
        <v>11.00421963992369</v>
      </c>
      <c r="P91" s="130" t="n">
        <v>11.25327823035992</v>
      </c>
      <c r="Q91" s="131" t="n">
        <v>0</v>
      </c>
      <c r="R91" s="131" t="n">
        <v>0</v>
      </c>
      <c r="S91" s="131" t="n">
        <v>0</v>
      </c>
      <c r="T91" s="132" t="n">
        <v>11.25327823035992</v>
      </c>
      <c r="V91" s="130" t="n">
        <v>11.64231197178807</v>
      </c>
      <c r="W91" s="131" t="n">
        <v>0</v>
      </c>
      <c r="X91" s="131" t="n">
        <v>0</v>
      </c>
      <c r="Y91" s="131" t="n">
        <v>0</v>
      </c>
      <c r="Z91" s="132" t="n">
        <v>11.64231197178807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68</v>
      </c>
      <c r="E93" s="131" t="n">
        <v>70</v>
      </c>
      <c r="F93" s="131" t="n">
        <v>85</v>
      </c>
      <c r="G93" s="131" t="n">
        <v>0</v>
      </c>
      <c r="H93" s="132" t="n">
        <v>223</v>
      </c>
      <c r="J93" s="130" t="n">
        <v>67.6154323339542</v>
      </c>
      <c r="K93" s="131" t="n">
        <v>70.04432412598568</v>
      </c>
      <c r="L93" s="131" t="n">
        <v>83.67502034869865</v>
      </c>
      <c r="M93" s="131" t="n">
        <v>0</v>
      </c>
      <c r="N93" s="132" t="n">
        <v>221.3347768086385</v>
      </c>
      <c r="P93" s="130" t="n">
        <v>68.90194032977445</v>
      </c>
      <c r="Q93" s="131" t="n">
        <v>72.96124159975146</v>
      </c>
      <c r="R93" s="131" t="n">
        <v>83.61706243415738</v>
      </c>
      <c r="S93" s="131" t="n">
        <v>0</v>
      </c>
      <c r="T93" s="132" t="n">
        <v>225.4802443636833</v>
      </c>
      <c r="V93" s="130" t="n">
        <v>70.61878305721363</v>
      </c>
      <c r="W93" s="131" t="n">
        <v>75.7490459840286</v>
      </c>
      <c r="X93" s="131" t="n">
        <v>84.21330605471458</v>
      </c>
      <c r="Y93" s="131" t="n">
        <v>0</v>
      </c>
      <c r="Z93" s="132" t="n">
        <v>230.5811350959568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16</v>
      </c>
      <c r="H95" s="132" t="n">
        <v>16</v>
      </c>
      <c r="J95" s="130" t="n">
        <v>0</v>
      </c>
      <c r="K95" s="131" t="n">
        <v>0</v>
      </c>
      <c r="L95" s="131" t="n">
        <v>0</v>
      </c>
      <c r="M95" s="131" t="n">
        <v>18.3200920161616</v>
      </c>
      <c r="N95" s="132" t="n">
        <v>18.3200920161616</v>
      </c>
      <c r="P95" s="130" t="n">
        <v>0</v>
      </c>
      <c r="Q95" s="131" t="n">
        <v>0</v>
      </c>
      <c r="R95" s="131" t="n">
        <v>0</v>
      </c>
      <c r="S95" s="131" t="n">
        <v>19.34412400616035</v>
      </c>
      <c r="T95" s="132" t="n">
        <v>19.34412400616035</v>
      </c>
      <c r="V95" s="130" t="n">
        <v>0</v>
      </c>
      <c r="W95" s="131" t="n">
        <v>0</v>
      </c>
      <c r="X95" s="131" t="n">
        <v>0</v>
      </c>
      <c r="Y95" s="131" t="n">
        <v>20.51135445581871</v>
      </c>
      <c r="Z95" s="132" t="n">
        <v>20.51135445581871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35</v>
      </c>
      <c r="E97" s="131" t="n">
        <v>14</v>
      </c>
      <c r="F97" s="131" t="n">
        <v>23</v>
      </c>
      <c r="G97" s="131" t="n">
        <v>0</v>
      </c>
      <c r="H97" s="132" t="n">
        <v>72</v>
      </c>
      <c r="J97" s="130" t="n">
        <v>33.80888039188297</v>
      </c>
      <c r="K97" s="131" t="n">
        <v>11.56721622874409</v>
      </c>
      <c r="L97" s="131" t="n">
        <v>27.05108616001349</v>
      </c>
      <c r="M97" s="131" t="n">
        <v>0</v>
      </c>
      <c r="N97" s="132" t="n">
        <v>72.42718278064055</v>
      </c>
      <c r="P97" s="130" t="n">
        <v>34.38023379828338</v>
      </c>
      <c r="Q97" s="131" t="n">
        <v>11.88171813551708</v>
      </c>
      <c r="R97" s="131" t="n">
        <v>28.00195246753046</v>
      </c>
      <c r="S97" s="131" t="n">
        <v>0</v>
      </c>
      <c r="T97" s="132" t="n">
        <v>74.26390440133092</v>
      </c>
      <c r="V97" s="130" t="n">
        <v>35.41500949077938</v>
      </c>
      <c r="W97" s="131" t="n">
        <v>12.10617120330804</v>
      </c>
      <c r="X97" s="131" t="n">
        <v>28.98737431110369</v>
      </c>
      <c r="Y97" s="131" t="n">
        <v>0</v>
      </c>
      <c r="Z97" s="132" t="n">
        <v>76.50855500519111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9</v>
      </c>
      <c r="H99" s="132" t="n">
        <v>9</v>
      </c>
      <c r="J99" s="130" t="n">
        <v>2.58953491341282</v>
      </c>
      <c r="K99" s="131" t="n">
        <v>0.4725356733129189</v>
      </c>
      <c r="L99" s="131" t="n">
        <v>0.2078802046455621</v>
      </c>
      <c r="M99" s="131" t="n">
        <v>9.066045126289218</v>
      </c>
      <c r="N99" s="132" t="n">
        <v>12.33599591766052</v>
      </c>
      <c r="P99" s="130" t="n">
        <v>2.085521369386896</v>
      </c>
      <c r="Q99" s="131" t="n">
        <v>0.1405100237659127</v>
      </c>
      <c r="R99" s="131" t="n">
        <v>0.08133752942404726</v>
      </c>
      <c r="S99" s="131" t="n">
        <v>9.007694104937713</v>
      </c>
      <c r="T99" s="132" t="n">
        <v>11.31506302751457</v>
      </c>
      <c r="V99" s="130" t="n">
        <v>1.437311782396421</v>
      </c>
      <c r="W99" s="131" t="n">
        <v>0.1196840743637608</v>
      </c>
      <c r="X99" s="131" t="n">
        <v>0.07925896025577117</v>
      </c>
      <c r="Y99" s="131" t="n">
        <v>8.986599287659079</v>
      </c>
      <c r="Z99" s="132" t="n">
        <v>10.62285410467503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9</v>
      </c>
      <c r="H100" s="135" t="n">
        <v>9</v>
      </c>
      <c r="J100" s="133" t="n">
        <v>0</v>
      </c>
      <c r="K100" s="134" t="n">
        <v>0</v>
      </c>
      <c r="L100" s="134" t="n">
        <v>0</v>
      </c>
      <c r="M100" s="134" t="n">
        <v>8.954043004898152</v>
      </c>
      <c r="N100" s="135" t="n">
        <v>8.954043004898152</v>
      </c>
      <c r="P100" s="133" t="n">
        <v>0</v>
      </c>
      <c r="Q100" s="134" t="n">
        <v>0</v>
      </c>
      <c r="R100" s="134" t="n">
        <v>0</v>
      </c>
      <c r="S100" s="134" t="n">
        <v>8.893547928320899</v>
      </c>
      <c r="T100" s="135" t="n">
        <v>8.893547928320899</v>
      </c>
      <c r="V100" s="133" t="n">
        <v>0</v>
      </c>
      <c r="W100" s="134" t="n">
        <v>0</v>
      </c>
      <c r="X100" s="134" t="n">
        <v>0</v>
      </c>
      <c r="Y100" s="134" t="n">
        <v>8.869397968855962</v>
      </c>
      <c r="Z100" s="135" t="n">
        <v>8.869397968855962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14.34179329080286</v>
      </c>
      <c r="K103" s="140" t="n">
        <v>15.34943510482212</v>
      </c>
      <c r="L103" s="140" t="n">
        <v>8.103797378627611</v>
      </c>
      <c r="M103" s="140" t="n">
        <v>5.802542177455835</v>
      </c>
      <c r="N103" s="141" t="n">
        <v>43.59756795170842</v>
      </c>
      <c r="P103" s="139" t="n">
        <v>53.4725928256089</v>
      </c>
      <c r="Q103" s="140" t="n">
        <v>34.7851846023547</v>
      </c>
      <c r="R103" s="140" t="n">
        <v>17.97073810149007</v>
      </c>
      <c r="S103" s="140" t="n">
        <v>5.720899004071262</v>
      </c>
      <c r="T103" s="141" t="n">
        <v>111.9494145335249</v>
      </c>
      <c r="V103" s="139" t="n">
        <v>95.18610366019894</v>
      </c>
      <c r="W103" s="140" t="n">
        <v>51.83334773437532</v>
      </c>
      <c r="X103" s="140" t="n">
        <v>29.53825473184264</v>
      </c>
      <c r="Y103" s="140" t="n">
        <v>5.6669091267259</v>
      </c>
      <c r="Z103" s="141" t="n">
        <v>182.2246152531428</v>
      </c>
    </row>
    <row r="104" ht="15.6" customHeight="1" thickBot="1" thickTop="1">
      <c r="B104" s="69" t="inlineStr">
        <is>
          <t>Total</t>
        </is>
      </c>
      <c r="D104" s="142" t="n">
        <v>118</v>
      </c>
      <c r="E104" s="143" t="n">
        <v>87</v>
      </c>
      <c r="F104" s="143" t="n">
        <v>114</v>
      </c>
      <c r="G104" s="143" t="n">
        <v>25</v>
      </c>
      <c r="H104" s="144" t="n">
        <v>353</v>
      </c>
      <c r="J104" s="142" t="n">
        <v>132.727068836402</v>
      </c>
      <c r="K104" s="143" t="n">
        <v>99.96010795959768</v>
      </c>
      <c r="L104" s="143" t="n">
        <v>124.0887566948939</v>
      </c>
      <c r="M104" s="143" t="n">
        <v>33.18867931990665</v>
      </c>
      <c r="N104" s="144" t="n">
        <v>398.9186558156984</v>
      </c>
      <c r="P104" s="142" t="n">
        <v>173.280619982703</v>
      </c>
      <c r="Q104" s="143" t="n">
        <v>122.158338394352</v>
      </c>
      <c r="R104" s="143" t="n">
        <v>134.362186809225</v>
      </c>
      <c r="S104" s="143" t="n">
        <v>34.07271711516933</v>
      </c>
      <c r="T104" s="144" t="n">
        <v>472.7674102297703</v>
      </c>
      <c r="V104" s="142" t="n">
        <v>217.3648634101181</v>
      </c>
      <c r="W104" s="143" t="n">
        <v>142.0641681625413</v>
      </c>
      <c r="X104" s="143" t="n">
        <v>147.2230617498734</v>
      </c>
      <c r="Y104" s="143" t="n">
        <v>35.16486287020369</v>
      </c>
      <c r="Z104" s="144" t="n">
        <v>550.6863541615924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650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Health Delegates Amwins Coast College Rebate Only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10/01/2024</t>
        </is>
      </c>
      <c r="AD17" s="4" t="n"/>
      <c r="AE17" s="4" t="n"/>
      <c r="AF17" s="6" t="n">
        <v>2030</v>
      </c>
    </row>
    <row r="18">
      <c r="B18" s="4" t="n"/>
      <c r="C18" s="4" t="inlineStr">
        <is>
          <t>End Date:</t>
        </is>
      </c>
      <c r="D18" s="116" t="inlineStr">
        <is>
          <t>09/30/2025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2030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138</v>
      </c>
      <c r="E25" s="40" t="n">
        <v>6168.5</v>
      </c>
      <c r="F25" s="40" t="n">
        <v>4460</v>
      </c>
      <c r="G25" s="41" t="n">
        <v>44.69927536231884</v>
      </c>
      <c r="H25" s="42" t="n">
        <v>32.31884057971015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97264.73438140603</v>
      </c>
      <c r="AI25" s="46" t="n">
        <v>73.90391183428737</v>
      </c>
      <c r="AK25" s="120" t="n">
        <v>1</v>
      </c>
      <c r="AL25" s="44" t="inlineStr">
        <is>
          <t>JAKAFI</t>
        </is>
      </c>
      <c r="AM25" s="44" t="inlineStr">
        <is>
          <t>ONCOLOGY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71</v>
      </c>
      <c r="E26" s="51" t="n">
        <v>8390.4</v>
      </c>
      <c r="F26" s="51" t="n">
        <v>6372</v>
      </c>
      <c r="G26" s="52" t="n">
        <v>118.1746478873239</v>
      </c>
      <c r="H26" s="53" t="n">
        <v>89.74647887323944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JARDIANCE</t>
        </is>
      </c>
      <c r="AG26" t="inlineStr">
        <is>
          <t>SGLT-2 INHIBITORS &amp; COMBOS</t>
        </is>
      </c>
      <c r="AH26" s="122" t="n">
        <v>12480.93474757321</v>
      </c>
      <c r="AI26" s="56" t="n">
        <v>36.68742939755559</v>
      </c>
      <c r="AK26" s="123" t="n">
        <v>2</v>
      </c>
      <c r="AL26" t="inlineStr">
        <is>
          <t>IBRANCE</t>
        </is>
      </c>
      <c r="AM26" t="inlineStr">
        <is>
          <t>ONCOLOGY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79</v>
      </c>
      <c r="E27" s="61" t="n">
        <v>11167.7</v>
      </c>
      <c r="F27" s="61" t="n">
        <v>6449</v>
      </c>
      <c r="G27" s="62" t="n">
        <v>141.3632911392405</v>
      </c>
      <c r="H27" s="63" t="n">
        <v>81.63291139240506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ENBREL SURECLICK</t>
        </is>
      </c>
      <c r="AG27" t="inlineStr">
        <is>
          <t>IMMUNOMODULATORS</t>
        </is>
      </c>
      <c r="AH27" s="122" t="n">
        <v>12407.61050872535</v>
      </c>
      <c r="AI27" s="56" t="n">
        <v>1.134908251562889</v>
      </c>
      <c r="AK27" s="123" t="n">
        <v>3</v>
      </c>
      <c r="AL27" t="inlineStr">
        <is>
          <t>GENVOYA</t>
        </is>
      </c>
      <c r="AM27" t="inlineStr">
        <is>
          <t>HIV-MULTICLASS COMBO</t>
        </is>
      </c>
      <c r="AN27" s="58" t="n">
        <v>3.827314367772791</v>
      </c>
    </row>
    <row r="28" ht="15" customHeight="1" thickTop="1">
      <c r="B28" s="64" t="inlineStr">
        <is>
          <t>Non-Specialty</t>
        </is>
      </c>
      <c r="C28" s="10" t="n"/>
      <c r="D28" s="65" t="n">
        <v>288</v>
      </c>
      <c r="E28" s="66" t="n">
        <v>25726.6</v>
      </c>
      <c r="F28" s="66" t="n">
        <v>17281</v>
      </c>
      <c r="G28" s="67" t="n">
        <v>89.32847222222222</v>
      </c>
      <c r="H28" s="68" t="n">
        <v>60.00347222222222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OZEMPIC</t>
        </is>
      </c>
      <c r="AG28" t="inlineStr">
        <is>
          <t>GLUCAGON-LIKE PEPTIDE-1 AGONISTS (GLP1)</t>
        </is>
      </c>
      <c r="AH28" s="122" t="n">
        <v>8339.624887218644</v>
      </c>
      <c r="AI28" s="56" t="n">
        <v>5.914021765449531</v>
      </c>
      <c r="AK28" s="123" t="n">
        <v>4</v>
      </c>
      <c r="AL28" t="inlineStr">
        <is>
          <t>ACIPHEX</t>
        </is>
      </c>
      <c r="AM28" t="inlineStr">
        <is>
          <t>PROTON PUMP INHIBITORS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9</v>
      </c>
      <c r="E29" s="61" t="n">
        <v>824</v>
      </c>
      <c r="F29" s="61" t="n">
        <v>984</v>
      </c>
      <c r="G29" s="62" t="n">
        <v>91.55555555555556</v>
      </c>
      <c r="H29" s="63" t="n">
        <v>109.3333333333333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BREZTRI AEROSPHERE</t>
        </is>
      </c>
      <c r="AG29" t="inlineStr">
        <is>
          <t>LABA LAMA COMBO</t>
        </is>
      </c>
      <c r="AH29" s="122" t="n">
        <v>7711.690885835247</v>
      </c>
      <c r="AI29" s="56" t="n">
        <v>5.28360750264529</v>
      </c>
      <c r="AK29" s="123" t="n">
        <v>5</v>
      </c>
      <c r="AL29" t="inlineStr">
        <is>
          <t>LIPITOR</t>
        </is>
      </c>
      <c r="AM29" t="inlineStr">
        <is>
          <t>STATINS &amp; COMBOS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297</v>
      </c>
      <c r="E30" s="71" t="n">
        <v>26550.6</v>
      </c>
      <c r="F30" s="71" t="n">
        <v>18265</v>
      </c>
      <c r="G30" s="72" t="n">
        <v>89.3959595959596</v>
      </c>
      <c r="H30" s="73" t="n">
        <v>61.4983164983165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V-GO 20</t>
        </is>
      </c>
      <c r="AG30" t="inlineStr">
        <is>
          <t>INSULIN ADMINISTRATION SUPPLIES</t>
        </is>
      </c>
      <c r="AH30" s="122" t="n">
        <v>6839.272647309042</v>
      </c>
      <c r="AI30" s="56" t="n">
        <v>7.527802127236536</v>
      </c>
      <c r="AK30" s="123" t="n">
        <v>6</v>
      </c>
      <c r="AL30" t="inlineStr">
        <is>
          <t>AVODART</t>
        </is>
      </c>
      <c r="AM30" t="inlineStr">
        <is>
          <t>PROSTATIC HYPERTROPHY AGENTS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V-GO 30</t>
        </is>
      </c>
      <c r="AG31" t="inlineStr">
        <is>
          <t>INSULIN ADMINISTRATION SUPPLIES</t>
        </is>
      </c>
      <c r="AH31" s="122" t="n">
        <v>6839.272647309042</v>
      </c>
      <c r="AI31" s="56" t="n">
        <v>7.527802127236536</v>
      </c>
      <c r="AK31" s="123" t="n">
        <v>7</v>
      </c>
      <c r="AL31" t="inlineStr">
        <is>
          <t>ZEPBOUND</t>
        </is>
      </c>
      <c r="AM31" t="inlineStr">
        <is>
          <t>GLP-1 ANTI-OBESITY AGENTS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TRELEGY ELLIPTA</t>
        </is>
      </c>
      <c r="AG32" t="inlineStr">
        <is>
          <t>LABA LAMA COMBO</t>
        </is>
      </c>
      <c r="AH32" s="122" t="n">
        <v>6818.400421259859</v>
      </c>
      <c r="AI32" s="56" t="n">
        <v>5.762918763260261</v>
      </c>
      <c r="AK32" s="123" t="n">
        <v>8</v>
      </c>
      <c r="AL32" t="inlineStr">
        <is>
          <t>VIAGRA</t>
        </is>
      </c>
      <c r="AM32" t="inlineStr">
        <is>
          <t>IMPOTENCE AGENTS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0</v>
      </c>
      <c r="E33" s="40" t="n">
        <v>0</v>
      </c>
      <c r="F33" s="40" t="n">
        <v>0</v>
      </c>
      <c r="G33" s="41" t="n">
        <v>0</v>
      </c>
      <c r="H33" s="42" t="n">
        <v>0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GEMTESA</t>
        </is>
      </c>
      <c r="AG33" t="inlineStr">
        <is>
          <t>URINARY ANTISPASMODICS &amp; OAB DRUGS</t>
        </is>
      </c>
      <c r="AH33" s="122" t="n">
        <v>6392.933860041509</v>
      </c>
      <c r="AI33" s="56" t="n">
        <v>9.087539887934609</v>
      </c>
      <c r="AK33" s="123" t="n">
        <v>9</v>
      </c>
      <c r="AL33" t="inlineStr">
        <is>
          <t>SYNTHROID</t>
        </is>
      </c>
      <c r="AM33" t="inlineStr">
        <is>
          <t>THYROID HORMONES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0</v>
      </c>
      <c r="E34" s="51" t="n">
        <v>0</v>
      </c>
      <c r="F34" s="51" t="n">
        <v>0</v>
      </c>
      <c r="G34" s="52" t="n">
        <v>0</v>
      </c>
      <c r="H34" s="53" t="n">
        <v>0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RHOPRESSA</t>
        </is>
      </c>
      <c r="AG34" t="inlineStr">
        <is>
          <t>OPHTHALMICS - RHO KINASE INHIBITOR &amp; COMBOS</t>
        </is>
      </c>
      <c r="AH34" s="122" t="n">
        <v>3148.595994795129</v>
      </c>
      <c r="AI34" s="56" t="n">
        <v>6.588676923629476</v>
      </c>
      <c r="AK34" s="123" t="n">
        <v>10</v>
      </c>
      <c r="AL34" t="inlineStr">
        <is>
          <t>PREZISTA</t>
        </is>
      </c>
      <c r="AM34" t="inlineStr">
        <is>
          <t>HIV-PROTEASE INHIBITOR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0</v>
      </c>
      <c r="E35" s="61" t="n">
        <v>0</v>
      </c>
      <c r="F35" s="61" t="n">
        <v>0</v>
      </c>
      <c r="G35" s="62" t="n">
        <v>0</v>
      </c>
      <c r="H35" s="63" t="n">
        <v>0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SPIRIVA RESPIMAT</t>
        </is>
      </c>
      <c r="AG35" t="inlineStr">
        <is>
          <t>LAMA/ACH</t>
        </is>
      </c>
      <c r="AH35" s="122" t="n">
        <v>2562.225955684863</v>
      </c>
      <c r="AI35" s="56" t="n">
        <v>4.860514955904351</v>
      </c>
      <c r="AK35" s="123" t="n">
        <v>11</v>
      </c>
      <c r="AL35" t="inlineStr">
        <is>
          <t>DEXCOM G7 SENSOR</t>
        </is>
      </c>
      <c r="AM35" t="inlineStr">
        <is>
          <t>DIABETES MONITORING AND TESTING SUPPLIES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0</v>
      </c>
      <c r="E36" s="66" t="n">
        <v>0</v>
      </c>
      <c r="F36" s="66" t="n">
        <v>0</v>
      </c>
      <c r="G36" s="67" t="n">
        <v>0</v>
      </c>
      <c r="H36" s="68" t="n">
        <v>0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CREON</t>
        </is>
      </c>
      <c r="AG36" t="inlineStr">
        <is>
          <t>DIGESTIVE ENZYMES</t>
        </is>
      </c>
      <c r="AH36" s="122" t="n">
        <v>2124.806759589806</v>
      </c>
      <c r="AI36" s="56" t="n">
        <v>1.194284717311179</v>
      </c>
      <c r="AK36" s="123" t="n">
        <v>12</v>
      </c>
      <c r="AL36" t="inlineStr">
        <is>
          <t>NEXIUM</t>
        </is>
      </c>
      <c r="AM36" t="inlineStr">
        <is>
          <t>PROTON PUMP INHIBITORS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PREMARIN</t>
        </is>
      </c>
      <c r="AG37" t="inlineStr">
        <is>
          <t>VAGINAL ESTROGENS</t>
        </is>
      </c>
      <c r="AH37" s="122" t="n">
        <v>1539.270179056955</v>
      </c>
      <c r="AI37" s="56" t="n">
        <v>6.900842370196097</v>
      </c>
      <c r="AK37" s="123" t="n">
        <v>13</v>
      </c>
      <c r="AL37" t="inlineStr">
        <is>
          <t>XDEMVY</t>
        </is>
      </c>
      <c r="AM37" t="inlineStr">
        <is>
          <t>OPHTHALMIC ANTI-INFECTIVES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0</v>
      </c>
      <c r="E38" s="71" t="n">
        <v>0</v>
      </c>
      <c r="F38" s="71" t="n">
        <v>0</v>
      </c>
      <c r="G38" s="72" t="n">
        <v>0</v>
      </c>
      <c r="H38" s="73" t="n">
        <v>0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PROLIA</t>
        </is>
      </c>
      <c r="AG38" t="inlineStr">
        <is>
          <t>OSTEOPOROSIS AGENTS</t>
        </is>
      </c>
      <c r="AH38" s="122" t="n">
        <v>1372.553399202666</v>
      </c>
      <c r="AI38" s="56" t="n">
        <v>2.388846221863131</v>
      </c>
      <c r="AK38" s="123" t="n">
        <v>14</v>
      </c>
      <c r="AL38" t="inlineStr">
        <is>
          <t>LEXAPRO</t>
        </is>
      </c>
      <c r="AM38" t="inlineStr">
        <is>
          <t>ANTIDEPRESSANTS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PAXLOVID</t>
        </is>
      </c>
      <c r="AG39" t="inlineStr">
        <is>
          <t>MISC. ANTIVIRALS</t>
        </is>
      </c>
      <c r="AH39" s="122" t="n">
        <v>898.693176246004</v>
      </c>
      <c r="AI39" s="56" t="n">
        <v>1.950058510415481</v>
      </c>
      <c r="AK39" s="123" t="n">
        <v>15</v>
      </c>
      <c r="AL39" t="inlineStr">
        <is>
          <t>INDERAL LA</t>
        </is>
      </c>
      <c r="AM39" t="inlineStr">
        <is>
          <t>BETA BLOCKERS &amp; COMBOS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TOUJEO SOLOSTAR</t>
        </is>
      </c>
      <c r="AG40" t="inlineStr">
        <is>
          <t>BASAL INSULIN</t>
        </is>
      </c>
      <c r="AH40" s="122" t="n">
        <v>543.0110882089184</v>
      </c>
      <c r="AI40" s="56" t="n">
        <v>1.503942641298857</v>
      </c>
      <c r="AK40" s="123" t="n">
        <v>16</v>
      </c>
      <c r="AL40" t="inlineStr">
        <is>
          <t>COZAAR</t>
        </is>
      </c>
      <c r="AM40" t="inlineStr">
        <is>
          <t>ANGIOTENSIN II RECEPTOR ANTAGONISTS &amp; COMBOS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138</v>
      </c>
      <c r="E41" s="40" t="n">
        <v>6168.5</v>
      </c>
      <c r="F41" s="40" t="n">
        <v>4460</v>
      </c>
      <c r="G41" s="41" t="n">
        <v>44.69927536231884</v>
      </c>
      <c r="H41" s="42" t="n">
        <v>32.31884057971015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DULERA</t>
        </is>
      </c>
      <c r="AG41" t="inlineStr">
        <is>
          <t>LABA LAMA COMBO</t>
        </is>
      </c>
      <c r="AH41" s="122" t="n">
        <v>457.0678019691023</v>
      </c>
      <c r="AI41" s="56" t="n">
        <v>1.320901875661322</v>
      </c>
      <c r="AK41" s="123" t="n">
        <v>17</v>
      </c>
      <c r="AL41" t="inlineStr">
        <is>
          <t>QNASL</t>
        </is>
      </c>
      <c r="AM41" t="inlineStr">
        <is>
          <t>NASAL STEROIDS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71</v>
      </c>
      <c r="E42" s="51" t="n">
        <v>8390.4</v>
      </c>
      <c r="F42" s="51" t="n">
        <v>6372</v>
      </c>
      <c r="G42" s="52" t="n">
        <v>118.1746478873239</v>
      </c>
      <c r="H42" s="53" t="n">
        <v>89.74647887323944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LANTUS SOLOSTAR</t>
        </is>
      </c>
      <c r="AG42" t="inlineStr">
        <is>
          <t>BASAL INSULIN</t>
        </is>
      </c>
      <c r="AH42" s="122" t="n">
        <v>449.523063157896</v>
      </c>
      <c r="AI42" s="56" t="n">
        <v>3.007885282597714</v>
      </c>
      <c r="AK42" s="123" t="n">
        <v>18</v>
      </c>
      <c r="AL42" t="inlineStr">
        <is>
          <t>MIEBO</t>
        </is>
      </c>
      <c r="AM42" t="inlineStr">
        <is>
          <t>OPHTHALMICS - MISC.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79</v>
      </c>
      <c r="E43" s="61" t="n">
        <v>11167.7</v>
      </c>
      <c r="F43" s="61" t="n">
        <v>6449</v>
      </c>
      <c r="G43" s="62" t="n">
        <v>141.3632911392405</v>
      </c>
      <c r="H43" s="63" t="n">
        <v>81.63291139240506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STIOLTO RESPIMAT</t>
        </is>
      </c>
      <c r="AG43" t="inlineStr">
        <is>
          <t>LABA LAMA COMBO</t>
        </is>
      </c>
      <c r="AH43" s="122" t="n">
        <v>243.6615733762819</v>
      </c>
      <c r="AI43" s="56" t="n">
        <v>1.352119189989452</v>
      </c>
      <c r="AK43" s="123" t="n">
        <v>19</v>
      </c>
      <c r="AL43" t="inlineStr">
        <is>
          <t>CEQUA</t>
        </is>
      </c>
      <c r="AM43" t="inlineStr">
        <is>
          <t>OPHTHALMIC IMMUNOMODULATORS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288</v>
      </c>
      <c r="E44" s="66" t="n">
        <v>25726.6</v>
      </c>
      <c r="F44" s="66" t="n">
        <v>17281</v>
      </c>
      <c r="G44" s="67" t="n">
        <v>89.32847222222222</v>
      </c>
      <c r="H44" s="68" t="n">
        <v>60.00347222222222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HUMALOG</t>
        </is>
      </c>
      <c r="AG44" s="82" t="inlineStr">
        <is>
          <t>RAPID ACTING</t>
        </is>
      </c>
      <c r="AH44" s="125" t="n">
        <v>72.54192548427488</v>
      </c>
      <c r="AI44" s="84" t="n">
        <v>3.759856603247143</v>
      </c>
      <c r="AK44" s="126" t="n">
        <v>20</v>
      </c>
      <c r="AL44" s="86" t="inlineStr">
        <is>
          <t>BOTOX</t>
        </is>
      </c>
      <c r="AM44" s="86" t="inlineStr">
        <is>
          <t>NEUROMUSCULAR BLOCKING AGENT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9</v>
      </c>
      <c r="E45" s="61" t="n">
        <v>824</v>
      </c>
      <c r="F45" s="61" t="n">
        <v>984</v>
      </c>
      <c r="G45" s="62" t="n">
        <v>91.55555555555556</v>
      </c>
      <c r="H45" s="63" t="n">
        <v>109.3333333333333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297</v>
      </c>
      <c r="E46" s="71" t="n">
        <v>26550.6</v>
      </c>
      <c r="F46" s="71" t="n">
        <v>18265</v>
      </c>
      <c r="G46" s="72" t="n">
        <v>89.3959595959596</v>
      </c>
      <c r="H46" s="73" t="n">
        <v>61.4983164983165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105637.0208284756</v>
      </c>
      <c r="AH49" s="46" t="n">
        <v>79.84258155282801</v>
      </c>
    </row>
    <row r="50" ht="15" customHeight="1" thickBot="1">
      <c r="AE50" s="121" t="n">
        <v>2</v>
      </c>
      <c r="AF50" t="inlineStr">
        <is>
          <t>LABA LAMA COMBO</t>
        </is>
      </c>
      <c r="AG50" s="122" t="n">
        <v>15230.82068244049</v>
      </c>
      <c r="AH50" s="56" t="n">
        <v>13.71954733155633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10/26 - 09/27</t>
        </is>
      </c>
      <c r="K51" s="12" t="n"/>
      <c r="L51" s="12" t="n"/>
      <c r="M51" s="13" t="n"/>
      <c r="N51" s="14" t="n"/>
      <c r="P51" s="11" t="inlineStr">
        <is>
          <t>10/27 - 09/28</t>
        </is>
      </c>
      <c r="Q51" s="12" t="n"/>
      <c r="R51" s="12" t="n"/>
      <c r="S51" s="13" t="n"/>
      <c r="T51" s="14" t="n"/>
      <c r="V51" s="11" t="inlineStr">
        <is>
          <t>10/28 - 09/29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INSULIN ADMINISTRATION SUPPLIES</t>
        </is>
      </c>
      <c r="AG51" s="122" t="n">
        <v>13678.54529461808</v>
      </c>
      <c r="AH51" s="56" t="n">
        <v>15.05560425447307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SGLT-2 INHIBITORS &amp; COMBOS</t>
        </is>
      </c>
      <c r="AG52" s="122" t="n">
        <v>12480.93474757321</v>
      </c>
      <c r="AH52" s="56" t="n">
        <v>36.68742939755558</v>
      </c>
    </row>
    <row r="53">
      <c r="B53" s="38" t="inlineStr">
        <is>
          <t>OTCs</t>
        </is>
      </c>
      <c r="D53" s="127" t="n">
        <v>4</v>
      </c>
      <c r="E53" s="128" t="n">
        <v>3</v>
      </c>
      <c r="F53" s="128" t="n">
        <v>6</v>
      </c>
      <c r="G53" s="128" t="n">
        <v>0</v>
      </c>
      <c r="H53" s="129" t="n">
        <v>13</v>
      </c>
      <c r="J53" s="127" t="n">
        <v>3.367208266425485</v>
      </c>
      <c r="K53" s="128" t="n">
        <v>2.526596826732871</v>
      </c>
      <c r="L53" s="128" t="n">
        <v>5.050972602908545</v>
      </c>
      <c r="M53" s="128" t="n">
        <v>0</v>
      </c>
      <c r="N53" s="129" t="n">
        <v>10.9447776960669</v>
      </c>
      <c r="P53" s="127" t="n">
        <v>3.18705342928946</v>
      </c>
      <c r="Q53" s="128" t="n">
        <v>2.389684032962863</v>
      </c>
      <c r="R53" s="128" t="n">
        <v>4.691096276623046</v>
      </c>
      <c r="S53" s="128" t="n">
        <v>0</v>
      </c>
      <c r="T53" s="129" t="n">
        <v>10.26783373887537</v>
      </c>
      <c r="V53" s="127" t="n">
        <v>3.065343447741625</v>
      </c>
      <c r="W53" s="128" t="n">
        <v>2.255919166465565</v>
      </c>
      <c r="X53" s="128" t="n">
        <v>4.404867691956748</v>
      </c>
      <c r="Y53" s="128" t="n">
        <v>0</v>
      </c>
      <c r="Z53" s="129" t="n">
        <v>9.726130306163938</v>
      </c>
      <c r="AE53" s="121" t="n">
        <v>5</v>
      </c>
      <c r="AF53" t="inlineStr">
        <is>
          <t>IMMUNOMODULATORS</t>
        </is>
      </c>
      <c r="AG53" s="122" t="n">
        <v>12407.61050872535</v>
      </c>
      <c r="AH53" s="56" t="n">
        <v>1.134908251562889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URINARY ANTISPASMODICS &amp; OAB DRUGS</t>
        </is>
      </c>
      <c r="AG54" s="122" t="n">
        <v>6392.933860041509</v>
      </c>
      <c r="AH54" s="56" t="n">
        <v>9.087539887934609</v>
      </c>
    </row>
    <row r="55">
      <c r="B55" s="64" t="inlineStr">
        <is>
          <t>Vaccines</t>
        </is>
      </c>
      <c r="D55" s="130" t="n">
        <v>11</v>
      </c>
      <c r="E55" s="131" t="n">
        <v>0</v>
      </c>
      <c r="F55" s="131" t="n">
        <v>0</v>
      </c>
      <c r="G55" s="131" t="n">
        <v>0</v>
      </c>
      <c r="H55" s="132" t="n">
        <v>11</v>
      </c>
      <c r="J55" s="130" t="n">
        <v>11.00421963992369</v>
      </c>
      <c r="K55" s="131" t="n">
        <v>0</v>
      </c>
      <c r="L55" s="131" t="n">
        <v>0</v>
      </c>
      <c r="M55" s="131" t="n">
        <v>0</v>
      </c>
      <c r="N55" s="132" t="n">
        <v>11.00421963992369</v>
      </c>
      <c r="P55" s="130" t="n">
        <v>11.25327823035992</v>
      </c>
      <c r="Q55" s="131" t="n">
        <v>0</v>
      </c>
      <c r="R55" s="131" t="n">
        <v>0</v>
      </c>
      <c r="S55" s="131" t="n">
        <v>0</v>
      </c>
      <c r="T55" s="132" t="n">
        <v>11.25327823035992</v>
      </c>
      <c r="V55" s="130" t="n">
        <v>11.64231197178807</v>
      </c>
      <c r="W55" s="131" t="n">
        <v>0</v>
      </c>
      <c r="X55" s="131" t="n">
        <v>0</v>
      </c>
      <c r="Y55" s="131" t="n">
        <v>0</v>
      </c>
      <c r="Z55" s="132" t="n">
        <v>11.64231197178807</v>
      </c>
      <c r="AE55" s="121" t="n">
        <v>7</v>
      </c>
      <c r="AF55" t="inlineStr">
        <is>
          <t>OPHTHALMICS - RHO KINASE INHIBITOR &amp; COMBOS</t>
        </is>
      </c>
      <c r="AG55" s="122" t="n">
        <v>3148.595994795129</v>
      </c>
      <c r="AH55" s="56" t="n">
        <v>6.588676923629476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LAMA/ACH</t>
        </is>
      </c>
      <c r="AG56" s="122" t="n">
        <v>2562.225955684863</v>
      </c>
      <c r="AH56" s="56" t="n">
        <v>4.860514955904351</v>
      </c>
    </row>
    <row r="57">
      <c r="B57" s="64" t="inlineStr">
        <is>
          <t>MSBs</t>
        </is>
      </c>
      <c r="D57" s="130" t="n">
        <v>68</v>
      </c>
      <c r="E57" s="131" t="n">
        <v>70</v>
      </c>
      <c r="F57" s="131" t="n">
        <v>85</v>
      </c>
      <c r="G57" s="131" t="n">
        <v>0</v>
      </c>
      <c r="H57" s="132" t="n">
        <v>223</v>
      </c>
      <c r="J57" s="130" t="n">
        <v>63.51701400863277</v>
      </c>
      <c r="K57" s="131" t="n">
        <v>55.26075949714094</v>
      </c>
      <c r="L57" s="131" t="n">
        <v>70.05762760070749</v>
      </c>
      <c r="M57" s="131" t="n">
        <v>0</v>
      </c>
      <c r="N57" s="132" t="n">
        <v>188.8354011064812</v>
      </c>
      <c r="P57" s="130" t="n">
        <v>62.84620709537454</v>
      </c>
      <c r="Q57" s="131" t="n">
        <v>53.9972686982864</v>
      </c>
      <c r="R57" s="131" t="n">
        <v>67.54614245337035</v>
      </c>
      <c r="S57" s="131" t="n">
        <v>0</v>
      </c>
      <c r="T57" s="132" t="n">
        <v>184.3896182470313</v>
      </c>
      <c r="V57" s="130" t="n">
        <v>59.12606311326168</v>
      </c>
      <c r="W57" s="131" t="n">
        <v>54.54301454127601</v>
      </c>
      <c r="X57" s="131" t="n">
        <v>66.06395772949693</v>
      </c>
      <c r="Y57" s="131" t="n">
        <v>0</v>
      </c>
      <c r="Z57" s="132" t="n">
        <v>179.7330353840346</v>
      </c>
      <c r="AE57" s="121" t="n">
        <v>9</v>
      </c>
      <c r="AF57" t="inlineStr">
        <is>
          <t>DIGESTIVE ENZYMES</t>
        </is>
      </c>
      <c r="AG57" s="122" t="n">
        <v>2124.806759589806</v>
      </c>
      <c r="AH57" s="56" t="n">
        <v>1.194284717311179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VAGINAL ESTROGENS</t>
        </is>
      </c>
      <c r="AG58" s="122" t="n">
        <v>1539.270179056955</v>
      </c>
      <c r="AH58" s="56" t="n">
        <v>6.900842370196097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16</v>
      </c>
      <c r="H59" s="132" t="n">
        <v>16</v>
      </c>
      <c r="J59" s="130" t="n">
        <v>0</v>
      </c>
      <c r="K59" s="131" t="n">
        <v>0</v>
      </c>
      <c r="L59" s="131" t="n">
        <v>0</v>
      </c>
      <c r="M59" s="131" t="n">
        <v>17.09928479257696</v>
      </c>
      <c r="N59" s="132" t="n">
        <v>17.09928479257696</v>
      </c>
      <c r="P59" s="130" t="n">
        <v>0</v>
      </c>
      <c r="Q59" s="131" t="n">
        <v>0</v>
      </c>
      <c r="R59" s="131" t="n">
        <v>0</v>
      </c>
      <c r="S59" s="131" t="n">
        <v>16.70894513045657</v>
      </c>
      <c r="T59" s="132" t="n">
        <v>16.70894513045657</v>
      </c>
      <c r="V59" s="130" t="n">
        <v>0</v>
      </c>
      <c r="W59" s="131" t="n">
        <v>0</v>
      </c>
      <c r="X59" s="131" t="n">
        <v>0</v>
      </c>
      <c r="Y59" s="131" t="n">
        <v>12.09419802558369</v>
      </c>
      <c r="Z59" s="132" t="n">
        <v>12.09419802558369</v>
      </c>
      <c r="AE59" s="121" t="n">
        <v>11</v>
      </c>
      <c r="AF59" t="inlineStr">
        <is>
          <t>OSTEOPOROSIS AGENTS</t>
        </is>
      </c>
      <c r="AG59" s="122" t="n">
        <v>1372.553399202666</v>
      </c>
      <c r="AH59" s="56" t="n">
        <v>2.388846221863131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BASAL INSULIN</t>
        </is>
      </c>
      <c r="AG60" s="122" t="n">
        <v>992.5341513668145</v>
      </c>
      <c r="AH60" s="56" t="n">
        <v>4.511827923896572</v>
      </c>
    </row>
    <row r="61">
      <c r="B61" s="64" t="inlineStr">
        <is>
          <t>Formulary Exclusions</t>
        </is>
      </c>
      <c r="D61" s="130" t="n">
        <v>35</v>
      </c>
      <c r="E61" s="131" t="n">
        <v>14</v>
      </c>
      <c r="F61" s="131" t="n">
        <v>23</v>
      </c>
      <c r="G61" s="131" t="n">
        <v>0</v>
      </c>
      <c r="H61" s="132" t="n">
        <v>72</v>
      </c>
      <c r="J61" s="130" t="n">
        <v>33.80888039188297</v>
      </c>
      <c r="K61" s="131" t="n">
        <v>11.56721622874409</v>
      </c>
      <c r="L61" s="131" t="n">
        <v>27.05108616001349</v>
      </c>
      <c r="M61" s="131" t="n">
        <v>0</v>
      </c>
      <c r="N61" s="132" t="n">
        <v>72.42718278064055</v>
      </c>
      <c r="P61" s="130" t="n">
        <v>34.38023379828338</v>
      </c>
      <c r="Q61" s="131" t="n">
        <v>11.88171813551708</v>
      </c>
      <c r="R61" s="131" t="n">
        <v>28.00195246753046</v>
      </c>
      <c r="S61" s="131" t="n">
        <v>0</v>
      </c>
      <c r="T61" s="132" t="n">
        <v>74.26390440133092</v>
      </c>
      <c r="V61" s="130" t="n">
        <v>35.41500949077938</v>
      </c>
      <c r="W61" s="131" t="n">
        <v>12.10617120330804</v>
      </c>
      <c r="X61" s="131" t="n">
        <v>25.76138345852207</v>
      </c>
      <c r="Y61" s="131" t="n">
        <v>0</v>
      </c>
      <c r="Z61" s="132" t="n">
        <v>73.2825641526095</v>
      </c>
      <c r="AE61" s="121" t="n">
        <v>13</v>
      </c>
      <c r="AF61" t="inlineStr">
        <is>
          <t>MISC. ANTIVIRALS</t>
        </is>
      </c>
      <c r="AG61" s="122" t="n">
        <v>898.693176246004</v>
      </c>
      <c r="AH61" s="56" t="n">
        <v>1.950058510415481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RAPID ACTING</t>
        </is>
      </c>
      <c r="AG62" s="122" t="n">
        <v>72.54192548427488</v>
      </c>
      <c r="AH62" s="56" t="n">
        <v>3.759856603247143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9</v>
      </c>
      <c r="H63" s="132" t="n">
        <v>9</v>
      </c>
      <c r="J63" s="130" t="n">
        <v>2.58953491341282</v>
      </c>
      <c r="K63" s="131" t="n">
        <v>0.4725356733129189</v>
      </c>
      <c r="L63" s="131" t="n">
        <v>0.2078802046455621</v>
      </c>
      <c r="M63" s="131" t="n">
        <v>7.308333158315506</v>
      </c>
      <c r="N63" s="132" t="n">
        <v>10.57828394968681</v>
      </c>
      <c r="P63" s="130" t="n">
        <v>2.08552136938691</v>
      </c>
      <c r="Q63" s="131" t="n">
        <v>0.1405100237659127</v>
      </c>
      <c r="R63" s="131" t="n">
        <v>0.08133752942403305</v>
      </c>
      <c r="S63" s="131" t="n">
        <v>6.991768917026942</v>
      </c>
      <c r="T63" s="132" t="n">
        <v>9.299137839603798</v>
      </c>
      <c r="V63" s="130" t="n">
        <v>1.437311782396435</v>
      </c>
      <c r="W63" s="131" t="n">
        <v>0.1196840743637466</v>
      </c>
      <c r="X63" s="131" t="n">
        <v>0.07925896025578538</v>
      </c>
      <c r="Y63" s="131" t="n">
        <v>6.012182320226874</v>
      </c>
      <c r="Z63" s="132" t="n">
        <v>7.648437137242841</v>
      </c>
      <c r="AE63" s="121" t="n">
        <v>15</v>
      </c>
      <c r="AF63" t="inlineStr">
        <is>
          <t>ONCOLOGY</t>
        </is>
      </c>
      <c r="AG63" s="122" t="n">
        <v>0</v>
      </c>
      <c r="AH63" s="56" t="n">
        <v>0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9</v>
      </c>
      <c r="H64" s="135" t="n">
        <v>9</v>
      </c>
      <c r="J64" s="133" t="n">
        <v>0</v>
      </c>
      <c r="K64" s="134" t="n">
        <v>0</v>
      </c>
      <c r="L64" s="134" t="n">
        <v>0</v>
      </c>
      <c r="M64" s="134" t="n">
        <v>7.196331036924444</v>
      </c>
      <c r="N64" s="135" t="n">
        <v>7.196331036924444</v>
      </c>
      <c r="P64" s="133" t="n">
        <v>0</v>
      </c>
      <c r="Q64" s="134" t="n">
        <v>0</v>
      </c>
      <c r="R64" s="134" t="n">
        <v>0</v>
      </c>
      <c r="S64" s="134" t="n">
        <v>6.877622740410126</v>
      </c>
      <c r="T64" s="135" t="n">
        <v>6.877622740410126</v>
      </c>
      <c r="V64" s="133" t="n">
        <v>0</v>
      </c>
      <c r="W64" s="134" t="n">
        <v>0</v>
      </c>
      <c r="X64" s="134" t="n">
        <v>0</v>
      </c>
      <c r="Y64" s="134" t="n">
        <v>5.894981001423753</v>
      </c>
      <c r="Z64" s="135" t="n">
        <v>5.894981001423753</v>
      </c>
      <c r="AE64" s="121" t="n">
        <v>16</v>
      </c>
      <c r="AG64" s="122" t="n"/>
      <c r="AH64" s="56" t="n"/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G65" s="122" t="n"/>
      <c r="AH65" s="56" t="n"/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HIV-MULTICLASS COMBO</t>
        </is>
      </c>
      <c r="AG66" s="122" t="n">
        <v>0</v>
      </c>
      <c r="AH66" s="56" t="n">
        <v>3.827314367772791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2.893467696716072</v>
      </c>
      <c r="K67" s="140" t="n">
        <v>3.224075867332797</v>
      </c>
      <c r="L67" s="140" t="n">
        <v>5.423006045073503</v>
      </c>
      <c r="M67" s="140" t="n">
        <v>3.399871846615792</v>
      </c>
      <c r="N67" s="141" t="n">
        <v>14.94042145573816</v>
      </c>
      <c r="P67" s="139" t="n">
        <v>5.57556069724153</v>
      </c>
      <c r="Q67" s="140" t="n">
        <v>4.527875195047195</v>
      </c>
      <c r="R67" s="140" t="n">
        <v>5.836822602345891</v>
      </c>
      <c r="S67" s="140" t="n">
        <v>3.458620251626422</v>
      </c>
      <c r="T67" s="141" t="n">
        <v>19.39887874626104</v>
      </c>
      <c r="V67" s="139" t="n">
        <v>9.73976273435381</v>
      </c>
      <c r="W67" s="140" t="n">
        <v>5.762176317484298</v>
      </c>
      <c r="X67" s="140" t="n">
        <v>7.176537158237969</v>
      </c>
      <c r="Y67" s="140" t="n">
        <v>3.60628321038739</v>
      </c>
      <c r="Z67" s="141" t="n">
        <v>26.28475942046347</v>
      </c>
      <c r="AE67" s="121" t="n">
        <v>19</v>
      </c>
      <c r="AG67" s="122" t="n"/>
      <c r="AH67" s="56" t="n"/>
    </row>
    <row r="68" ht="15.6" customHeight="1" thickBot="1" thickTop="1">
      <c r="B68" s="69" t="inlineStr">
        <is>
          <t>Total</t>
        </is>
      </c>
      <c r="D68" s="142" t="n">
        <v>118</v>
      </c>
      <c r="E68" s="143" t="n">
        <v>87</v>
      </c>
      <c r="F68" s="143" t="n">
        <v>114</v>
      </c>
      <c r="G68" s="143" t="n">
        <v>25</v>
      </c>
      <c r="H68" s="144" t="n">
        <v>353</v>
      </c>
      <c r="J68" s="142" t="n">
        <v>117.1803249169938</v>
      </c>
      <c r="K68" s="143" t="n">
        <v>73.05118409326361</v>
      </c>
      <c r="L68" s="143" t="n">
        <v>107.7905726133486</v>
      </c>
      <c r="M68" s="143" t="n">
        <v>27.80748979750825</v>
      </c>
      <c r="N68" s="144" t="n">
        <v>333.0259024580387</v>
      </c>
      <c r="P68" s="142" t="n">
        <v>119.3278546199357</v>
      </c>
      <c r="Q68" s="143" t="n">
        <v>72.93705608557946</v>
      </c>
      <c r="R68" s="143" t="n">
        <v>106.1573513292938</v>
      </c>
      <c r="S68" s="143" t="n">
        <v>27.15933429910994</v>
      </c>
      <c r="T68" s="144" t="n">
        <v>332.4592190743291</v>
      </c>
      <c r="V68" s="142" t="n">
        <v>120.425802540321</v>
      </c>
      <c r="W68" s="143" t="n">
        <v>74.78696530289767</v>
      </c>
      <c r="X68" s="143" t="n">
        <v>103.4860049984695</v>
      </c>
      <c r="Y68" s="143" t="n">
        <v>21.71266355619795</v>
      </c>
      <c r="Z68" s="144" t="n">
        <v>326.3064173993099</v>
      </c>
      <c r="AE68" s="124" t="n">
        <v>20</v>
      </c>
      <c r="AF68" s="82" t="n"/>
      <c r="AG68" s="125" t="n"/>
      <c r="AH68" s="84" t="n"/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4.098418325321437</v>
      </c>
      <c r="K75" s="131" t="n">
        <v>14.78356462884474</v>
      </c>
      <c r="L75" s="131" t="n">
        <v>13.61739274799116</v>
      </c>
      <c r="M75" s="131" t="n">
        <v>0</v>
      </c>
      <c r="N75" s="132" t="n">
        <v>32.49937570215734</v>
      </c>
      <c r="P75" s="130" t="n">
        <v>6.055733234399905</v>
      </c>
      <c r="Q75" s="131" t="n">
        <v>18.96397290146506</v>
      </c>
      <c r="R75" s="131" t="n">
        <v>16.07091998078703</v>
      </c>
      <c r="S75" s="131" t="n">
        <v>0</v>
      </c>
      <c r="T75" s="132" t="n">
        <v>41.09062611665199</v>
      </c>
      <c r="V75" s="130" t="n">
        <v>11.49271994395196</v>
      </c>
      <c r="W75" s="131" t="n">
        <v>21.20603144275259</v>
      </c>
      <c r="X75" s="131" t="n">
        <v>18.14934832521764</v>
      </c>
      <c r="Y75" s="131" t="n">
        <v>0</v>
      </c>
      <c r="Z75" s="132" t="n">
        <v>50.84809971192219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1.220807223584646</v>
      </c>
      <c r="N77" s="132" t="n">
        <v>1.220807223584646</v>
      </c>
      <c r="P77" s="130" t="n">
        <v>0</v>
      </c>
      <c r="Q77" s="131" t="n">
        <v>0</v>
      </c>
      <c r="R77" s="131" t="n">
        <v>0</v>
      </c>
      <c r="S77" s="131" t="n">
        <v>2.635178875703777</v>
      </c>
      <c r="T77" s="132" t="n">
        <v>2.635178875703777</v>
      </c>
      <c r="V77" s="130" t="n">
        <v>0</v>
      </c>
      <c r="W77" s="131" t="n">
        <v>0</v>
      </c>
      <c r="X77" s="131" t="n">
        <v>0</v>
      </c>
      <c r="Y77" s="131" t="n">
        <v>8.417156430235023</v>
      </c>
      <c r="Z77" s="132" t="n">
        <v>8.417156430235023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3.225990852581615</v>
      </c>
      <c r="Y79" s="131" t="n">
        <v>0</v>
      </c>
      <c r="Z79" s="132" t="n">
        <v>3.225990852581615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1.757711967973709</v>
      </c>
      <c r="N81" s="132" t="n">
        <v>1.757711967973709</v>
      </c>
      <c r="P81" s="130" t="n">
        <v>0</v>
      </c>
      <c r="Q81" s="131" t="n">
        <v>0</v>
      </c>
      <c r="R81" s="131" t="n">
        <v>0</v>
      </c>
      <c r="S81" s="131" t="n">
        <v>2.015925187910772</v>
      </c>
      <c r="T81" s="132" t="n">
        <v>2.015925187910772</v>
      </c>
      <c r="V81" s="130" t="n">
        <v>0</v>
      </c>
      <c r="W81" s="131" t="n">
        <v>0</v>
      </c>
      <c r="X81" s="131" t="n">
        <v>0</v>
      </c>
      <c r="Y81" s="131" t="n">
        <v>2.974416967432209</v>
      </c>
      <c r="Z81" s="132" t="n">
        <v>2.974416967432209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1.757711967973708</v>
      </c>
      <c r="N82" s="135" t="n">
        <v>1.757711967973708</v>
      </c>
      <c r="P82" s="133" t="n">
        <v>0</v>
      </c>
      <c r="Q82" s="134" t="n">
        <v>0</v>
      </c>
      <c r="R82" s="134" t="n">
        <v>0</v>
      </c>
      <c r="S82" s="134" t="n">
        <v>2.015925187910772</v>
      </c>
      <c r="T82" s="135" t="n">
        <v>2.015925187910772</v>
      </c>
      <c r="V82" s="133" t="n">
        <v>0</v>
      </c>
      <c r="W82" s="134" t="n">
        <v>0</v>
      </c>
      <c r="X82" s="134" t="n">
        <v>0</v>
      </c>
      <c r="Y82" s="134" t="n">
        <v>2.974416967432209</v>
      </c>
      <c r="Z82" s="135" t="n">
        <v>2.974416967432209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11.44832559408679</v>
      </c>
      <c r="K85" s="140" t="n">
        <v>12.12535923748932</v>
      </c>
      <c r="L85" s="140" t="n">
        <v>2.680791333554108</v>
      </c>
      <c r="M85" s="140" t="n">
        <v>2.402670330840043</v>
      </c>
      <c r="N85" s="141" t="n">
        <v>28.65714649597026</v>
      </c>
      <c r="P85" s="139" t="n">
        <v>47.89703212836737</v>
      </c>
      <c r="Q85" s="140" t="n">
        <v>30.2573094073075</v>
      </c>
      <c r="R85" s="140" t="n">
        <v>12.13391549914418</v>
      </c>
      <c r="S85" s="140" t="n">
        <v>2.26227875244484</v>
      </c>
      <c r="T85" s="141" t="n">
        <v>92.5505357872639</v>
      </c>
      <c r="V85" s="139" t="n">
        <v>85.44634092584513</v>
      </c>
      <c r="W85" s="140" t="n">
        <v>46.07117141689103</v>
      </c>
      <c r="X85" s="140" t="n">
        <v>22.36171757360467</v>
      </c>
      <c r="Y85" s="140" t="n">
        <v>2.06062591633851</v>
      </c>
      <c r="Z85" s="141" t="n">
        <v>155.9398558326793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15.54674391940823</v>
      </c>
      <c r="K86" s="143" t="n">
        <v>26.90892386633406</v>
      </c>
      <c r="L86" s="143" t="n">
        <v>16.29818408154527</v>
      </c>
      <c r="M86" s="143" t="n">
        <v>5.381189522398397</v>
      </c>
      <c r="N86" s="144" t="n">
        <v>65.89275335765966</v>
      </c>
      <c r="P86" s="142" t="n">
        <v>53.95276536276727</v>
      </c>
      <c r="Q86" s="143" t="n">
        <v>49.22128230877256</v>
      </c>
      <c r="R86" s="143" t="n">
        <v>28.20483547993121</v>
      </c>
      <c r="S86" s="143" t="n">
        <v>6.913382816059389</v>
      </c>
      <c r="T86" s="144" t="n">
        <v>140.3081911554412</v>
      </c>
      <c r="V86" s="142" t="n">
        <v>96.93906086979709</v>
      </c>
      <c r="W86" s="143" t="n">
        <v>67.27720285964361</v>
      </c>
      <c r="X86" s="143" t="n">
        <v>43.73705675140393</v>
      </c>
      <c r="Y86" s="143" t="n">
        <v>13.45219931400574</v>
      </c>
      <c r="Z86" s="144" t="n">
        <v>224.3799367622826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4</v>
      </c>
      <c r="E89" s="128" t="n">
        <v>3</v>
      </c>
      <c r="F89" s="128" t="n">
        <v>6</v>
      </c>
      <c r="G89" s="128" t="n">
        <v>0</v>
      </c>
      <c r="H89" s="129" t="n">
        <v>13</v>
      </c>
      <c r="J89" s="127" t="n">
        <v>3.367208266425485</v>
      </c>
      <c r="K89" s="128" t="n">
        <v>2.526596826732871</v>
      </c>
      <c r="L89" s="128" t="n">
        <v>5.050972602908545</v>
      </c>
      <c r="M89" s="128" t="n">
        <v>0</v>
      </c>
      <c r="N89" s="129" t="n">
        <v>10.9447776960669</v>
      </c>
      <c r="P89" s="127" t="n">
        <v>3.18705342928946</v>
      </c>
      <c r="Q89" s="128" t="n">
        <v>2.389684032962863</v>
      </c>
      <c r="R89" s="128" t="n">
        <v>4.691096276623046</v>
      </c>
      <c r="S89" s="128" t="n">
        <v>0</v>
      </c>
      <c r="T89" s="129" t="n">
        <v>10.26783373887537</v>
      </c>
      <c r="V89" s="127" t="n">
        <v>3.065343447741625</v>
      </c>
      <c r="W89" s="128" t="n">
        <v>2.255919166465565</v>
      </c>
      <c r="X89" s="128" t="n">
        <v>4.404867691956748</v>
      </c>
      <c r="Y89" s="128" t="n">
        <v>0</v>
      </c>
      <c r="Z89" s="129" t="n">
        <v>9.726130306163938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11</v>
      </c>
      <c r="E91" s="131" t="n">
        <v>0</v>
      </c>
      <c r="F91" s="131" t="n">
        <v>0</v>
      </c>
      <c r="G91" s="131" t="n">
        <v>0</v>
      </c>
      <c r="H91" s="132" t="n">
        <v>11</v>
      </c>
      <c r="J91" s="130" t="n">
        <v>11.00421963992369</v>
      </c>
      <c r="K91" s="131" t="n">
        <v>0</v>
      </c>
      <c r="L91" s="131" t="n">
        <v>0</v>
      </c>
      <c r="M91" s="131" t="n">
        <v>0</v>
      </c>
      <c r="N91" s="132" t="n">
        <v>11.00421963992369</v>
      </c>
      <c r="P91" s="130" t="n">
        <v>11.25327823035992</v>
      </c>
      <c r="Q91" s="131" t="n">
        <v>0</v>
      </c>
      <c r="R91" s="131" t="n">
        <v>0</v>
      </c>
      <c r="S91" s="131" t="n">
        <v>0</v>
      </c>
      <c r="T91" s="132" t="n">
        <v>11.25327823035992</v>
      </c>
      <c r="V91" s="130" t="n">
        <v>11.64231197178807</v>
      </c>
      <c r="W91" s="131" t="n">
        <v>0</v>
      </c>
      <c r="X91" s="131" t="n">
        <v>0</v>
      </c>
      <c r="Y91" s="131" t="n">
        <v>0</v>
      </c>
      <c r="Z91" s="132" t="n">
        <v>11.64231197178807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68</v>
      </c>
      <c r="E93" s="131" t="n">
        <v>70</v>
      </c>
      <c r="F93" s="131" t="n">
        <v>85</v>
      </c>
      <c r="G93" s="131" t="n">
        <v>0</v>
      </c>
      <c r="H93" s="132" t="n">
        <v>223</v>
      </c>
      <c r="J93" s="130" t="n">
        <v>67.6154323339542</v>
      </c>
      <c r="K93" s="131" t="n">
        <v>70.04432412598568</v>
      </c>
      <c r="L93" s="131" t="n">
        <v>83.67502034869865</v>
      </c>
      <c r="M93" s="131" t="n">
        <v>0</v>
      </c>
      <c r="N93" s="132" t="n">
        <v>221.3347768086385</v>
      </c>
      <c r="P93" s="130" t="n">
        <v>68.90194032977445</v>
      </c>
      <c r="Q93" s="131" t="n">
        <v>72.96124159975146</v>
      </c>
      <c r="R93" s="131" t="n">
        <v>83.61706243415738</v>
      </c>
      <c r="S93" s="131" t="n">
        <v>0</v>
      </c>
      <c r="T93" s="132" t="n">
        <v>225.4802443636833</v>
      </c>
      <c r="V93" s="130" t="n">
        <v>70.61878305721363</v>
      </c>
      <c r="W93" s="131" t="n">
        <v>75.7490459840286</v>
      </c>
      <c r="X93" s="131" t="n">
        <v>84.21330605471458</v>
      </c>
      <c r="Y93" s="131" t="n">
        <v>0</v>
      </c>
      <c r="Z93" s="132" t="n">
        <v>230.5811350959568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16</v>
      </c>
      <c r="H95" s="132" t="n">
        <v>16</v>
      </c>
      <c r="J95" s="130" t="n">
        <v>0</v>
      </c>
      <c r="K95" s="131" t="n">
        <v>0</v>
      </c>
      <c r="L95" s="131" t="n">
        <v>0</v>
      </c>
      <c r="M95" s="131" t="n">
        <v>18.3200920161616</v>
      </c>
      <c r="N95" s="132" t="n">
        <v>18.3200920161616</v>
      </c>
      <c r="P95" s="130" t="n">
        <v>0</v>
      </c>
      <c r="Q95" s="131" t="n">
        <v>0</v>
      </c>
      <c r="R95" s="131" t="n">
        <v>0</v>
      </c>
      <c r="S95" s="131" t="n">
        <v>19.34412400616035</v>
      </c>
      <c r="T95" s="132" t="n">
        <v>19.34412400616035</v>
      </c>
      <c r="V95" s="130" t="n">
        <v>0</v>
      </c>
      <c r="W95" s="131" t="n">
        <v>0</v>
      </c>
      <c r="X95" s="131" t="n">
        <v>0</v>
      </c>
      <c r="Y95" s="131" t="n">
        <v>20.51135445581871</v>
      </c>
      <c r="Z95" s="132" t="n">
        <v>20.51135445581871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35</v>
      </c>
      <c r="E97" s="131" t="n">
        <v>14</v>
      </c>
      <c r="F97" s="131" t="n">
        <v>23</v>
      </c>
      <c r="G97" s="131" t="n">
        <v>0</v>
      </c>
      <c r="H97" s="132" t="n">
        <v>72</v>
      </c>
      <c r="J97" s="130" t="n">
        <v>33.80888039188297</v>
      </c>
      <c r="K97" s="131" t="n">
        <v>11.56721622874409</v>
      </c>
      <c r="L97" s="131" t="n">
        <v>27.05108616001349</v>
      </c>
      <c r="M97" s="131" t="n">
        <v>0</v>
      </c>
      <c r="N97" s="132" t="n">
        <v>72.42718278064055</v>
      </c>
      <c r="P97" s="130" t="n">
        <v>34.38023379828338</v>
      </c>
      <c r="Q97" s="131" t="n">
        <v>11.88171813551708</v>
      </c>
      <c r="R97" s="131" t="n">
        <v>28.00195246753046</v>
      </c>
      <c r="S97" s="131" t="n">
        <v>0</v>
      </c>
      <c r="T97" s="132" t="n">
        <v>74.26390440133092</v>
      </c>
      <c r="V97" s="130" t="n">
        <v>35.41500949077938</v>
      </c>
      <c r="W97" s="131" t="n">
        <v>12.10617120330804</v>
      </c>
      <c r="X97" s="131" t="n">
        <v>28.98737431110369</v>
      </c>
      <c r="Y97" s="131" t="n">
        <v>0</v>
      </c>
      <c r="Z97" s="132" t="n">
        <v>76.50855500519111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9</v>
      </c>
      <c r="H99" s="132" t="n">
        <v>9</v>
      </c>
      <c r="J99" s="130" t="n">
        <v>2.58953491341282</v>
      </c>
      <c r="K99" s="131" t="n">
        <v>0.4725356733129189</v>
      </c>
      <c r="L99" s="131" t="n">
        <v>0.2078802046455621</v>
      </c>
      <c r="M99" s="131" t="n">
        <v>9.066045126289218</v>
      </c>
      <c r="N99" s="132" t="n">
        <v>12.33599591766052</v>
      </c>
      <c r="P99" s="130" t="n">
        <v>2.085521369386896</v>
      </c>
      <c r="Q99" s="131" t="n">
        <v>0.1405100237659127</v>
      </c>
      <c r="R99" s="131" t="n">
        <v>0.08133752942404726</v>
      </c>
      <c r="S99" s="131" t="n">
        <v>9.007694104937713</v>
      </c>
      <c r="T99" s="132" t="n">
        <v>11.31506302751457</v>
      </c>
      <c r="V99" s="130" t="n">
        <v>1.437311782396421</v>
      </c>
      <c r="W99" s="131" t="n">
        <v>0.1196840743637608</v>
      </c>
      <c r="X99" s="131" t="n">
        <v>0.07925896025577117</v>
      </c>
      <c r="Y99" s="131" t="n">
        <v>8.986599287659079</v>
      </c>
      <c r="Z99" s="132" t="n">
        <v>10.62285410467503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9</v>
      </c>
      <c r="H100" s="135" t="n">
        <v>9</v>
      </c>
      <c r="J100" s="133" t="n">
        <v>0</v>
      </c>
      <c r="K100" s="134" t="n">
        <v>0</v>
      </c>
      <c r="L100" s="134" t="n">
        <v>0</v>
      </c>
      <c r="M100" s="134" t="n">
        <v>8.954043004898152</v>
      </c>
      <c r="N100" s="135" t="n">
        <v>8.954043004898152</v>
      </c>
      <c r="P100" s="133" t="n">
        <v>0</v>
      </c>
      <c r="Q100" s="134" t="n">
        <v>0</v>
      </c>
      <c r="R100" s="134" t="n">
        <v>0</v>
      </c>
      <c r="S100" s="134" t="n">
        <v>8.893547928320899</v>
      </c>
      <c r="T100" s="135" t="n">
        <v>8.893547928320899</v>
      </c>
      <c r="V100" s="133" t="n">
        <v>0</v>
      </c>
      <c r="W100" s="134" t="n">
        <v>0</v>
      </c>
      <c r="X100" s="134" t="n">
        <v>0</v>
      </c>
      <c r="Y100" s="134" t="n">
        <v>8.869397968855962</v>
      </c>
      <c r="Z100" s="135" t="n">
        <v>8.869397968855962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14.34179329080286</v>
      </c>
      <c r="K103" s="140" t="n">
        <v>15.34943510482212</v>
      </c>
      <c r="L103" s="140" t="n">
        <v>8.103797378627611</v>
      </c>
      <c r="M103" s="140" t="n">
        <v>5.802542177455835</v>
      </c>
      <c r="N103" s="141" t="n">
        <v>43.59756795170842</v>
      </c>
      <c r="P103" s="139" t="n">
        <v>53.4725928256089</v>
      </c>
      <c r="Q103" s="140" t="n">
        <v>34.7851846023547</v>
      </c>
      <c r="R103" s="140" t="n">
        <v>17.97073810149007</v>
      </c>
      <c r="S103" s="140" t="n">
        <v>5.720899004071262</v>
      </c>
      <c r="T103" s="141" t="n">
        <v>111.9494145335249</v>
      </c>
      <c r="V103" s="139" t="n">
        <v>95.18610366019894</v>
      </c>
      <c r="W103" s="140" t="n">
        <v>51.83334773437532</v>
      </c>
      <c r="X103" s="140" t="n">
        <v>29.53825473184264</v>
      </c>
      <c r="Y103" s="140" t="n">
        <v>5.6669091267259</v>
      </c>
      <c r="Z103" s="141" t="n">
        <v>182.2246152531428</v>
      </c>
    </row>
    <row r="104" ht="15.6" customHeight="1" thickBot="1" thickTop="1">
      <c r="B104" s="69" t="inlineStr">
        <is>
          <t>Total</t>
        </is>
      </c>
      <c r="D104" s="142" t="n">
        <v>118</v>
      </c>
      <c r="E104" s="143" t="n">
        <v>87</v>
      </c>
      <c r="F104" s="143" t="n">
        <v>114</v>
      </c>
      <c r="G104" s="143" t="n">
        <v>25</v>
      </c>
      <c r="H104" s="144" t="n">
        <v>353</v>
      </c>
      <c r="J104" s="142" t="n">
        <v>132.727068836402</v>
      </c>
      <c r="K104" s="143" t="n">
        <v>99.96010795959768</v>
      </c>
      <c r="L104" s="143" t="n">
        <v>124.0887566948939</v>
      </c>
      <c r="M104" s="143" t="n">
        <v>33.18867931990665</v>
      </c>
      <c r="N104" s="144" t="n">
        <v>398.9186558156984</v>
      </c>
      <c r="P104" s="142" t="n">
        <v>173.280619982703</v>
      </c>
      <c r="Q104" s="143" t="n">
        <v>122.158338394352</v>
      </c>
      <c r="R104" s="143" t="n">
        <v>134.362186809225</v>
      </c>
      <c r="S104" s="143" t="n">
        <v>34.07271711516933</v>
      </c>
      <c r="T104" s="144" t="n">
        <v>472.7674102297703</v>
      </c>
      <c r="V104" s="142" t="n">
        <v>217.3648634101181</v>
      </c>
      <c r="W104" s="143" t="n">
        <v>142.0641681625413</v>
      </c>
      <c r="X104" s="143" t="n">
        <v>147.2230617498734</v>
      </c>
      <c r="Y104" s="143" t="n">
        <v>35.16486287020369</v>
      </c>
      <c r="Z104" s="144" t="n">
        <v>550.6863541615924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650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Kumar, Nikhil</dc:creator>
  <dcterms:created xmlns:dcterms="http://purl.org/dc/terms/" xmlns:xsi="http://www.w3.org/2001/XMLSchema-instance" xsi:type="dcterms:W3CDTF">2026-02-06T09:21:35Z</dcterms:created>
  <dcterms:modified xmlns:dcterms="http://purl.org/dc/terms/" xmlns:xsi="http://www.w3.org/2001/XMLSchema-instance" xsi:type="dcterms:W3CDTF">2026-08-05T13:48:18Z</dcterms:modified>
  <cp:lastModifiedBy>Chilukuri, Navyasri</cp:lastModifiedBy>
</cp:coreProperties>
</file>