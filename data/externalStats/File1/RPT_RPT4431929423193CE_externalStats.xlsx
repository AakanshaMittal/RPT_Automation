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6" sheetId="1" state="visible" r:id="rId1"/>
    <sheet name="Detailed_stat_external-2027" sheetId="2" state="visible" r:id="rId2"/>
    <sheet name="Detailed_stat_external-2028" sheetId="3" state="visible" r:id="rId3"/>
    <sheet name="Detailed_stat_external-2029" sheetId="4" state="visible" r:id="rId4"/>
    <sheet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170</v>
      </c>
      <c r="E25" s="40" t="n">
        <v>6851.4</v>
      </c>
      <c r="F25" s="40" t="n">
        <v>5338</v>
      </c>
      <c r="G25" s="41" t="n">
        <v>40.30235294117647</v>
      </c>
      <c r="H25" s="42" t="n">
        <v>31.4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40294.15219393585</v>
      </c>
      <c r="AI25" s="46" t="n">
        <v>34.07302870312817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94</v>
      </c>
      <c r="E26" s="51" t="n">
        <v>10234.4</v>
      </c>
      <c r="F26" s="51" t="n">
        <v>8422</v>
      </c>
      <c r="G26" s="52" t="n">
        <v>108.8765957446808</v>
      </c>
      <c r="H26" s="53" t="n">
        <v>89.59574468085107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9212.535368124589</v>
      </c>
      <c r="AI26" s="56" t="n">
        <v>7.721630244222486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96</v>
      </c>
      <c r="E27" s="61" t="n">
        <v>10530.7</v>
      </c>
      <c r="F27" s="61" t="n">
        <v>7211</v>
      </c>
      <c r="G27" s="62" t="n">
        <v>109.6947916666667</v>
      </c>
      <c r="H27" s="63" t="n">
        <v>75.11458333333333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8622.353500927464</v>
      </c>
      <c r="AI27" s="56" t="n">
        <v>7.231697113331732</v>
      </c>
      <c r="AK27" s="123" t="n">
        <v>3</v>
      </c>
      <c r="AL27" t="inlineStr">
        <is>
          <t>ELIQUIS</t>
        </is>
      </c>
      <c r="AM27" t="inlineStr">
        <is>
          <t>ORAL ANTICOAGULANTS</t>
        </is>
      </c>
      <c r="AN27" s="58" t="n">
        <v>101.1285692865419</v>
      </c>
    </row>
    <row r="28" ht="15" customHeight="1" thickTop="1">
      <c r="B28" s="64" t="inlineStr">
        <is>
          <t>Non-Specialty</t>
        </is>
      </c>
      <c r="C28" s="10" t="n"/>
      <c r="D28" s="65" t="n">
        <v>360</v>
      </c>
      <c r="E28" s="66" t="n">
        <v>27616.5</v>
      </c>
      <c r="F28" s="66" t="n">
        <v>20971</v>
      </c>
      <c r="G28" s="67" t="n">
        <v>76.71250000000001</v>
      </c>
      <c r="H28" s="68" t="n">
        <v>58.25277777777778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5520.587381943594</v>
      </c>
      <c r="AI28" s="56" t="n">
        <v>9.11370690115573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3.129787432848779</v>
      </c>
    </row>
    <row r="29" ht="15" customHeight="1" thickBot="1">
      <c r="B29" s="59" t="inlineStr">
        <is>
          <t>Specialty</t>
        </is>
      </c>
      <c r="C29" s="10" t="n"/>
      <c r="D29" s="60" t="n">
        <v>3</v>
      </c>
      <c r="E29" s="61" t="n">
        <v>36</v>
      </c>
      <c r="F29" s="61" t="n">
        <v>252</v>
      </c>
      <c r="G29" s="62" t="n">
        <v>12</v>
      </c>
      <c r="H29" s="63" t="n">
        <v>84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5512.525795291357</v>
      </c>
      <c r="AI29" s="56" t="n">
        <v>4.412360139555706</v>
      </c>
      <c r="AK29" s="123" t="n">
        <v>5</v>
      </c>
      <c r="AL29" t="inlineStr">
        <is>
          <t>GENVOYA</t>
        </is>
      </c>
      <c r="AM29" t="inlineStr">
        <is>
          <t>HIV-MULTICLASS COMBO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27652.5</v>
      </c>
      <c r="F30" s="71" t="n">
        <v>21223</v>
      </c>
      <c r="G30" s="72" t="n">
        <v>76.17768595041322</v>
      </c>
      <c r="H30" s="73" t="n">
        <v>58.46556473829201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4246.04801853447</v>
      </c>
      <c r="AI30" s="56" t="n">
        <v>4.412360139555706</v>
      </c>
      <c r="AK30" s="123" t="n">
        <v>6</v>
      </c>
      <c r="AL30" t="inlineStr">
        <is>
          <t>JARDIANCE</t>
        </is>
      </c>
      <c r="AM30" t="inlineStr">
        <is>
          <t>SGLT-2 INHIBITORS &amp; COMBOS</t>
        </is>
      </c>
      <c r="AN30" s="58" t="n">
        <v>22.97068657334675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G7 SENSOR</t>
        </is>
      </c>
      <c r="AG31" t="inlineStr">
        <is>
          <t>DIABETES MONITORING AND TESTING SUPPLIES</t>
        </is>
      </c>
      <c r="AH31" s="122" t="n">
        <v>3814.187783348551</v>
      </c>
      <c r="AI31" s="56" t="n">
        <v>0</v>
      </c>
      <c r="AK31" s="123" t="n">
        <v>7</v>
      </c>
      <c r="AL31" t="inlineStr">
        <is>
          <t>XARELTO</t>
        </is>
      </c>
      <c r="AM31" t="inlineStr">
        <is>
          <t>ORAL ANTICOAGULANTS</t>
        </is>
      </c>
      <c r="AN31" s="58" t="n">
        <v>14.19904104448465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SPIRIVA RESPIMAT</t>
        </is>
      </c>
      <c r="AG32" t="inlineStr">
        <is>
          <t>LAMA/ACH</t>
        </is>
      </c>
      <c r="AH32" s="122" t="n">
        <v>3573.076080155592</v>
      </c>
      <c r="AI32" s="56" t="n">
        <v>6.352872360300239</v>
      </c>
      <c r="AK32" s="123" t="n">
        <v>8</v>
      </c>
      <c r="AL32" t="inlineStr">
        <is>
          <t>ACIPHEX</t>
        </is>
      </c>
      <c r="AM32" t="inlineStr">
        <is>
          <t>PROTON PUMP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XIIDRA</t>
        </is>
      </c>
      <c r="AG33" t="inlineStr">
        <is>
          <t>OPHTHALMIC INTEGRIN ANTAGONIST</t>
        </is>
      </c>
      <c r="AH33" s="122" t="n">
        <v>3146.661061732651</v>
      </c>
      <c r="AI33" s="56" t="n">
        <v>6.810569155727732</v>
      </c>
      <c r="AK33" s="123" t="n">
        <v>9</v>
      </c>
      <c r="AL33" t="inlineStr">
        <is>
          <t>LIPITOR</t>
        </is>
      </c>
      <c r="AM33" t="inlineStr">
        <is>
          <t>STATINS &amp; COMBOS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LINZESS</t>
        </is>
      </c>
      <c r="AG34" t="inlineStr">
        <is>
          <t>IRRITABLE BOWEL SYNDROME (IBS) AGENTS</t>
        </is>
      </c>
      <c r="AH34" s="122" t="n">
        <v>3094.700360886844</v>
      </c>
      <c r="AI34" s="56" t="n">
        <v>4.506520365848544</v>
      </c>
      <c r="AK34" s="123" t="n">
        <v>10</v>
      </c>
      <c r="AL34" t="inlineStr">
        <is>
          <t>AVODART</t>
        </is>
      </c>
      <c r="AM34" t="inlineStr">
        <is>
          <t>PROSTATIC HYPERTROPHY AGENTS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AIRSUPRA</t>
        </is>
      </c>
      <c r="AG35" t="inlineStr">
        <is>
          <t>LABA LAMA COMBO</t>
        </is>
      </c>
      <c r="AH35" s="122" t="n">
        <v>2626.688277476736</v>
      </c>
      <c r="AI35" s="56" t="n">
        <v>7.721630244222486</v>
      </c>
      <c r="AK35" s="123" t="n">
        <v>11</v>
      </c>
      <c r="AL35" t="inlineStr">
        <is>
          <t>SYNTHROID</t>
        </is>
      </c>
      <c r="AM35" t="inlineStr">
        <is>
          <t>THYROID HORMONES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BREO ELLIPTA</t>
        </is>
      </c>
      <c r="AG36" t="inlineStr">
        <is>
          <t>LABA LAMA COMBO</t>
        </is>
      </c>
      <c r="AH36" s="122" t="n">
        <v>2620.638717236338</v>
      </c>
      <c r="AI36" s="56" t="n">
        <v>0</v>
      </c>
      <c r="AK36" s="123" t="n">
        <v>12</v>
      </c>
      <c r="AL36" t="inlineStr">
        <is>
          <t>PROLIA</t>
        </is>
      </c>
      <c r="AM36" t="inlineStr">
        <is>
          <t>OSTEOPOROSIS AGENTS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LUMIGAN</t>
        </is>
      </c>
      <c r="AG37" t="inlineStr">
        <is>
          <t>OPHTHALMIC PROSTAGLANDINS</t>
        </is>
      </c>
      <c r="AH37" s="122" t="n">
        <v>2618.636757555779</v>
      </c>
      <c r="AI37" s="56" t="n">
        <v>8.230525518901738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RHOPRESSA</t>
        </is>
      </c>
      <c r="AG38" t="inlineStr">
        <is>
          <t>OPHTHALMICS - RHO KINASE INHIBITOR &amp; COMBOS</t>
        </is>
      </c>
      <c r="AH38" s="122" t="n">
        <v>2579.62106767258</v>
      </c>
      <c r="AI38" s="56" t="n">
        <v>6.855622252068915</v>
      </c>
      <c r="AK38" s="123" t="n">
        <v>14</v>
      </c>
      <c r="AL38" t="inlineStr">
        <is>
          <t>NEXIUM</t>
        </is>
      </c>
      <c r="AM38" t="inlineStr">
        <is>
          <t>PROTON PUMP INHIBITORS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VYZULTA</t>
        </is>
      </c>
      <c r="AG39" t="inlineStr">
        <is>
          <t>OPHTHALMIC PROSTAGLANDINS</t>
        </is>
      </c>
      <c r="AH39" s="122" t="n">
        <v>2155.855803971273</v>
      </c>
      <c r="AI39" s="56" t="n">
        <v>4.919003304368093</v>
      </c>
      <c r="AK39" s="123" t="n">
        <v>15</v>
      </c>
      <c r="AL39" t="inlineStr">
        <is>
          <t>VIAGRA</t>
        </is>
      </c>
      <c r="AM39" t="inlineStr">
        <is>
          <t>IMPOTENCE AGENTS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MYRBETRIQ</t>
        </is>
      </c>
      <c r="AG40" t="inlineStr">
        <is>
          <t>URINARY ANTISPASMODICS &amp; OAB DRUGS</t>
        </is>
      </c>
      <c r="AH40" s="122" t="n">
        <v>1917.364012270104</v>
      </c>
      <c r="AI40" s="56" t="n">
        <v>0</v>
      </c>
      <c r="AK40" s="123" t="n">
        <v>16</v>
      </c>
      <c r="AL40" t="inlineStr">
        <is>
          <t>RASUVO</t>
        </is>
      </c>
      <c r="AM40" t="inlineStr">
        <is>
          <t>CHRONIC INFLAMMATORY DISEASE</t>
        </is>
      </c>
      <c r="AN40" s="58" t="n">
        <v>13.03311468417755</v>
      </c>
    </row>
    <row r="41">
      <c r="B41" s="38" t="inlineStr">
        <is>
          <t>Retail 30</t>
        </is>
      </c>
      <c r="C41" s="10" t="n"/>
      <c r="D41" s="39" t="n">
        <v>170</v>
      </c>
      <c r="E41" s="40" t="n">
        <v>6851.4</v>
      </c>
      <c r="F41" s="40" t="n">
        <v>5338</v>
      </c>
      <c r="G41" s="41" t="n">
        <v>40.30235294117647</v>
      </c>
      <c r="H41" s="42" t="n">
        <v>31.4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1595.870947226147</v>
      </c>
      <c r="AI41" s="56" t="n">
        <v>1.064062481716026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7.288591773944473</v>
      </c>
    </row>
    <row r="42">
      <c r="B42" s="49" t="inlineStr">
        <is>
          <t>Retail 90</t>
        </is>
      </c>
      <c r="C42" s="10" t="n"/>
      <c r="D42" s="50" t="n">
        <v>94</v>
      </c>
      <c r="E42" s="51" t="n">
        <v>10234.4</v>
      </c>
      <c r="F42" s="51" t="n">
        <v>8422</v>
      </c>
      <c r="G42" s="52" t="n">
        <v>108.8765957446808</v>
      </c>
      <c r="H42" s="53" t="n">
        <v>89.59574468085107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TRINTELLIX</t>
        </is>
      </c>
      <c r="AG42" t="inlineStr">
        <is>
          <t>ANTIDEPRESSANTS</t>
        </is>
      </c>
      <c r="AH42" s="122" t="n">
        <v>1561.070584325731</v>
      </c>
      <c r="AI42" s="56" t="n">
        <v>7.487248693337843</v>
      </c>
      <c r="AK42" s="123" t="n">
        <v>18</v>
      </c>
      <c r="AL42" t="inlineStr">
        <is>
          <t>INDERAL LA</t>
        </is>
      </c>
      <c r="AM42" t="inlineStr">
        <is>
          <t>BETA BLOCKERS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96</v>
      </c>
      <c r="E43" s="61" t="n">
        <v>10530.7</v>
      </c>
      <c r="F43" s="61" t="n">
        <v>7211</v>
      </c>
      <c r="G43" s="62" t="n">
        <v>109.6947916666667</v>
      </c>
      <c r="H43" s="63" t="n">
        <v>75.11458333333333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CONTOUR NEXT BLOOD GLUCOSE TEST</t>
        </is>
      </c>
      <c r="AG43" t="inlineStr">
        <is>
          <t>DIABETES TEST STRIPS</t>
        </is>
      </c>
      <c r="AH43" s="122" t="n">
        <v>1465.057042301566</v>
      </c>
      <c r="AI43" s="56" t="n">
        <v>0</v>
      </c>
      <c r="AK43" s="123" t="n">
        <v>19</v>
      </c>
      <c r="AL43" t="inlineStr">
        <is>
          <t>ZEPBOUND</t>
        </is>
      </c>
      <c r="AM43" t="inlineStr">
        <is>
          <t>GLP-1 ANTI-OBESITY AGENTS</t>
        </is>
      </c>
      <c r="AN43" s="58" t="n">
        <v>1.558715639929586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360</v>
      </c>
      <c r="E44" s="66" t="n">
        <v>27616.5</v>
      </c>
      <c r="F44" s="66" t="n">
        <v>20971</v>
      </c>
      <c r="G44" s="67" t="n">
        <v>76.71250000000001</v>
      </c>
      <c r="H44" s="68" t="n">
        <v>58.25277777777778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ARNUITY ELLIPTA</t>
        </is>
      </c>
      <c r="AG44" s="82" t="inlineStr">
        <is>
          <t>INHALED CORTICOSTEROIDS (ICS)</t>
        </is>
      </c>
      <c r="AH44" s="125" t="n">
        <v>1398.84733354894</v>
      </c>
      <c r="AI44" s="84" t="n">
        <v>0</v>
      </c>
      <c r="AK44" s="126" t="n">
        <v>20</v>
      </c>
      <c r="AL44" s="86" t="inlineStr">
        <is>
          <t>XDEMVY</t>
        </is>
      </c>
      <c r="AM44" s="86" t="inlineStr">
        <is>
          <t>OPHTHALMIC ANTI-INFECTIVES</t>
        </is>
      </c>
      <c r="AN44" s="87" t="n">
        <v>2.411334708752383</v>
      </c>
    </row>
    <row r="45" ht="15" customHeight="1" thickBot="1">
      <c r="B45" s="59" t="inlineStr">
        <is>
          <t>Specialty</t>
        </is>
      </c>
      <c r="C45" s="10" t="n"/>
      <c r="D45" s="60" t="n">
        <v>3</v>
      </c>
      <c r="E45" s="61" t="n">
        <v>36</v>
      </c>
      <c r="F45" s="61" t="n">
        <v>252</v>
      </c>
      <c r="G45" s="62" t="n">
        <v>12</v>
      </c>
      <c r="H45" s="63" t="n">
        <v>84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27652.5</v>
      </c>
      <c r="F46" s="71" t="n">
        <v>21223</v>
      </c>
      <c r="G46" s="72" t="n">
        <v>76.17768595041322</v>
      </c>
      <c r="H46" s="73" t="n">
        <v>58.46556473829201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48978.99884328376</v>
      </c>
      <c r="AH49" s="46" t="n">
        <v>41.3512867871618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24866.72505260258</v>
      </c>
      <c r="AH50" s="56" t="n">
        <v>25.37107080244531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7437.951394213698</v>
      </c>
      <c r="AH51" s="56" t="n">
        <v>9.113706901155732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OPHTHALMIC PROSTAGLANDINS</t>
        </is>
      </c>
      <c r="AG52" s="122" t="n">
        <v>4774.492561527052</v>
      </c>
      <c r="AH52" s="56" t="n">
        <v>17.0847314667643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DIABETES MONITORING AND TESTING SUPPLIES</t>
        </is>
      </c>
      <c r="AG53" s="122" t="n">
        <v>4134.951750786553</v>
      </c>
      <c r="AH53" s="56" t="n">
        <v>0</v>
      </c>
    </row>
    <row r="54">
      <c r="B54" s="49" t="inlineStr">
        <is>
          <t>Devices</t>
        </is>
      </c>
      <c r="D54" s="130" t="n">
        <v>4</v>
      </c>
      <c r="E54" s="131" t="n">
        <v>0</v>
      </c>
      <c r="F54" s="131" t="n">
        <v>7</v>
      </c>
      <c r="G54" s="131" t="n">
        <v>0</v>
      </c>
      <c r="H54" s="132" t="n">
        <v>11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LAMA/ACH</t>
        </is>
      </c>
      <c r="AG54" s="122" t="n">
        <v>3573.076080155592</v>
      </c>
      <c r="AH54" s="56" t="n">
        <v>6.352872360300239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OPHTHALMIC INTEGRIN ANTAGONIST</t>
        </is>
      </c>
      <c r="AG55" s="122" t="n">
        <v>3146.661061732651</v>
      </c>
      <c r="AH55" s="56" t="n">
        <v>6.810569155727732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IRRITABLE BOWEL SYNDROME (IBS) AGENTS</t>
        </is>
      </c>
      <c r="AG56" s="122" t="n">
        <v>3094.700360886844</v>
      </c>
      <c r="AH56" s="56" t="n">
        <v>4.506520365848544</v>
      </c>
    </row>
    <row r="57">
      <c r="B57" s="64" t="inlineStr">
        <is>
          <t>MSBs</t>
        </is>
      </c>
      <c r="D57" s="130" t="n">
        <v>67</v>
      </c>
      <c r="E57" s="131" t="n">
        <v>61</v>
      </c>
      <c r="F57" s="131" t="n">
        <v>79</v>
      </c>
      <c r="G57" s="131" t="n">
        <v>0</v>
      </c>
      <c r="H57" s="132" t="n">
        <v>207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OPHTHALMICS - RHO KINASE INHIBITOR &amp; COMBOS</t>
        </is>
      </c>
      <c r="AG57" s="122" t="n">
        <v>2579.62106767258</v>
      </c>
      <c r="AH57" s="56" t="n">
        <v>6.855622252068915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INSULIN ADMINISTRATION SUPPLIES</t>
        </is>
      </c>
      <c r="AG58" s="122" t="n">
        <v>2577.242454578745</v>
      </c>
      <c r="AH58" s="56" t="n">
        <v>0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DIGESTIVE ENZYMES</t>
        </is>
      </c>
      <c r="AG59" s="122" t="n">
        <v>1595.870947226147</v>
      </c>
      <c r="AH59" s="56" t="n">
        <v>1.064062481716026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ANTIDEPRESSANTS</t>
        </is>
      </c>
      <c r="AG60" s="122" t="n">
        <v>1561.070584325731</v>
      </c>
      <c r="AH60" s="56" t="n">
        <v>7.487248693337843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DIABETES TEST STRIPS</t>
        </is>
      </c>
      <c r="AG61" s="122" t="n">
        <v>1465.057042301566</v>
      </c>
      <c r="AH61" s="56" t="n">
        <v>0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INHALED CORTICOSTEROIDS (ICS)</t>
        </is>
      </c>
      <c r="AG62" s="122" t="n">
        <v>1398.84733354894</v>
      </c>
      <c r="AH62" s="56" t="n">
        <v>0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34</v>
      </c>
      <c r="H63" s="132" t="n">
        <v>39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BASAL INSULIN</t>
        </is>
      </c>
      <c r="AG63" s="122" t="n">
        <v>1043.337599701222</v>
      </c>
      <c r="AH63" s="56" t="n">
        <v>5.448624373134736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34</v>
      </c>
      <c r="H64" s="135" t="n">
        <v>34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VAGINAL ESTROGENS</t>
        </is>
      </c>
      <c r="AG64" s="122" t="n">
        <v>914.0056870913653</v>
      </c>
      <c r="AH64" s="56" t="n">
        <v>4.931725028513852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MISC. ANTIVIRALS</t>
        </is>
      </c>
      <c r="AG65" s="122" t="n">
        <v>798.6816040404954</v>
      </c>
      <c r="AH65" s="56" t="n">
        <v>1.996222777286802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ATYPICAL ANTIPSYCHOTICS</t>
        </is>
      </c>
      <c r="AG66" s="122" t="n">
        <v>735.2720087139427</v>
      </c>
      <c r="AH66" s="56" t="n">
        <v>1.150196733361794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LAXATIVES</t>
        </is>
      </c>
      <c r="AG67" s="122" t="n">
        <v>146.6279233888765</v>
      </c>
      <c r="AH67" s="56" t="n">
        <v>2.42741624254244</v>
      </c>
    </row>
    <row r="68" ht="15.6" customHeight="1" thickBot="1" thickTop="1">
      <c r="B68" s="69" t="inlineStr">
        <is>
          <t>Total</t>
        </is>
      </c>
      <c r="D68" s="142" t="n">
        <v>86</v>
      </c>
      <c r="E68" s="143" t="n">
        <v>64</v>
      </c>
      <c r="F68" s="143" t="n">
        <v>97</v>
      </c>
      <c r="G68" s="143" t="n">
        <v>34</v>
      </c>
      <c r="H68" s="144" t="n">
        <v>315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RAPID ACTING</t>
        </is>
      </c>
      <c r="AG68" s="125" t="n">
        <v>83.1208440483243</v>
      </c>
      <c r="AH68" s="84" t="n">
        <v>4.540520310945614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4</v>
      </c>
      <c r="E90" s="131" t="n">
        <v>0</v>
      </c>
      <c r="F90" s="131" t="n">
        <v>7</v>
      </c>
      <c r="G90" s="131" t="n">
        <v>0</v>
      </c>
      <c r="H90" s="132" t="n">
        <v>11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67</v>
      </c>
      <c r="E93" s="131" t="n">
        <v>61</v>
      </c>
      <c r="F93" s="131" t="n">
        <v>79</v>
      </c>
      <c r="G93" s="131" t="n">
        <v>0</v>
      </c>
      <c r="H93" s="132" t="n">
        <v>207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34</v>
      </c>
      <c r="H99" s="132" t="n">
        <v>39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34</v>
      </c>
      <c r="H100" s="135" t="n">
        <v>34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86</v>
      </c>
      <c r="E104" s="143" t="n">
        <v>64</v>
      </c>
      <c r="F104" s="143" t="n">
        <v>97</v>
      </c>
      <c r="G104" s="143" t="n">
        <v>34</v>
      </c>
      <c r="H104" s="144" t="n">
        <v>315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37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170</v>
      </c>
      <c r="E25" s="40" t="n">
        <v>6851.4</v>
      </c>
      <c r="F25" s="40" t="n">
        <v>5338</v>
      </c>
      <c r="G25" s="41" t="n">
        <v>40.30235294117647</v>
      </c>
      <c r="H25" s="42" t="n">
        <v>31.4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51479.2874751646</v>
      </c>
      <c r="AI25" s="46" t="n">
        <v>42.88056699746012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94</v>
      </c>
      <c r="E26" s="51" t="n">
        <v>10234.4</v>
      </c>
      <c r="F26" s="51" t="n">
        <v>8422</v>
      </c>
      <c r="G26" s="52" t="n">
        <v>108.8765957446808</v>
      </c>
      <c r="H26" s="53" t="n">
        <v>89.59574468085107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10001.2083135594</v>
      </c>
      <c r="AI26" s="56" t="n">
        <v>8.077442965876257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96</v>
      </c>
      <c r="E27" s="61" t="n">
        <v>10530.7</v>
      </c>
      <c r="F27" s="61" t="n">
        <v>7211</v>
      </c>
      <c r="G27" s="62" t="n">
        <v>109.6947916666667</v>
      </c>
      <c r="H27" s="63" t="n">
        <v>75.11458333333333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8558.030471186486</v>
      </c>
      <c r="AI27" s="56" t="n">
        <v>6.942429228798462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3.188439649340365</v>
      </c>
    </row>
    <row r="28" ht="15" customHeight="1" thickTop="1">
      <c r="B28" s="64" t="inlineStr">
        <is>
          <t>Non-Specialty</t>
        </is>
      </c>
      <c r="C28" s="10" t="n"/>
      <c r="D28" s="65" t="n">
        <v>360</v>
      </c>
      <c r="E28" s="66" t="n">
        <v>27616.5</v>
      </c>
      <c r="F28" s="66" t="n">
        <v>20971</v>
      </c>
      <c r="G28" s="67" t="n">
        <v>76.71250000000001</v>
      </c>
      <c r="H28" s="68" t="n">
        <v>58.25277777777778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6003.864457264311</v>
      </c>
      <c r="AI28" s="56" t="n">
        <v>4.615681694786432</v>
      </c>
      <c r="AK28" s="123" t="n">
        <v>4</v>
      </c>
      <c r="AL28" t="inlineStr">
        <is>
          <t>ELIQUIS</t>
        </is>
      </c>
      <c r="AM28" t="inlineStr">
        <is>
          <t>ORAL ANTICOAGULANTS</t>
        </is>
      </c>
      <c r="AN28" s="58" t="n">
        <v>63.51854929769291</v>
      </c>
    </row>
    <row r="29" ht="15" customHeight="1" thickBot="1">
      <c r="B29" s="59" t="inlineStr">
        <is>
          <t>Specialty</t>
        </is>
      </c>
      <c r="C29" s="10" t="n"/>
      <c r="D29" s="60" t="n">
        <v>3</v>
      </c>
      <c r="E29" s="61" t="n">
        <v>36</v>
      </c>
      <c r="F29" s="61" t="n">
        <v>252</v>
      </c>
      <c r="G29" s="62" t="n">
        <v>12</v>
      </c>
      <c r="H29" s="63" t="n">
        <v>84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5758.61418938181</v>
      </c>
      <c r="AI29" s="56" t="n">
        <v>9.141959392549317</v>
      </c>
      <c r="AK29" s="123" t="n">
        <v>5</v>
      </c>
      <c r="AL29" t="inlineStr">
        <is>
          <t>GENVOYA</t>
        </is>
      </c>
      <c r="AM29" t="inlineStr">
        <is>
          <t>HIV-MULTICLASS COMBO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27652.5</v>
      </c>
      <c r="F30" s="71" t="n">
        <v>21223</v>
      </c>
      <c r="G30" s="72" t="n">
        <v>76.17768595041322</v>
      </c>
      <c r="H30" s="73" t="n">
        <v>58.46556473829201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4648.157765468977</v>
      </c>
      <c r="AI30" s="56" t="n">
        <v>4.615681694786432</v>
      </c>
      <c r="AK30" s="123" t="n">
        <v>6</v>
      </c>
      <c r="AL30" t="inlineStr">
        <is>
          <t>JARDIANCE</t>
        </is>
      </c>
      <c r="AM30" t="inlineStr">
        <is>
          <t>SGLT-2 INHIBITORS &amp; COMBOS</t>
        </is>
      </c>
      <c r="AN30" s="58" t="n">
        <v>25.9010570595086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G7 SENSOR</t>
        </is>
      </c>
      <c r="AG31" t="inlineStr">
        <is>
          <t>DIABETES MONITORING AND TESTING SUPPLIES</t>
        </is>
      </c>
      <c r="AH31" s="122" t="n">
        <v>4032.006205928962</v>
      </c>
      <c r="AI31" s="56" t="n">
        <v>0</v>
      </c>
      <c r="AK31" s="123" t="n">
        <v>7</v>
      </c>
      <c r="AL31" t="inlineStr">
        <is>
          <t>ACIPHEX</t>
        </is>
      </c>
      <c r="AM31" t="inlineStr">
        <is>
          <t>PROTON PUMP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SPIRIVA RESPIMAT</t>
        </is>
      </c>
      <c r="AG32" t="inlineStr">
        <is>
          <t>LAMA/ACH</t>
        </is>
      </c>
      <c r="AH32" s="122" t="n">
        <v>3835.88036112893</v>
      </c>
      <c r="AI32" s="56" t="n">
        <v>6.511948284202157</v>
      </c>
      <c r="AK32" s="123" t="n">
        <v>8</v>
      </c>
      <c r="AL32" t="inlineStr">
        <is>
          <t>LIPITOR</t>
        </is>
      </c>
      <c r="AM32" t="inlineStr">
        <is>
          <t>STATINS &amp; COMBOS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LINZESS</t>
        </is>
      </c>
      <c r="AG33" t="inlineStr">
        <is>
          <t>IRRITABLE BOWEL SYNDROME (IBS) AGENTS</t>
        </is>
      </c>
      <c r="AH33" s="122" t="n">
        <v>3178.411971615788</v>
      </c>
      <c r="AI33" s="56" t="n">
        <v>4.775784957707994</v>
      </c>
      <c r="AK33" s="123" t="n">
        <v>9</v>
      </c>
      <c r="AL33" t="inlineStr">
        <is>
          <t>AVODART</t>
        </is>
      </c>
      <c r="AM33" t="inlineStr">
        <is>
          <t>PROSTATIC HYPERTROPHY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XIIDRA</t>
        </is>
      </c>
      <c r="AG34" t="inlineStr">
        <is>
          <t>OPHTHALMIC INTEGRIN ANTAGONIST</t>
        </is>
      </c>
      <c r="AH34" s="122" t="n">
        <v>3140.191975803396</v>
      </c>
      <c r="AI34" s="56" t="n">
        <v>6.402275534841854</v>
      </c>
      <c r="AK34" s="123" t="n">
        <v>10</v>
      </c>
      <c r="AL34" t="inlineStr">
        <is>
          <t>SYNTHROID</t>
        </is>
      </c>
      <c r="AM34" t="inlineStr">
        <is>
          <t>THYROID HORMONES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AIRSUPRA</t>
        </is>
      </c>
      <c r="AG35" t="inlineStr">
        <is>
          <t>LABA LAMA COMBO</t>
        </is>
      </c>
      <c r="AH35" s="122" t="n">
        <v>2847.999563655173</v>
      </c>
      <c r="AI35" s="56" t="n">
        <v>8.077442965876257</v>
      </c>
      <c r="AK35" s="123" t="n">
        <v>11</v>
      </c>
      <c r="AL35" t="inlineStr">
        <is>
          <t>PROLIA</t>
        </is>
      </c>
      <c r="AM35" t="inlineStr">
        <is>
          <t>OSTEOPOROSIS AGENTS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BREO ELLIPTA</t>
        </is>
      </c>
      <c r="AG36" t="inlineStr">
        <is>
          <t>LABA LAMA COMBO</t>
        </is>
      </c>
      <c r="AH36" s="122" t="n">
        <v>2773.90676440132</v>
      </c>
      <c r="AI36" s="56" t="n">
        <v>0</v>
      </c>
      <c r="AK36" s="123" t="n">
        <v>12</v>
      </c>
      <c r="AL36" t="inlineStr">
        <is>
          <t>VIAGRA</t>
        </is>
      </c>
      <c r="AM36" t="inlineStr">
        <is>
          <t>IMPOTENCE AGENTS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RHOPRESSA</t>
        </is>
      </c>
      <c r="AG37" t="inlineStr">
        <is>
          <t>OPHTHALMICS - RHO KINASE INHIBITOR &amp; COMBOS</t>
        </is>
      </c>
      <c r="AH37" s="122" t="n">
        <v>2715.823751414337</v>
      </c>
      <c r="AI37" s="56" t="n">
        <v>6.787888704218473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VYZULTA</t>
        </is>
      </c>
      <c r="AG38" t="inlineStr">
        <is>
          <t>OPHTHALMIC PROSTAGLANDINS</t>
        </is>
      </c>
      <c r="AH38" s="122" t="n">
        <v>2317.619618384833</v>
      </c>
      <c r="AI38" s="56" t="n">
        <v>4.864353177656564</v>
      </c>
      <c r="AK38" s="123" t="n">
        <v>14</v>
      </c>
      <c r="AL38" t="inlineStr">
        <is>
          <t>RASUVO</t>
        </is>
      </c>
      <c r="AM38" t="inlineStr">
        <is>
          <t>CHRONIC INFLAMMATORY DISEASE</t>
        </is>
      </c>
      <c r="AN38" s="58" t="n">
        <v>13.39308931175454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V-GO 20</t>
        </is>
      </c>
      <c r="AG39" t="inlineStr">
        <is>
          <t>INSULIN ADMINISTRATION SUPPLIES</t>
        </is>
      </c>
      <c r="AH39" s="122" t="n">
        <v>1949.59413806981</v>
      </c>
      <c r="AI39" s="56" t="n">
        <v>0</v>
      </c>
      <c r="AK39" s="123" t="n">
        <v>15</v>
      </c>
      <c r="AL39" t="inlineStr">
        <is>
          <t>NEXIUM</t>
        </is>
      </c>
      <c r="AM39" t="inlineStr">
        <is>
          <t>PROTON PUMP INHIBITORS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V-GO 30</t>
        </is>
      </c>
      <c r="AG40" t="inlineStr">
        <is>
          <t>INSULIN ADMINISTRATION SUPPLIES</t>
        </is>
      </c>
      <c r="AH40" s="122" t="n">
        <v>1949.59413806981</v>
      </c>
      <c r="AI40" s="56" t="n">
        <v>0</v>
      </c>
      <c r="AK40" s="123" t="n">
        <v>16</v>
      </c>
      <c r="AL40" t="inlineStr">
        <is>
          <t>ZEPBOUND</t>
        </is>
      </c>
      <c r="AM40" t="inlineStr">
        <is>
          <t>GLP-1 ANTI-OBESITY AGENTS</t>
        </is>
      </c>
      <c r="AN40" s="58" t="n">
        <v>1.948394549911982</v>
      </c>
    </row>
    <row r="41">
      <c r="B41" s="38" t="inlineStr">
        <is>
          <t>Retail 30</t>
        </is>
      </c>
      <c r="C41" s="10" t="n"/>
      <c r="D41" s="39" t="n">
        <v>170</v>
      </c>
      <c r="E41" s="40" t="n">
        <v>6851.4</v>
      </c>
      <c r="F41" s="40" t="n">
        <v>5338</v>
      </c>
      <c r="G41" s="41" t="n">
        <v>40.30235294117647</v>
      </c>
      <c r="H41" s="42" t="n">
        <v>31.4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1715.333889106135</v>
      </c>
      <c r="AI41" s="56" t="n">
        <v>1.097378278018554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6.797705117969311</v>
      </c>
    </row>
    <row r="42">
      <c r="B42" s="49" t="inlineStr">
        <is>
          <t>Retail 90</t>
        </is>
      </c>
      <c r="C42" s="10" t="n"/>
      <c r="D42" s="50" t="n">
        <v>94</v>
      </c>
      <c r="E42" s="51" t="n">
        <v>10234.4</v>
      </c>
      <c r="F42" s="51" t="n">
        <v>8422</v>
      </c>
      <c r="G42" s="52" t="n">
        <v>108.8765957446808</v>
      </c>
      <c r="H42" s="53" t="n">
        <v>89.59574468085107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1519.165129151073</v>
      </c>
      <c r="AI42" s="56" t="n">
        <v>0</v>
      </c>
      <c r="AK42" s="123" t="n">
        <v>18</v>
      </c>
      <c r="AL42" t="inlineStr">
        <is>
          <t>INDERAL LA</t>
        </is>
      </c>
      <c r="AM42" t="inlineStr">
        <is>
          <t>BETA BLOCKERS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96</v>
      </c>
      <c r="E43" s="61" t="n">
        <v>10530.7</v>
      </c>
      <c r="F43" s="61" t="n">
        <v>7211</v>
      </c>
      <c r="G43" s="62" t="n">
        <v>109.6947916666667</v>
      </c>
      <c r="H43" s="63" t="n">
        <v>75.11458333333333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ARNUITY ELLIPTA</t>
        </is>
      </c>
      <c r="AG43" t="inlineStr">
        <is>
          <t>INHALED CORTICOSTEROIDS (ICS)</t>
        </is>
      </c>
      <c r="AH43" s="122" t="n">
        <v>1319.352144586845</v>
      </c>
      <c r="AI43" s="56" t="n">
        <v>0</v>
      </c>
      <c r="AK43" s="123" t="n">
        <v>19</v>
      </c>
      <c r="AL43" t="inlineStr">
        <is>
          <t>XDEMVY</t>
        </is>
      </c>
      <c r="AM43" t="inlineStr">
        <is>
          <t>OPHTHALMIC ANTI-INFECTIVES</t>
        </is>
      </c>
      <c r="AN43" s="58" t="n">
        <v>2.592208925255899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360</v>
      </c>
      <c r="E44" s="66" t="n">
        <v>27616.5</v>
      </c>
      <c r="F44" s="66" t="n">
        <v>20971</v>
      </c>
      <c r="G44" s="67" t="n">
        <v>76.71250000000001</v>
      </c>
      <c r="H44" s="68" t="n">
        <v>58.25277777777778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PREMARIN</t>
        </is>
      </c>
      <c r="AG44" s="82" t="inlineStr">
        <is>
          <t>VAGINAL ESTROGENS</t>
        </is>
      </c>
      <c r="AH44" s="125" t="n">
        <v>1050.822291934702</v>
      </c>
      <c r="AI44" s="84" t="n">
        <v>5.413110708547088</v>
      </c>
      <c r="AK44" s="126" t="n">
        <v>20</v>
      </c>
      <c r="AL44" s="86" t="inlineStr">
        <is>
          <t>LEXAPRO</t>
        </is>
      </c>
      <c r="AM44" s="86" t="inlineStr">
        <is>
          <t>ANTIDEPRESSANTS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3</v>
      </c>
      <c r="E45" s="61" t="n">
        <v>36</v>
      </c>
      <c r="F45" s="61" t="n">
        <v>252</v>
      </c>
      <c r="G45" s="62" t="n">
        <v>12</v>
      </c>
      <c r="H45" s="63" t="n">
        <v>84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27652.5</v>
      </c>
      <c r="F46" s="71" t="n">
        <v>21223</v>
      </c>
      <c r="G46" s="72" t="n">
        <v>76.17768595041322</v>
      </c>
      <c r="H46" s="73" t="n">
        <v>58.46556473829201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60099.70267713496</v>
      </c>
      <c r="AH49" s="46" t="n">
        <v>49.86769475813242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26967.75168511963</v>
      </c>
      <c r="AH50" s="56" t="n">
        <v>26.54016974502198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5758.61418938181</v>
      </c>
      <c r="AH51" s="56" t="n">
        <v>9.141959392549317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4371.436864074398</v>
      </c>
      <c r="AH52" s="56" t="n">
        <v>0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INSULIN ADMINISTRATION SUPPLIES</t>
        </is>
      </c>
      <c r="AG53" s="122" t="n">
        <v>3899.18827613962</v>
      </c>
      <c r="AH53" s="56" t="n">
        <v>0</v>
      </c>
    </row>
    <row r="54">
      <c r="B54" s="49" t="inlineStr">
        <is>
          <t>Devices</t>
        </is>
      </c>
      <c r="D54" s="130" t="n">
        <v>4</v>
      </c>
      <c r="E54" s="131" t="n">
        <v>0</v>
      </c>
      <c r="F54" s="131" t="n">
        <v>7</v>
      </c>
      <c r="G54" s="131" t="n">
        <v>0</v>
      </c>
      <c r="H54" s="132" t="n">
        <v>11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LAMA/ACH</t>
        </is>
      </c>
      <c r="AG54" s="122" t="n">
        <v>3835.88036112893</v>
      </c>
      <c r="AH54" s="56" t="n">
        <v>6.511948284202157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IRRITABLE BOWEL SYNDROME (IBS) AGENTS</t>
        </is>
      </c>
      <c r="AG55" s="122" t="n">
        <v>3178.411971615788</v>
      </c>
      <c r="AH55" s="56" t="n">
        <v>4.775784957707994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OPHTHALMIC INTEGRIN ANTAGONIST</t>
        </is>
      </c>
      <c r="AG56" s="122" t="n">
        <v>3140.191975803396</v>
      </c>
      <c r="AH56" s="56" t="n">
        <v>6.402275534841854</v>
      </c>
    </row>
    <row r="57">
      <c r="B57" s="64" t="inlineStr">
        <is>
          <t>MSBs</t>
        </is>
      </c>
      <c r="D57" s="130" t="n">
        <v>67</v>
      </c>
      <c r="E57" s="131" t="n">
        <v>61</v>
      </c>
      <c r="F57" s="131" t="n">
        <v>79</v>
      </c>
      <c r="G57" s="131" t="n">
        <v>0</v>
      </c>
      <c r="H57" s="132" t="n">
        <v>207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OPHTHALMICS - RHO KINASE INHIBITOR &amp; COMBOS</t>
        </is>
      </c>
      <c r="AG57" s="122" t="n">
        <v>2715.823751414337</v>
      </c>
      <c r="AH57" s="56" t="n">
        <v>6.787888704218474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OPHTHALMIC PROSTAGLANDINS</t>
        </is>
      </c>
      <c r="AG58" s="122" t="n">
        <v>2317.619618384833</v>
      </c>
      <c r="AH58" s="56" t="n">
        <v>9.941213731134351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DIGESTIVE ENZYMES</t>
        </is>
      </c>
      <c r="AG59" s="122" t="n">
        <v>1715.333889106135</v>
      </c>
      <c r="AH59" s="56" t="n">
        <v>1.097378278018554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DIABETES TEST STRIPS</t>
        </is>
      </c>
      <c r="AG60" s="122" t="n">
        <v>1519.165129151073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INHALED CORTICOSTEROIDS (ICS)</t>
        </is>
      </c>
      <c r="AG61" s="122" t="n">
        <v>1319.352144586845</v>
      </c>
      <c r="AH61" s="56" t="n">
        <v>0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VAGINAL ESTROGENS</t>
        </is>
      </c>
      <c r="AG62" s="122" t="n">
        <v>1050.822291934702</v>
      </c>
      <c r="AH62" s="56" t="n">
        <v>5.413110708547088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34</v>
      </c>
      <c r="H63" s="132" t="n">
        <v>39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BASAL INSULIN</t>
        </is>
      </c>
      <c r="AG63" s="122" t="n">
        <v>1023.793496022804</v>
      </c>
      <c r="AH63" s="56" t="n">
        <v>5.201365799081882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34</v>
      </c>
      <c r="H64" s="135" t="n">
        <v>34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MISC. ANTIVIRALS</t>
        </is>
      </c>
      <c r="AG64" s="122" t="n">
        <v>825.4853483728185</v>
      </c>
      <c r="AH64" s="56" t="n">
        <v>1.99057346682708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ATYPICAL ANTIPSYCHOTICS</t>
        </is>
      </c>
      <c r="AG65" s="122" t="n">
        <v>798.7798250534602</v>
      </c>
      <c r="AH65" s="56" t="n">
        <v>1.236461488363929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LAXATIVES</t>
        </is>
      </c>
      <c r="AG66" s="122" t="n">
        <v>164.3013003104025</v>
      </c>
      <c r="AH66" s="56" t="n">
        <v>2.624231151487781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RAPID ACTING</t>
        </is>
      </c>
      <c r="AG67" s="122" t="n">
        <v>80.28978246687787</v>
      </c>
      <c r="AH67" s="56" t="n">
        <v>4.334471499234902</v>
      </c>
    </row>
    <row r="68" ht="15.6" customHeight="1" thickBot="1" thickTop="1">
      <c r="B68" s="69" t="inlineStr">
        <is>
          <t>Total</t>
        </is>
      </c>
      <c r="D68" s="142" t="n">
        <v>86</v>
      </c>
      <c r="E68" s="143" t="n">
        <v>64</v>
      </c>
      <c r="F68" s="143" t="n">
        <v>97</v>
      </c>
      <c r="G68" s="143" t="n">
        <v>34</v>
      </c>
      <c r="H68" s="144" t="n">
        <v>315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ONCOLOGY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4</v>
      </c>
      <c r="E90" s="131" t="n">
        <v>0</v>
      </c>
      <c r="F90" s="131" t="n">
        <v>7</v>
      </c>
      <c r="G90" s="131" t="n">
        <v>0</v>
      </c>
      <c r="H90" s="132" t="n">
        <v>11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67</v>
      </c>
      <c r="E93" s="131" t="n">
        <v>61</v>
      </c>
      <c r="F93" s="131" t="n">
        <v>79</v>
      </c>
      <c r="G93" s="131" t="n">
        <v>0</v>
      </c>
      <c r="H93" s="132" t="n">
        <v>207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34</v>
      </c>
      <c r="H99" s="132" t="n">
        <v>39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34</v>
      </c>
      <c r="H100" s="135" t="n">
        <v>34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86</v>
      </c>
      <c r="E104" s="143" t="n">
        <v>64</v>
      </c>
      <c r="F104" s="143" t="n">
        <v>97</v>
      </c>
      <c r="G104" s="143" t="n">
        <v>34</v>
      </c>
      <c r="H104" s="144" t="n">
        <v>315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37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170</v>
      </c>
      <c r="E25" s="40" t="n">
        <v>6851.4</v>
      </c>
      <c r="F25" s="40" t="n">
        <v>5338</v>
      </c>
      <c r="G25" s="41" t="n">
        <v>40.30235294117647</v>
      </c>
      <c r="H25" s="42" t="n">
        <v>31.4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64043.47173804007</v>
      </c>
      <c r="AI25" s="46" t="n">
        <v>51.41716743555845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94</v>
      </c>
      <c r="E26" s="51" t="n">
        <v>10234.4</v>
      </c>
      <c r="F26" s="51" t="n">
        <v>8422</v>
      </c>
      <c r="G26" s="52" t="n">
        <v>108.8765957446808</v>
      </c>
      <c r="H26" s="53" t="n">
        <v>89.59574468085107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10984.22766401688</v>
      </c>
      <c r="AI26" s="56" t="n">
        <v>8.449651537743833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96</v>
      </c>
      <c r="E27" s="61" t="n">
        <v>10530.7</v>
      </c>
      <c r="F27" s="61" t="n">
        <v>7211</v>
      </c>
      <c r="G27" s="62" t="n">
        <v>109.6947916666667</v>
      </c>
      <c r="H27" s="63" t="n">
        <v>75.11458333333333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8672.573012237981</v>
      </c>
      <c r="AI27" s="56" t="n">
        <v>6.664732059646523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3.273092722030352</v>
      </c>
    </row>
    <row r="28" ht="15" customHeight="1" thickTop="1">
      <c r="B28" s="64" t="inlineStr">
        <is>
          <t>Non-Specialty</t>
        </is>
      </c>
      <c r="C28" s="10" t="n"/>
      <c r="D28" s="65" t="n">
        <v>360</v>
      </c>
      <c r="E28" s="66" t="n">
        <v>27616.5</v>
      </c>
      <c r="F28" s="66" t="n">
        <v>20971</v>
      </c>
      <c r="G28" s="67" t="n">
        <v>76.71250000000001</v>
      </c>
      <c r="H28" s="68" t="n">
        <v>58.25277777777778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6602.046907443629</v>
      </c>
      <c r="AI28" s="56" t="n">
        <v>4.828372307282191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3</v>
      </c>
      <c r="E29" s="61" t="n">
        <v>36</v>
      </c>
      <c r="F29" s="61" t="n">
        <v>252</v>
      </c>
      <c r="G29" s="62" t="n">
        <v>12</v>
      </c>
      <c r="H29" s="63" t="n">
        <v>84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6048.064903563136</v>
      </c>
      <c r="AI29" s="56" t="n">
        <v>9.146347533057739</v>
      </c>
      <c r="AK29" s="123" t="n">
        <v>5</v>
      </c>
      <c r="AL29" t="inlineStr">
        <is>
          <t>JARDIANCE</t>
        </is>
      </c>
      <c r="AM29" t="inlineStr">
        <is>
          <t>SGLT-2 INHIBITORS &amp; COMBOS</t>
        </is>
      </c>
      <c r="AN29" s="58" t="n">
        <v>29.1474955513474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27652.5</v>
      </c>
      <c r="F30" s="71" t="n">
        <v>21223</v>
      </c>
      <c r="G30" s="72" t="n">
        <v>76.17768595041322</v>
      </c>
      <c r="H30" s="73" t="n">
        <v>58.46556473829201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5140.863302994366</v>
      </c>
      <c r="AI30" s="56" t="n">
        <v>4.828372307282191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G7 SENSOR</t>
        </is>
      </c>
      <c r="AG31" t="inlineStr">
        <is>
          <t>DIABETES MONITORING AND TESTING SUPPLIES</t>
        </is>
      </c>
      <c r="AH31" s="122" t="n">
        <v>4350.202823135804</v>
      </c>
      <c r="AI31" s="56" t="n">
        <v>0</v>
      </c>
      <c r="AK31" s="123" t="n">
        <v>7</v>
      </c>
      <c r="AL31" t="inlineStr">
        <is>
          <t>LIPITOR</t>
        </is>
      </c>
      <c r="AM31" t="inlineStr">
        <is>
          <t>STATINS &amp; COMBOS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SPIRIVA RESPIMAT</t>
        </is>
      </c>
      <c r="AG32" t="inlineStr">
        <is>
          <t>LAMA/ACH</t>
        </is>
      </c>
      <c r="AH32" s="122" t="n">
        <v>4160.96216215803</v>
      </c>
      <c r="AI32" s="56" t="n">
        <v>6.675007469238579</v>
      </c>
      <c r="AK32" s="123" t="n">
        <v>8</v>
      </c>
      <c r="AL32" t="inlineStr">
        <is>
          <t>AVODART</t>
        </is>
      </c>
      <c r="AM32" t="inlineStr">
        <is>
          <t>PROSTATIC HYPERTROPHY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XIIDRA</t>
        </is>
      </c>
      <c r="AG33" t="inlineStr">
        <is>
          <t>OPHTHALMIC INTEGRIN ANTAGONIST</t>
        </is>
      </c>
      <c r="AH33" s="122" t="n">
        <v>3197.724823815559</v>
      </c>
      <c r="AI33" s="56" t="n">
        <v>6.067564569880322</v>
      </c>
      <c r="AK33" s="123" t="n">
        <v>9</v>
      </c>
      <c r="AL33" t="inlineStr">
        <is>
          <t>SYNTHROID</t>
        </is>
      </c>
      <c r="AM33" t="inlineStr">
        <is>
          <t>THYROID HORMONES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AIRSUPRA</t>
        </is>
      </c>
      <c r="AG34" t="inlineStr">
        <is>
          <t>LABA LAMA COMBO</t>
        </is>
      </c>
      <c r="AH34" s="122" t="n">
        <v>3119.69215431199</v>
      </c>
      <c r="AI34" s="56" t="n">
        <v>8.449651537743833</v>
      </c>
      <c r="AK34" s="123" t="n">
        <v>10</v>
      </c>
      <c r="AL34" t="inlineStr">
        <is>
          <t>PROLIA</t>
        </is>
      </c>
      <c r="AM34" t="inlineStr">
        <is>
          <t>OSTEOPOROSIS AGENTS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V-GO 20</t>
        </is>
      </c>
      <c r="AG35" t="inlineStr">
        <is>
          <t>INSULIN ADMINISTRATION SUPPLIES</t>
        </is>
      </c>
      <c r="AH35" s="122" t="n">
        <v>2991.278587224761</v>
      </c>
      <c r="AI35" s="56" t="n">
        <v>0</v>
      </c>
      <c r="AK35" s="123" t="n">
        <v>11</v>
      </c>
      <c r="AL35" t="inlineStr">
        <is>
          <t>ELIQUIS</t>
        </is>
      </c>
      <c r="AM35" t="inlineStr">
        <is>
          <t>ORAL ANTICOAGULANTS</t>
        </is>
      </c>
      <c r="AN35" s="58" t="n">
        <v>9.393915268543527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V-GO 30</t>
        </is>
      </c>
      <c r="AG36" t="inlineStr">
        <is>
          <t>INSULIN ADMINISTRATION SUPPLIES</t>
        </is>
      </c>
      <c r="AH36" s="122" t="n">
        <v>2991.278587224761</v>
      </c>
      <c r="AI36" s="56" t="n">
        <v>0</v>
      </c>
      <c r="AK36" s="123" t="n">
        <v>12</v>
      </c>
      <c r="AL36" t="inlineStr">
        <is>
          <t>VIAGRA</t>
        </is>
      </c>
      <c r="AM36" t="inlineStr">
        <is>
          <t>IMPOTENCE AGENTS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RHOPRESSA</t>
        </is>
      </c>
      <c r="AG37" t="inlineStr">
        <is>
          <t>OPHTHALMICS - RHO KINASE INHIBITOR &amp; COMBOS</t>
        </is>
      </c>
      <c r="AH37" s="122" t="n">
        <v>2882.150220914549</v>
      </c>
      <c r="AI37" s="56" t="n">
        <v>6.720824363820796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1863.142707356692</v>
      </c>
      <c r="AI38" s="56" t="n">
        <v>1.130442285535253</v>
      </c>
      <c r="AK38" s="123" t="n">
        <v>14</v>
      </c>
      <c r="AL38" t="inlineStr">
        <is>
          <t>NEXIUM</t>
        </is>
      </c>
      <c r="AM38" t="inlineStr">
        <is>
          <t>PROTON PUMP INHIBITORS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LINZESS</t>
        </is>
      </c>
      <c r="AG39" t="inlineStr">
        <is>
          <t>IRRITABLE BOWEL SYNDROME (IBS) AGENTS</t>
        </is>
      </c>
      <c r="AH39" s="122" t="n">
        <v>1707.088828373905</v>
      </c>
      <c r="AI39" s="56" t="n">
        <v>3.148664098804754</v>
      </c>
      <c r="AK39" s="123" t="n">
        <v>15</v>
      </c>
      <c r="AL39" t="inlineStr">
        <is>
          <t>ZEPBOUND</t>
        </is>
      </c>
      <c r="AM39" t="inlineStr">
        <is>
          <t>GLP-1 ANTI-OBESITY AGENTS</t>
        </is>
      </c>
      <c r="AN39" s="58" t="n">
        <v>2.338073459894379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CONTOUR NEXT BLOOD GLUCOSE TEST</t>
        </is>
      </c>
      <c r="AG40" t="inlineStr">
        <is>
          <t>DIABETES TEST STRIPS</t>
        </is>
      </c>
      <c r="AH40" s="122" t="n">
        <v>1593.672869095875</v>
      </c>
      <c r="AI40" s="56" t="n">
        <v>0</v>
      </c>
      <c r="AK40" s="123" t="n">
        <v>16</v>
      </c>
      <c r="AL40" t="inlineStr">
        <is>
          <t>RASUVO</t>
        </is>
      </c>
      <c r="AM40" t="inlineStr">
        <is>
          <t>CHRONIC INFLAMMATORY DISEASE</t>
        </is>
      </c>
      <c r="AN40" s="58" t="n">
        <v>10.38270607772277</v>
      </c>
    </row>
    <row r="41">
      <c r="B41" s="38" t="inlineStr">
        <is>
          <t>Retail 30</t>
        </is>
      </c>
      <c r="C41" s="10" t="n"/>
      <c r="D41" s="39" t="n">
        <v>170</v>
      </c>
      <c r="E41" s="40" t="n">
        <v>6851.4</v>
      </c>
      <c r="F41" s="40" t="n">
        <v>5338</v>
      </c>
      <c r="G41" s="41" t="n">
        <v>40.30235294117647</v>
      </c>
      <c r="H41" s="42" t="n">
        <v>31.4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ARNUITY ELLIPTA</t>
        </is>
      </c>
      <c r="AG41" t="inlineStr">
        <is>
          <t>INHALED CORTICOSTEROIDS (ICS)</t>
        </is>
      </c>
      <c r="AH41" s="122" t="n">
        <v>1267.7614891689</v>
      </c>
      <c r="AI41" s="56" t="n">
        <v>0</v>
      </c>
      <c r="AK41" s="123" t="n">
        <v>17</v>
      </c>
      <c r="AL41" t="inlineStr">
        <is>
          <t>XDEMVY</t>
        </is>
      </c>
      <c r="AM41" t="inlineStr">
        <is>
          <t>OPHTHALMIC ANTI-INFECTIVES</t>
        </is>
      </c>
      <c r="AN41" s="58" t="n">
        <v>2.753936840102614</v>
      </c>
    </row>
    <row r="42">
      <c r="B42" s="49" t="inlineStr">
        <is>
          <t>Retail 90</t>
        </is>
      </c>
      <c r="C42" s="10" t="n"/>
      <c r="D42" s="50" t="n">
        <v>94</v>
      </c>
      <c r="E42" s="51" t="n">
        <v>10234.4</v>
      </c>
      <c r="F42" s="51" t="n">
        <v>8422</v>
      </c>
      <c r="G42" s="52" t="n">
        <v>108.8765957446808</v>
      </c>
      <c r="H42" s="53" t="n">
        <v>89.59574468085107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PREMARIN</t>
        </is>
      </c>
      <c r="AG42" t="inlineStr">
        <is>
          <t>VAGINAL ESTROGENS</t>
        </is>
      </c>
      <c r="AH42" s="122" t="n">
        <v>1212.360671612034</v>
      </c>
      <c r="AI42" s="56" t="n">
        <v>5.90072372117301</v>
      </c>
      <c r="AK42" s="123" t="n">
        <v>18</v>
      </c>
      <c r="AL42" t="inlineStr">
        <is>
          <t>INDERAL LA</t>
        </is>
      </c>
      <c r="AM42" t="inlineStr">
        <is>
          <t>BETA BLOCKERS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96</v>
      </c>
      <c r="E43" s="61" t="n">
        <v>10530.7</v>
      </c>
      <c r="F43" s="61" t="n">
        <v>7211</v>
      </c>
      <c r="G43" s="62" t="n">
        <v>109.6947916666667</v>
      </c>
      <c r="H43" s="63" t="n">
        <v>75.11458333333333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BREO ELLIPTA</t>
        </is>
      </c>
      <c r="AG43" t="inlineStr">
        <is>
          <t>LABA LAMA COMBO</t>
        </is>
      </c>
      <c r="AH43" s="122" t="n">
        <v>1076.064078369986</v>
      </c>
      <c r="AI43" s="56" t="n">
        <v>0</v>
      </c>
      <c r="AK43" s="123" t="n">
        <v>19</v>
      </c>
      <c r="AL43" t="inlineStr">
        <is>
          <t>MIEBO</t>
        </is>
      </c>
      <c r="AM43" t="inlineStr">
        <is>
          <t>OPHTHALMICS - MISC.</t>
        </is>
      </c>
      <c r="AN43" s="58" t="n">
        <v>6.259258895574963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360</v>
      </c>
      <c r="E44" s="66" t="n">
        <v>27616.5</v>
      </c>
      <c r="F44" s="66" t="n">
        <v>20971</v>
      </c>
      <c r="G44" s="67" t="n">
        <v>76.71250000000001</v>
      </c>
      <c r="H44" s="68" t="n">
        <v>58.25277777777778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903.4360040654154</v>
      </c>
      <c r="AI44" s="84" t="n">
        <v>1.329196099991223</v>
      </c>
      <c r="AK44" s="126" t="n">
        <v>20</v>
      </c>
      <c r="AL44" s="86" t="inlineStr">
        <is>
          <t>LEXAPRO</t>
        </is>
      </c>
      <c r="AM44" s="86" t="inlineStr">
        <is>
          <t>ANTIDEPRESSANTS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3</v>
      </c>
      <c r="E45" s="61" t="n">
        <v>36</v>
      </c>
      <c r="F45" s="61" t="n">
        <v>252</v>
      </c>
      <c r="G45" s="62" t="n">
        <v>12</v>
      </c>
      <c r="H45" s="63" t="n">
        <v>84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27652.5</v>
      </c>
      <c r="F46" s="71" t="n">
        <v>21223</v>
      </c>
      <c r="G46" s="72" t="n">
        <v>76.17768595041322</v>
      </c>
      <c r="H46" s="73" t="n">
        <v>58.46556473829201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72779.52204614585</v>
      </c>
      <c r="AH49" s="46" t="n">
        <v>58.12481008580384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27403.00678489518</v>
      </c>
      <c r="AH50" s="56" t="n">
        <v>27.7631407668726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6048.064903563136</v>
      </c>
      <c r="AH51" s="56" t="n">
        <v>9.146347533057741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INSULIN ADMINISTRATION SUPPLIES</t>
        </is>
      </c>
      <c r="AG52" s="122" t="n">
        <v>5982.557174449522</v>
      </c>
      <c r="AH52" s="56" t="n">
        <v>0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DIABETES MONITORING AND TESTING SUPPLIES</t>
        </is>
      </c>
      <c r="AG53" s="122" t="n">
        <v>4716.420564852526</v>
      </c>
      <c r="AH53" s="56" t="n">
        <v>0</v>
      </c>
    </row>
    <row r="54">
      <c r="B54" s="49" t="inlineStr">
        <is>
          <t>Devices</t>
        </is>
      </c>
      <c r="D54" s="130" t="n">
        <v>4</v>
      </c>
      <c r="E54" s="131" t="n">
        <v>0</v>
      </c>
      <c r="F54" s="131" t="n">
        <v>7</v>
      </c>
      <c r="G54" s="131" t="n">
        <v>0</v>
      </c>
      <c r="H54" s="132" t="n">
        <v>11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LAMA/ACH</t>
        </is>
      </c>
      <c r="AG54" s="122" t="n">
        <v>4160.96216215803</v>
      </c>
      <c r="AH54" s="56" t="n">
        <v>6.675007469238579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OPHTHALMIC INTEGRIN ANTAGONIST</t>
        </is>
      </c>
      <c r="AG55" s="122" t="n">
        <v>3197.724823815559</v>
      </c>
      <c r="AH55" s="56" t="n">
        <v>6.067564569880322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OPHTHALMICS - RHO KINASE INHIBITOR &amp; COMBOS</t>
        </is>
      </c>
      <c r="AG56" s="122" t="n">
        <v>2882.150220914549</v>
      </c>
      <c r="AH56" s="56" t="n">
        <v>6.720824363820796</v>
      </c>
    </row>
    <row r="57">
      <c r="B57" s="64" t="inlineStr">
        <is>
          <t>MSBs</t>
        </is>
      </c>
      <c r="D57" s="130" t="n">
        <v>67</v>
      </c>
      <c r="E57" s="131" t="n">
        <v>61</v>
      </c>
      <c r="F57" s="131" t="n">
        <v>79</v>
      </c>
      <c r="G57" s="131" t="n">
        <v>0</v>
      </c>
      <c r="H57" s="132" t="n">
        <v>207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DIGESTIVE ENZYMES</t>
        </is>
      </c>
      <c r="AG57" s="122" t="n">
        <v>1863.142707356692</v>
      </c>
      <c r="AH57" s="56" t="n">
        <v>1.130442285535253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IRRITABLE BOWEL SYNDROME (IBS) AGENTS</t>
        </is>
      </c>
      <c r="AG58" s="122" t="n">
        <v>1707.088828373905</v>
      </c>
      <c r="AH58" s="56" t="n">
        <v>3.148664098804754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DIABETES TEST STRIPS</t>
        </is>
      </c>
      <c r="AG59" s="122" t="n">
        <v>1593.672869095875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INHALED CORTICOSTEROIDS (ICS)</t>
        </is>
      </c>
      <c r="AG60" s="122" t="n">
        <v>1267.7614891689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VAGINAL ESTROGENS</t>
        </is>
      </c>
      <c r="AG61" s="122" t="n">
        <v>1212.360671612034</v>
      </c>
      <c r="AH61" s="56" t="n">
        <v>5.90072372117301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BASAL INSULIN</t>
        </is>
      </c>
      <c r="AG62" s="122" t="n">
        <v>1023.419889797859</v>
      </c>
      <c r="AH62" s="56" t="n">
        <v>4.964599627907676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34</v>
      </c>
      <c r="H63" s="132" t="n">
        <v>39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ATYPICAL ANTIPSYCHOTICS</t>
        </is>
      </c>
      <c r="AG63" s="122" t="n">
        <v>903.4360040654154</v>
      </c>
      <c r="AH63" s="56" t="n">
        <v>1.329196099991223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34</v>
      </c>
      <c r="H64" s="135" t="n">
        <v>34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MISC. ANTIVIRALS</t>
        </is>
      </c>
      <c r="AG64" s="122" t="n">
        <v>860.2452755421123</v>
      </c>
      <c r="AH64" s="56" t="n">
        <v>1.980998808451642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OPHTHALMIC PROSTAGLANDINS</t>
        </is>
      </c>
      <c r="AG65" s="122" t="n">
        <v>624.5588280804684</v>
      </c>
      <c r="AH65" s="56" t="n">
        <v>6.176642995867134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RAPID ACTING</t>
        </is>
      </c>
      <c r="AG66" s="122" t="n">
        <v>78.44958836750484</v>
      </c>
      <c r="AH66" s="56" t="n">
        <v>4.137166356589729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LAXATIVES</t>
        </is>
      </c>
      <c r="AG67" s="122" t="n">
        <v>46.00803534636769</v>
      </c>
      <c r="AH67" s="56" t="n">
        <v>1.973322278771683</v>
      </c>
    </row>
    <row r="68" ht="15.6" customHeight="1" thickBot="1" thickTop="1">
      <c r="B68" s="69" t="inlineStr">
        <is>
          <t>Total</t>
        </is>
      </c>
      <c r="D68" s="142" t="n">
        <v>86</v>
      </c>
      <c r="E68" s="143" t="n">
        <v>64</v>
      </c>
      <c r="F68" s="143" t="n">
        <v>97</v>
      </c>
      <c r="G68" s="143" t="n">
        <v>34</v>
      </c>
      <c r="H68" s="144" t="n">
        <v>315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ONCOLOGY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4</v>
      </c>
      <c r="E90" s="131" t="n">
        <v>0</v>
      </c>
      <c r="F90" s="131" t="n">
        <v>7</v>
      </c>
      <c r="G90" s="131" t="n">
        <v>0</v>
      </c>
      <c r="H90" s="132" t="n">
        <v>11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67</v>
      </c>
      <c r="E93" s="131" t="n">
        <v>61</v>
      </c>
      <c r="F93" s="131" t="n">
        <v>79</v>
      </c>
      <c r="G93" s="131" t="n">
        <v>0</v>
      </c>
      <c r="H93" s="132" t="n">
        <v>207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34</v>
      </c>
      <c r="H99" s="132" t="n">
        <v>39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34</v>
      </c>
      <c r="H100" s="135" t="n">
        <v>34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86</v>
      </c>
      <c r="E104" s="143" t="n">
        <v>64</v>
      </c>
      <c r="F104" s="143" t="n">
        <v>97</v>
      </c>
      <c r="G104" s="143" t="n">
        <v>34</v>
      </c>
      <c r="H104" s="144" t="n">
        <v>315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37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170</v>
      </c>
      <c r="E25" s="40" t="n">
        <v>6851.4</v>
      </c>
      <c r="F25" s="40" t="n">
        <v>5338</v>
      </c>
      <c r="G25" s="41" t="n">
        <v>40.30235294117647</v>
      </c>
      <c r="H25" s="42" t="n">
        <v>31.4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78816.00626191395</v>
      </c>
      <c r="AI25" s="46" t="n">
        <v>61.66266847973219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94</v>
      </c>
      <c r="E26" s="51" t="n">
        <v>10234.4</v>
      </c>
      <c r="F26" s="51" t="n">
        <v>8422</v>
      </c>
      <c r="G26" s="52" t="n">
        <v>108.8765957446808</v>
      </c>
      <c r="H26" s="53" t="n">
        <v>89.59574468085107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11957.11386915134</v>
      </c>
      <c r="AI26" s="56" t="n">
        <v>8.83901148060307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96</v>
      </c>
      <c r="E27" s="61" t="n">
        <v>10530.7</v>
      </c>
      <c r="F27" s="61" t="n">
        <v>7211</v>
      </c>
      <c r="G27" s="62" t="n">
        <v>109.6947916666667</v>
      </c>
      <c r="H27" s="63" t="n">
        <v>75.11458333333333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8676.100013225547</v>
      </c>
      <c r="AI27" s="56" t="n">
        <v>6.398142777260663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3.338259998125977</v>
      </c>
    </row>
    <row r="28" ht="15" customHeight="1" thickTop="1">
      <c r="B28" s="64" t="inlineStr">
        <is>
          <t>Non-Specialty</t>
        </is>
      </c>
      <c r="C28" s="10" t="n"/>
      <c r="D28" s="65" t="n">
        <v>360</v>
      </c>
      <c r="E28" s="66" t="n">
        <v>27616.5</v>
      </c>
      <c r="F28" s="66" t="n">
        <v>20971</v>
      </c>
      <c r="G28" s="67" t="n">
        <v>76.71250000000001</v>
      </c>
      <c r="H28" s="68" t="n">
        <v>58.25277777777778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7177.156153383478</v>
      </c>
      <c r="AI28" s="56" t="n">
        <v>5.050863703201753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3</v>
      </c>
      <c r="E29" s="61" t="n">
        <v>36</v>
      </c>
      <c r="F29" s="61" t="n">
        <v>252</v>
      </c>
      <c r="G29" s="62" t="n">
        <v>12</v>
      </c>
      <c r="H29" s="63" t="n">
        <v>84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6254.51742875308</v>
      </c>
      <c r="AI29" s="56" t="n">
        <v>9.116896294001297</v>
      </c>
      <c r="AK29" s="123" t="n">
        <v>5</v>
      </c>
      <c r="AL29" t="inlineStr">
        <is>
          <t>JARDIANCE</t>
        </is>
      </c>
      <c r="AM29" t="inlineStr">
        <is>
          <t>SGLT-2 INHIBITORS &amp; COMBOS</t>
        </is>
      </c>
      <c r="AN29" s="58" t="n">
        <v>32.70086673401217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27652.5</v>
      </c>
      <c r="F30" s="71" t="n">
        <v>21223</v>
      </c>
      <c r="G30" s="72" t="n">
        <v>76.17768595041322</v>
      </c>
      <c r="H30" s="73" t="n">
        <v>58.46556473829201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5628.852136237471</v>
      </c>
      <c r="AI30" s="56" t="n">
        <v>5.050863703201753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V-GO 20</t>
        </is>
      </c>
      <c r="AG31" t="inlineStr">
        <is>
          <t>INSULIN ADMINISTRATION SUPPLIES</t>
        </is>
      </c>
      <c r="AH31" s="122" t="n">
        <v>4549.550472108819</v>
      </c>
      <c r="AI31" s="56" t="n">
        <v>0</v>
      </c>
      <c r="AK31" s="123" t="n">
        <v>7</v>
      </c>
      <c r="AL31" t="inlineStr">
        <is>
          <t>LIPITOR</t>
        </is>
      </c>
      <c r="AM31" t="inlineStr">
        <is>
          <t>STATINS &amp; COMBOS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V-GO 30</t>
        </is>
      </c>
      <c r="AG32" t="inlineStr">
        <is>
          <t>INSULIN ADMINISTRATION SUPPLIES</t>
        </is>
      </c>
      <c r="AH32" s="122" t="n">
        <v>4549.550472108819</v>
      </c>
      <c r="AI32" s="56" t="n">
        <v>0</v>
      </c>
      <c r="AK32" s="123" t="n">
        <v>8</v>
      </c>
      <c r="AL32" t="inlineStr">
        <is>
          <t>AVODART</t>
        </is>
      </c>
      <c r="AM32" t="inlineStr">
        <is>
          <t>PROSTATIC HYPERTROPHY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4469.377130929079</v>
      </c>
      <c r="AI33" s="56" t="n">
        <v>6.842149656268312</v>
      </c>
      <c r="AK33" s="123" t="n">
        <v>9</v>
      </c>
      <c r="AL33" t="inlineStr">
        <is>
          <t>PROLIA</t>
        </is>
      </c>
      <c r="AM33" t="inlineStr">
        <is>
          <t>OSTEOPOROSIS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3024.556536820931</v>
      </c>
      <c r="AI34" s="56" t="n">
        <v>6.654422619106247</v>
      </c>
      <c r="AK34" s="123" t="n">
        <v>10</v>
      </c>
      <c r="AL34" t="inlineStr">
        <is>
          <t>SYNTHROID</t>
        </is>
      </c>
      <c r="AM34" t="inlineStr">
        <is>
          <t>THYROID HORMONES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AIRSUPRA</t>
        </is>
      </c>
      <c r="AG35" t="inlineStr">
        <is>
          <t>LABA LAMA COMBO</t>
        </is>
      </c>
      <c r="AH35" s="122" t="n">
        <v>2231.88452544884</v>
      </c>
      <c r="AI35" s="56" t="n">
        <v>6.722510181572662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2001.340877920067</v>
      </c>
      <c r="AI36" s="56" t="n">
        <v>1.16192510318741</v>
      </c>
      <c r="AK36" s="123" t="n">
        <v>12</v>
      </c>
      <c r="AL36" t="inlineStr">
        <is>
          <t>ZEPBOUND</t>
        </is>
      </c>
      <c r="AM36" t="inlineStr">
        <is>
          <t>GLP-1 ANTI-OBESITY AGENTS</t>
        </is>
      </c>
      <c r="AN36" s="58" t="n">
        <v>2.805688151873254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PREMARIN</t>
        </is>
      </c>
      <c r="AG37" t="inlineStr">
        <is>
          <t>VAGINAL ESTROGENS</t>
        </is>
      </c>
      <c r="AH37" s="122" t="n">
        <v>1374.07878237639</v>
      </c>
      <c r="AI37" s="56" t="n">
        <v>6.381219653788129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ARNUITY ELLIPTA</t>
        </is>
      </c>
      <c r="AG38" t="inlineStr">
        <is>
          <t>INHALED CORTICOSTEROIDS (ICS)</t>
        </is>
      </c>
      <c r="AH38" s="122" t="n">
        <v>1208.641034384585</v>
      </c>
      <c r="AI38" s="56" t="n">
        <v>0</v>
      </c>
      <c r="AK38" s="123" t="n">
        <v>14</v>
      </c>
      <c r="AL38" t="inlineStr">
        <is>
          <t>NEXIUM</t>
        </is>
      </c>
      <c r="AM38" t="inlineStr">
        <is>
          <t>PROTON PUMP INHIBITORS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DEXCOM G7 SENSOR</t>
        </is>
      </c>
      <c r="AG39" t="inlineStr">
        <is>
          <t>DIABETES MONITORING AND TESTING SUPPLIES</t>
        </is>
      </c>
      <c r="AH39" s="122" t="n">
        <v>1156.497538676922</v>
      </c>
      <c r="AI39" s="56" t="n">
        <v>0</v>
      </c>
      <c r="AK39" s="123" t="n">
        <v>15</v>
      </c>
      <c r="AL39" t="inlineStr">
        <is>
          <t>XDEMVY</t>
        </is>
      </c>
      <c r="AM39" t="inlineStr">
        <is>
          <t>OPHTHALMIC ANTI-INFECTIVES</t>
        </is>
      </c>
      <c r="AN39" s="58" t="n">
        <v>2.888053564215611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PAXLOVID</t>
        </is>
      </c>
      <c r="AG40" t="inlineStr">
        <is>
          <t>MISC. ANTIVIRALS</t>
        </is>
      </c>
      <c r="AH40" s="122" t="n">
        <v>884.4130782099252</v>
      </c>
      <c r="AI40" s="56" t="n">
        <v>1.965467777793381</v>
      </c>
      <c r="AK40" s="123" t="n">
        <v>16</v>
      </c>
      <c r="AL40" t="inlineStr">
        <is>
          <t>LEXAPRO</t>
        </is>
      </c>
      <c r="AM40" t="inlineStr">
        <is>
          <t>ANTIDEPRESSANTS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170</v>
      </c>
      <c r="E41" s="40" t="n">
        <v>6851.4</v>
      </c>
      <c r="F41" s="40" t="n">
        <v>5338</v>
      </c>
      <c r="G41" s="41" t="n">
        <v>40.30235294117647</v>
      </c>
      <c r="H41" s="42" t="n">
        <v>31.4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XIIDRA</t>
        </is>
      </c>
      <c r="AG41" t="inlineStr">
        <is>
          <t>OPHTHALMIC INTEGRIN ANTAGONIST</t>
        </is>
      </c>
      <c r="AH41" s="122" t="n">
        <v>813.7050826922497</v>
      </c>
      <c r="AI41" s="56" t="n">
        <v>2.350854437418025</v>
      </c>
      <c r="AK41" s="123" t="n">
        <v>17</v>
      </c>
      <c r="AL41" t="inlineStr">
        <is>
          <t>INDERAL LA</t>
        </is>
      </c>
      <c r="AM41" t="inlineStr">
        <is>
          <t>BETA BLOCKERS &amp; COMBOS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94</v>
      </c>
      <c r="E42" s="51" t="n">
        <v>10234.4</v>
      </c>
      <c r="F42" s="51" t="n">
        <v>8422</v>
      </c>
      <c r="G42" s="52" t="n">
        <v>108.8765957446808</v>
      </c>
      <c r="H42" s="53" t="n">
        <v>89.59574468085107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SOLOSTAR</t>
        </is>
      </c>
      <c r="AG42" t="inlineStr">
        <is>
          <t>BASAL INSULIN</t>
        </is>
      </c>
      <c r="AH42" s="122" t="n">
        <v>543.269194212009</v>
      </c>
      <c r="AI42" s="56" t="n">
        <v>1.577600823760222</v>
      </c>
      <c r="AK42" s="123" t="n">
        <v>18</v>
      </c>
      <c r="AL42" t="inlineStr">
        <is>
          <t>QNASL</t>
        </is>
      </c>
      <c r="AM42" t="inlineStr">
        <is>
          <t>NASAL STEROIDS</t>
        </is>
      </c>
      <c r="AN42" s="58" t="n">
        <v>4.282746308251838</v>
      </c>
    </row>
    <row r="43" ht="15" customHeight="1" thickBot="1">
      <c r="B43" s="59" t="inlineStr">
        <is>
          <t>Mail</t>
        </is>
      </c>
      <c r="C43" s="10" t="n"/>
      <c r="D43" s="60" t="n">
        <v>96</v>
      </c>
      <c r="E43" s="61" t="n">
        <v>10530.7</v>
      </c>
      <c r="F43" s="61" t="n">
        <v>7211</v>
      </c>
      <c r="G43" s="62" t="n">
        <v>109.6947916666667</v>
      </c>
      <c r="H43" s="63" t="n">
        <v>75.11458333333333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LANTUS SOLOSTAR</t>
        </is>
      </c>
      <c r="AG43" t="inlineStr">
        <is>
          <t>BASAL INSULIN</t>
        </is>
      </c>
      <c r="AH43" s="122" t="n">
        <v>462.6481613342091</v>
      </c>
      <c r="AI43" s="56" t="n">
        <v>3.155201647520444</v>
      </c>
      <c r="AK43" s="123" t="n">
        <v>19</v>
      </c>
      <c r="AL43" t="inlineStr">
        <is>
          <t>MIEBO</t>
        </is>
      </c>
      <c r="AM43" t="inlineStr">
        <is>
          <t>OPHTHALMICS - MISC.</t>
        </is>
      </c>
      <c r="AN43" s="58" t="n">
        <v>5.68334448459311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360</v>
      </c>
      <c r="E44" s="66" t="n">
        <v>27616.5</v>
      </c>
      <c r="F44" s="66" t="n">
        <v>20971</v>
      </c>
      <c r="G44" s="67" t="n">
        <v>76.71250000000001</v>
      </c>
      <c r="H44" s="68" t="n">
        <v>58.25277777777778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DULERA</t>
        </is>
      </c>
      <c r="AG44" s="82" t="inlineStr">
        <is>
          <t>LABA LAMA COMBO</t>
        </is>
      </c>
      <c r="AH44" s="125" t="n">
        <v>424.8362177620434</v>
      </c>
      <c r="AI44" s="84" t="n">
        <v>1.262715925800438</v>
      </c>
      <c r="AK44" s="126" t="n">
        <v>20</v>
      </c>
      <c r="AL44" s="86" t="inlineStr">
        <is>
          <t>COZAAR</t>
        </is>
      </c>
      <c r="AM44" s="86" t="inlineStr">
        <is>
          <t>ANGIOTENSIN II RECEPTOR ANTAGONISTS &amp; COMBOS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3</v>
      </c>
      <c r="E45" s="61" t="n">
        <v>36</v>
      </c>
      <c r="F45" s="61" t="n">
        <v>252</v>
      </c>
      <c r="G45" s="62" t="n">
        <v>12</v>
      </c>
      <c r="H45" s="63" t="n">
        <v>84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27652.5</v>
      </c>
      <c r="F46" s="71" t="n">
        <v>21223</v>
      </c>
      <c r="G46" s="72" t="n">
        <v>76.17768595041322</v>
      </c>
      <c r="H46" s="73" t="n">
        <v>58.46556473829201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87555.74838878364</v>
      </c>
      <c r="AH49" s="46" t="n">
        <v>68.10200542396778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27419.84290198317</v>
      </c>
      <c r="AH50" s="56" t="n">
        <v>26.92596499437968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9099.100944217638</v>
      </c>
      <c r="AH51" s="56" t="n">
        <v>0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6254.517428753081</v>
      </c>
      <c r="AH52" s="56" t="n">
        <v>9.116896294001295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LAMA/ACH</t>
        </is>
      </c>
      <c r="AG53" s="122" t="n">
        <v>4469.377130929079</v>
      </c>
      <c r="AH53" s="56" t="n">
        <v>6.842149656268312</v>
      </c>
    </row>
    <row r="54">
      <c r="B54" s="49" t="inlineStr">
        <is>
          <t>Devices</t>
        </is>
      </c>
      <c r="D54" s="130" t="n">
        <v>4</v>
      </c>
      <c r="E54" s="131" t="n">
        <v>0</v>
      </c>
      <c r="F54" s="131" t="n">
        <v>7</v>
      </c>
      <c r="G54" s="131" t="n">
        <v>0</v>
      </c>
      <c r="H54" s="132" t="n">
        <v>11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OPHTHALMICS - RHO KINASE INHIBITOR &amp; COMBOS</t>
        </is>
      </c>
      <c r="AG54" s="122" t="n">
        <v>3024.556536820931</v>
      </c>
      <c r="AH54" s="56" t="n">
        <v>6.654422619106247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DIGESTIVE ENZYMES</t>
        </is>
      </c>
      <c r="AG55" s="122" t="n">
        <v>2001.340877920067</v>
      </c>
      <c r="AH55" s="56" t="n">
        <v>1.16192510318741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VAGINAL ESTROGENS</t>
        </is>
      </c>
      <c r="AG56" s="122" t="n">
        <v>1374.07878237639</v>
      </c>
      <c r="AH56" s="56" t="n">
        <v>6.381219653788129</v>
      </c>
    </row>
    <row r="57">
      <c r="B57" s="64" t="inlineStr">
        <is>
          <t>MSBs</t>
        </is>
      </c>
      <c r="D57" s="130" t="n">
        <v>67</v>
      </c>
      <c r="E57" s="131" t="n">
        <v>61</v>
      </c>
      <c r="F57" s="131" t="n">
        <v>79</v>
      </c>
      <c r="G57" s="131" t="n">
        <v>0</v>
      </c>
      <c r="H57" s="132" t="n">
        <v>207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DIABETES MONITORING AND TESTING SUPPLIES</t>
        </is>
      </c>
      <c r="AG57" s="122" t="n">
        <v>1253.856198522099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INHALED CORTICOSTEROIDS (ICS)</t>
        </is>
      </c>
      <c r="AG58" s="122" t="n">
        <v>1208.641034384585</v>
      </c>
      <c r="AH58" s="56" t="n">
        <v>0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BASAL INSULIN</t>
        </is>
      </c>
      <c r="AG59" s="122" t="n">
        <v>1005.917355546218</v>
      </c>
      <c r="AH59" s="56" t="n">
        <v>4.732802471280666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MISC. ANTIVIRALS</t>
        </is>
      </c>
      <c r="AG60" s="122" t="n">
        <v>884.4130782099252</v>
      </c>
      <c r="AH60" s="56" t="n">
        <v>1.965467777793381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OPHTHALMIC INTEGRIN ANTAGONIST</t>
        </is>
      </c>
      <c r="AG61" s="122" t="n">
        <v>813.7050826922497</v>
      </c>
      <c r="AH61" s="56" t="n">
        <v>2.350854437418025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DIABETES TEST STRIPS</t>
        </is>
      </c>
      <c r="AG62" s="122" t="n">
        <v>414.2601622668717</v>
      </c>
      <c r="AH62" s="56" t="n">
        <v>0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34</v>
      </c>
      <c r="H63" s="132" t="n">
        <v>39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ATYPICAL ANTIPSYCHOTICS</t>
        </is>
      </c>
      <c r="AG63" s="122" t="n">
        <v>253.1887181345034</v>
      </c>
      <c r="AH63" s="56" t="n">
        <v>0.5801038230777111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34</v>
      </c>
      <c r="H64" s="135" t="n">
        <v>34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RAPID ACTING</t>
        </is>
      </c>
      <c r="AG64" s="122" t="n">
        <v>75.88014636804007</v>
      </c>
      <c r="AH64" s="56" t="n">
        <v>3.944002059400555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ONCOLOGY</t>
        </is>
      </c>
      <c r="AG65" s="122" t="n">
        <v>0</v>
      </c>
      <c r="AH65" s="56" t="n">
        <v>0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IMMUNOMODULATORS</t>
        </is>
      </c>
      <c r="AG67" s="122" t="n">
        <v>0</v>
      </c>
      <c r="AH67" s="56" t="n">
        <v>3.338259998125977</v>
      </c>
    </row>
    <row r="68" ht="15.6" customHeight="1" thickBot="1" thickTop="1">
      <c r="B68" s="69" t="inlineStr">
        <is>
          <t>Total</t>
        </is>
      </c>
      <c r="D68" s="142" t="n">
        <v>86</v>
      </c>
      <c r="E68" s="143" t="n">
        <v>64</v>
      </c>
      <c r="F68" s="143" t="n">
        <v>97</v>
      </c>
      <c r="G68" s="143" t="n">
        <v>34</v>
      </c>
      <c r="H68" s="144" t="n">
        <v>315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HIV-MULTICLASS COMBO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4</v>
      </c>
      <c r="E90" s="131" t="n">
        <v>0</v>
      </c>
      <c r="F90" s="131" t="n">
        <v>7</v>
      </c>
      <c r="G90" s="131" t="n">
        <v>0</v>
      </c>
      <c r="H90" s="132" t="n">
        <v>11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67</v>
      </c>
      <c r="E93" s="131" t="n">
        <v>61</v>
      </c>
      <c r="F93" s="131" t="n">
        <v>79</v>
      </c>
      <c r="G93" s="131" t="n">
        <v>0</v>
      </c>
      <c r="H93" s="132" t="n">
        <v>207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34</v>
      </c>
      <c r="H99" s="132" t="n">
        <v>39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34</v>
      </c>
      <c r="H100" s="135" t="n">
        <v>34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86</v>
      </c>
      <c r="E104" s="143" t="n">
        <v>64</v>
      </c>
      <c r="F104" s="143" t="n">
        <v>97</v>
      </c>
      <c r="G104" s="143" t="n">
        <v>34</v>
      </c>
      <c r="H104" s="144" t="n">
        <v>315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37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170</v>
      </c>
      <c r="E25" s="40" t="n">
        <v>6851.4</v>
      </c>
      <c r="F25" s="40" t="n">
        <v>5338</v>
      </c>
      <c r="G25" s="41" t="n">
        <v>40.30235294117647</v>
      </c>
      <c r="H25" s="42" t="n">
        <v>31.4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97701.03174199555</v>
      </c>
      <c r="AI25" s="46" t="n">
        <v>73.90391183428738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94</v>
      </c>
      <c r="E26" s="51" t="n">
        <v>10234.4</v>
      </c>
      <c r="F26" s="51" t="n">
        <v>8422</v>
      </c>
      <c r="G26" s="52" t="n">
        <v>108.8765957446808</v>
      </c>
      <c r="H26" s="53" t="n">
        <v>89.59574468085107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8376.775237737367</v>
      </c>
      <c r="AI26" s="56" t="n">
        <v>5.914021765449531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96</v>
      </c>
      <c r="E27" s="61" t="n">
        <v>10530.7</v>
      </c>
      <c r="F27" s="61" t="n">
        <v>7211</v>
      </c>
      <c r="G27" s="62" t="n">
        <v>109.6947916666667</v>
      </c>
      <c r="H27" s="63" t="n">
        <v>75.11458333333333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7879.044506212418</v>
      </c>
      <c r="AI27" s="56" t="n">
        <v>5.28360750264529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3.404724754688666</v>
      </c>
    </row>
    <row r="28" ht="15" customHeight="1" thickTop="1">
      <c r="B28" s="64" t="inlineStr">
        <is>
          <t>Non-Specialty</t>
        </is>
      </c>
      <c r="C28" s="10" t="n"/>
      <c r="D28" s="65" t="n">
        <v>360</v>
      </c>
      <c r="E28" s="66" t="n">
        <v>27616.5</v>
      </c>
      <c r="F28" s="66" t="n">
        <v>20971</v>
      </c>
      <c r="G28" s="67" t="n">
        <v>76.71250000000001</v>
      </c>
      <c r="H28" s="68" t="n">
        <v>58.25277777777778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V-GO 20</t>
        </is>
      </c>
      <c r="AG28" t="inlineStr">
        <is>
          <t>INSULIN ADMINISTRATION SUPPLIES</t>
        </is>
      </c>
      <c r="AH28" s="122" t="n">
        <v>6982.4185824382</v>
      </c>
      <c r="AI28" s="56" t="n">
        <v>0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3</v>
      </c>
      <c r="E29" s="61" t="n">
        <v>36</v>
      </c>
      <c r="F29" s="61" t="n">
        <v>252</v>
      </c>
      <c r="G29" s="62" t="n">
        <v>12</v>
      </c>
      <c r="H29" s="63" t="n">
        <v>84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V-GO 30</t>
        </is>
      </c>
      <c r="AG29" t="inlineStr">
        <is>
          <t>INSULIN ADMINISTRATION SUPPLIES</t>
        </is>
      </c>
      <c r="AH29" s="122" t="n">
        <v>6982.4185824382</v>
      </c>
      <c r="AI29" s="56" t="n">
        <v>0</v>
      </c>
      <c r="AK29" s="123" t="n">
        <v>5</v>
      </c>
      <c r="AL29" t="inlineStr">
        <is>
          <t>JARDIANCE</t>
        </is>
      </c>
      <c r="AM29" t="inlineStr">
        <is>
          <t>SGLT-2 INHIBITORS &amp; COMBOS</t>
        </is>
      </c>
      <c r="AN29" s="58" t="n">
        <v>36.68742939755558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27652.5</v>
      </c>
      <c r="F30" s="71" t="n">
        <v>21223</v>
      </c>
      <c r="G30" s="72" t="n">
        <v>76.17768595041322</v>
      </c>
      <c r="H30" s="73" t="n">
        <v>58.46556473829201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TRELEGY ELLIPTA</t>
        </is>
      </c>
      <c r="AG30" t="inlineStr">
        <is>
          <t>LABA LAMA COMBO</t>
        </is>
      </c>
      <c r="AH30" s="122" t="n">
        <v>6966.368488519272</v>
      </c>
      <c r="AI30" s="56" t="n">
        <v>5.762918763260261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6531.668755170009</v>
      </c>
      <c r="AI31" s="56" t="n">
        <v>9.087539887934609</v>
      </c>
      <c r="AK31" s="123" t="n">
        <v>7</v>
      </c>
      <c r="AL31" t="inlineStr">
        <is>
          <t>LIPITOR</t>
        </is>
      </c>
      <c r="AM31" t="inlineStr">
        <is>
          <t>STATINS &amp; COMBOS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3203.563747314225</v>
      </c>
      <c r="AI32" s="56" t="n">
        <v>6.588676923629476</v>
      </c>
      <c r="AK32" s="123" t="n">
        <v>8</v>
      </c>
      <c r="AL32" t="inlineStr">
        <is>
          <t>AVODART</t>
        </is>
      </c>
      <c r="AM32" t="inlineStr">
        <is>
          <t>PROSTATIC HYPERTROPHY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2617.82955757402</v>
      </c>
      <c r="AI33" s="56" t="n">
        <v>4.860514955904351</v>
      </c>
      <c r="AK33" s="123" t="n">
        <v>9</v>
      </c>
      <c r="AL33" t="inlineStr">
        <is>
          <t>PROLIA</t>
        </is>
      </c>
      <c r="AM33" t="inlineStr">
        <is>
          <t>OSTEOPOROSIS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CREON</t>
        </is>
      </c>
      <c r="AG34" t="inlineStr">
        <is>
          <t>DIGESTIVE ENZYMES</t>
        </is>
      </c>
      <c r="AH34" s="122" t="n">
        <v>2170.917801783211</v>
      </c>
      <c r="AI34" s="56" t="n">
        <v>1.194284717311179</v>
      </c>
      <c r="AK34" s="123" t="n">
        <v>10</v>
      </c>
      <c r="AL34" t="inlineStr">
        <is>
          <t>ZEPBOUND</t>
        </is>
      </c>
      <c r="AM34" t="inlineStr">
        <is>
          <t>GLP-1 ANTI-OBESITY AGENTS</t>
        </is>
      </c>
      <c r="AN34" s="58" t="n">
        <v>3.366825782247906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PREMARIN</t>
        </is>
      </c>
      <c r="AG35" t="inlineStr">
        <is>
          <t>VAGINAL ESTROGENS</t>
        </is>
      </c>
      <c r="AH35" s="122" t="n">
        <v>1572.67432362361</v>
      </c>
      <c r="AI35" s="56" t="n">
        <v>6.900842370196097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918.1959751625531</v>
      </c>
      <c r="AI36" s="56" t="n">
        <v>1.950058510415481</v>
      </c>
      <c r="AK36" s="123" t="n">
        <v>12</v>
      </c>
      <c r="AL36" t="inlineStr">
        <is>
          <t>SYNTHROID</t>
        </is>
      </c>
      <c r="AM36" t="inlineStr">
        <is>
          <t>THYROID HORMONES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TOUJEO SOLOSTAR</t>
        </is>
      </c>
      <c r="AG37" t="inlineStr">
        <is>
          <t>BASAL INSULIN</t>
        </is>
      </c>
      <c r="AH37" s="122" t="n">
        <v>545.4945335050973</v>
      </c>
      <c r="AI37" s="56" t="n">
        <v>1.503942641298857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DULERA</t>
        </is>
      </c>
      <c r="AG38" t="inlineStr">
        <is>
          <t>LABA LAMA COMBO</t>
        </is>
      </c>
      <c r="AH38" s="122" t="n">
        <v>466.9867617082518</v>
      </c>
      <c r="AI38" s="56" t="n">
        <v>1.320901875661322</v>
      </c>
      <c r="AK38" s="123" t="n">
        <v>14</v>
      </c>
      <c r="AL38" t="inlineStr">
        <is>
          <t>DEXCOM G7 SENSOR</t>
        </is>
      </c>
      <c r="AM38" t="inlineStr">
        <is>
          <t>DIABETES MONITORING AND TESTING SUPPLIES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LANTUS SOLOSTAR</t>
        </is>
      </c>
      <c r="AG39" t="inlineStr">
        <is>
          <t>BASAL INSULIN</t>
        </is>
      </c>
      <c r="AH39" s="122" t="n">
        <v>451.4748481492534</v>
      </c>
      <c r="AI39" s="56" t="n">
        <v>3.007885282597714</v>
      </c>
      <c r="AK39" s="123" t="n">
        <v>15</v>
      </c>
      <c r="AL39" t="inlineStr">
        <is>
          <t>NEXIUM</t>
        </is>
      </c>
      <c r="AM39" t="inlineStr">
        <is>
          <t>PROTON PUMP INHIBITORS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STIOLTO RESPIMAT</t>
        </is>
      </c>
      <c r="AG40" t="inlineStr">
        <is>
          <t>LABA LAMA COMBO</t>
        </is>
      </c>
      <c r="AH40" s="122" t="n">
        <v>248.9493432123652</v>
      </c>
      <c r="AI40" s="56" t="n">
        <v>1.352119189989452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3.028701772792912</v>
      </c>
    </row>
    <row r="41">
      <c r="B41" s="38" t="inlineStr">
        <is>
          <t>Retail 30</t>
        </is>
      </c>
      <c r="C41" s="10" t="n"/>
      <c r="D41" s="39" t="n">
        <v>170</v>
      </c>
      <c r="E41" s="40" t="n">
        <v>6851.4</v>
      </c>
      <c r="F41" s="40" t="n">
        <v>5338</v>
      </c>
      <c r="G41" s="41" t="n">
        <v>40.30235294117647</v>
      </c>
      <c r="H41" s="42" t="n">
        <v>31.4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HUMALOG</t>
        </is>
      </c>
      <c r="AG41" t="inlineStr">
        <is>
          <t>RAPID ACTING</t>
        </is>
      </c>
      <c r="AH41" s="122" t="n">
        <v>74.11617865892212</v>
      </c>
      <c r="AI41" s="56" t="n">
        <v>3.759856603247143</v>
      </c>
      <c r="AK41" s="123" t="n">
        <v>17</v>
      </c>
      <c r="AL41" t="inlineStr">
        <is>
          <t>LEXAPRO</t>
        </is>
      </c>
      <c r="AM41" t="inlineStr">
        <is>
          <t>ANTIDEPRESSANTS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94</v>
      </c>
      <c r="E42" s="51" t="n">
        <v>10234.4</v>
      </c>
      <c r="F42" s="51" t="n">
        <v>8422</v>
      </c>
      <c r="G42" s="52" t="n">
        <v>108.8765957446808</v>
      </c>
      <c r="H42" s="53" t="n">
        <v>89.59574468085107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BYDUREON BCISE</t>
        </is>
      </c>
      <c r="AG42" t="inlineStr">
        <is>
          <t>GLUCAGON-LIKE PEPTIDE-1 AGONISTS (GLP1)</t>
        </is>
      </c>
      <c r="AH42" s="122" t="n">
        <v>32.8070566105149</v>
      </c>
      <c r="AI42" s="56" t="n">
        <v>0.0246479530911064</v>
      </c>
      <c r="AK42" s="123" t="n">
        <v>18</v>
      </c>
      <c r="AL42" t="inlineStr">
        <is>
          <t>INDERAL LA</t>
        </is>
      </c>
      <c r="AM42" t="inlineStr">
        <is>
          <t>BETA BLOCKERS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96</v>
      </c>
      <c r="E43" s="61" t="n">
        <v>10530.7</v>
      </c>
      <c r="F43" s="61" t="n">
        <v>7211</v>
      </c>
      <c r="G43" s="62" t="n">
        <v>109.6947916666667</v>
      </c>
      <c r="H43" s="63" t="n">
        <v>75.11458333333333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/>
      <c r="AH43" s="122" t="n"/>
      <c r="AI43" s="56" t="n"/>
      <c r="AK43" s="123" t="n">
        <v>19</v>
      </c>
      <c r="AL43" t="inlineStr">
        <is>
          <t>COZAAR</t>
        </is>
      </c>
      <c r="AM43" t="inlineStr">
        <is>
          <t>ANGIOTENSIN II RECEPTOR ANTAGONISTS &amp; COMBOS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360</v>
      </c>
      <c r="E44" s="66" t="n">
        <v>27616.5</v>
      </c>
      <c r="F44" s="66" t="n">
        <v>20971</v>
      </c>
      <c r="G44" s="67" t="n">
        <v>76.71250000000001</v>
      </c>
      <c r="H44" s="68" t="n">
        <v>58.25277777777778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QNASL</t>
        </is>
      </c>
      <c r="AM44" s="86" t="inlineStr">
        <is>
          <t>NASAL STEROIDS</t>
        </is>
      </c>
      <c r="AN44" s="87" t="n">
        <v>4.08449798164286</v>
      </c>
    </row>
    <row r="45" ht="15" customHeight="1" thickBot="1">
      <c r="B45" s="59" t="inlineStr">
        <is>
          <t>Specialty</t>
        </is>
      </c>
      <c r="C45" s="10" t="n"/>
      <c r="D45" s="60" t="n">
        <v>3</v>
      </c>
      <c r="E45" s="61" t="n">
        <v>36</v>
      </c>
      <c r="F45" s="61" t="n">
        <v>252</v>
      </c>
      <c r="G45" s="62" t="n">
        <v>12</v>
      </c>
      <c r="H45" s="63" t="n">
        <v>84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27652.5</v>
      </c>
      <c r="F46" s="71" t="n">
        <v>21223</v>
      </c>
      <c r="G46" s="72" t="n">
        <v>76.17768595041322</v>
      </c>
      <c r="H46" s="73" t="n">
        <v>58.46556473829201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106110.6140363434</v>
      </c>
      <c r="AH49" s="46" t="n">
        <v>79.84258155282801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15561.34909965231</v>
      </c>
      <c r="AH50" s="56" t="n">
        <v>14.74373061588159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13964.8371648764</v>
      </c>
      <c r="AH51" s="56" t="n">
        <v>0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6531.668755170009</v>
      </c>
      <c r="AH52" s="56" t="n">
        <v>9.087539887934609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OPHTHALMICS - RHO KINASE INHIBITOR &amp; COMBOS</t>
        </is>
      </c>
      <c r="AG53" s="122" t="n">
        <v>3203.563747314225</v>
      </c>
      <c r="AH53" s="56" t="n">
        <v>6.588676923629476</v>
      </c>
    </row>
    <row r="54">
      <c r="B54" s="49" t="inlineStr">
        <is>
          <t>Devices</t>
        </is>
      </c>
      <c r="D54" s="130" t="n">
        <v>4</v>
      </c>
      <c r="E54" s="131" t="n">
        <v>0</v>
      </c>
      <c r="F54" s="131" t="n">
        <v>7</v>
      </c>
      <c r="G54" s="131" t="n">
        <v>0</v>
      </c>
      <c r="H54" s="132" t="n">
        <v>11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LAMA/ACH</t>
        </is>
      </c>
      <c r="AG54" s="122" t="n">
        <v>2617.82955757402</v>
      </c>
      <c r="AH54" s="56" t="n">
        <v>4.860514955904351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DIGESTIVE ENZYMES</t>
        </is>
      </c>
      <c r="AG55" s="122" t="n">
        <v>2170.917801783211</v>
      </c>
      <c r="AH55" s="56" t="n">
        <v>1.194284717311179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VAGINAL ESTROGENS</t>
        </is>
      </c>
      <c r="AG56" s="122" t="n">
        <v>1572.67432362361</v>
      </c>
      <c r="AH56" s="56" t="n">
        <v>6.900842370196097</v>
      </c>
    </row>
    <row r="57">
      <c r="B57" s="64" t="inlineStr">
        <is>
          <t>MSBs</t>
        </is>
      </c>
      <c r="D57" s="130" t="n">
        <v>67</v>
      </c>
      <c r="E57" s="131" t="n">
        <v>61</v>
      </c>
      <c r="F57" s="131" t="n">
        <v>79</v>
      </c>
      <c r="G57" s="131" t="n">
        <v>0</v>
      </c>
      <c r="H57" s="132" t="n">
        <v>207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BASAL INSULIN</t>
        </is>
      </c>
      <c r="AG57" s="122" t="n">
        <v>996.9693816543506</v>
      </c>
      <c r="AH57" s="56" t="n">
        <v>4.511827923896572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MISC. ANTIVIRALS</t>
        </is>
      </c>
      <c r="AG58" s="122" t="n">
        <v>918.1959751625531</v>
      </c>
      <c r="AH58" s="56" t="n">
        <v>1.950058510415481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RAPID ACTING</t>
        </is>
      </c>
      <c r="AG59" s="122" t="n">
        <v>74.11617865892212</v>
      </c>
      <c r="AH59" s="56" t="n">
        <v>3.759856603247143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ONCOLOGY</t>
        </is>
      </c>
      <c r="AG60" s="122" t="n">
        <v>0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G61" s="122" t="n"/>
      <c r="AH61" s="56" t="n"/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IMMUNOMODULATORS</t>
        </is>
      </c>
      <c r="AG62" s="122" t="n">
        <v>0</v>
      </c>
      <c r="AH62" s="56" t="n">
        <v>3.404724754688666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34</v>
      </c>
      <c r="H63" s="132" t="n">
        <v>39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HIV-MULTICLASS COMBO</t>
        </is>
      </c>
      <c r="AG63" s="122" t="n">
        <v>0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34</v>
      </c>
      <c r="H64" s="135" t="n">
        <v>34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SGLT-2 INHIBITORS &amp; COMBOS</t>
        </is>
      </c>
      <c r="AG64" s="122" t="n">
        <v>0</v>
      </c>
      <c r="AH64" s="56" t="n">
        <v>36.96258511803725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PROTON PUMP INHIBITORS</t>
        </is>
      </c>
      <c r="AG67" s="122" t="n">
        <v>0</v>
      </c>
      <c r="AH67" s="56" t="n">
        <v>0</v>
      </c>
    </row>
    <row r="68" ht="15.6" customHeight="1" thickBot="1" thickTop="1">
      <c r="B68" s="69" t="inlineStr">
        <is>
          <t>Total</t>
        </is>
      </c>
      <c r="D68" s="142" t="n">
        <v>86</v>
      </c>
      <c r="E68" s="143" t="n">
        <v>64</v>
      </c>
      <c r="F68" s="143" t="n">
        <v>97</v>
      </c>
      <c r="G68" s="143" t="n">
        <v>34</v>
      </c>
      <c r="H68" s="144" t="n">
        <v>315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PROSTATIC HYPERTROPHY AGENTS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4</v>
      </c>
      <c r="E90" s="131" t="n">
        <v>0</v>
      </c>
      <c r="F90" s="131" t="n">
        <v>7</v>
      </c>
      <c r="G90" s="131" t="n">
        <v>0</v>
      </c>
      <c r="H90" s="132" t="n">
        <v>11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67</v>
      </c>
      <c r="E93" s="131" t="n">
        <v>61</v>
      </c>
      <c r="F93" s="131" t="n">
        <v>79</v>
      </c>
      <c r="G93" s="131" t="n">
        <v>0</v>
      </c>
      <c r="H93" s="132" t="n">
        <v>207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34</v>
      </c>
      <c r="H99" s="132" t="n">
        <v>39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34</v>
      </c>
      <c r="H100" s="135" t="n">
        <v>34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86</v>
      </c>
      <c r="E104" s="143" t="n">
        <v>64</v>
      </c>
      <c r="F104" s="143" t="n">
        <v>97</v>
      </c>
      <c r="G104" s="143" t="n">
        <v>34</v>
      </c>
      <c r="H104" s="144" t="n">
        <v>315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37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2026-06-02T14:33:20Z</dcterms:modified>
  <cp:lastModifiedBy>Chilukuri, Navyasri</cp:lastModifiedBy>
</cp:coreProperties>
</file>