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3896" tabRatio="600" firstSheet="0" activeTab="0" autoFilterDateGrouping="1"/>
  </bookViews>
  <sheets>
    <sheet name="Detailed_stat_external-2027" sheetId="1" state="visible" r:id="rId1"/>
    <sheet name="Detailed_stat_external-2028" sheetId="2" state="visible" r:id="rId2"/>
    <sheet name="Detailed_stat_external-2029" sheetId="3" state="visible" r:id="rId3"/>
    <sheet name="Detailed_stat_external-2030" sheetId="4" state="visible" r:id="rId4"/>
    <sheet name="Detailed_stat_external-2031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mm/dd/yy;@"/>
    <numFmt numFmtId="165" formatCode="&quot;$&quot;#,##0_);[Red]\(&quot;$&quot;#,##0\)"/>
    <numFmt numFmtId="166" formatCode="#,##0.0"/>
  </numFmts>
  <fonts count="11">
    <font>
      <name val="Calibri"/>
      <family val="2"/>
      <color theme="1"/>
      <sz val="11"/>
      <scheme val="minor"/>
    </font>
    <font>
      <name val="Calibri"/>
      <family val="2"/>
      <b val="1"/>
      <sz val="14"/>
      <scheme val="minor"/>
    </font>
    <font>
      <name val="Calibri"/>
      <family val="2"/>
      <b val="1"/>
      <color theme="1"/>
      <sz val="11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rial"/>
      <family val="2"/>
      <b val="1"/>
      <sz val="10"/>
    </font>
    <font>
      <name val="Calibri"/>
      <family val="2"/>
      <b val="1"/>
      <color theme="0"/>
      <sz val="11"/>
      <scheme val="minor"/>
    </font>
    <font>
      <name val="Calibri"/>
      <family val="2"/>
      <b val="1"/>
      <color rgb="FFC00000"/>
      <sz val="11"/>
      <scheme val="minor"/>
    </font>
    <font>
      <name val="Calibri"/>
      <family val="2"/>
      <b val="1"/>
      <color rgb="FFC00000"/>
      <sz val="11"/>
      <u val="single"/>
      <scheme val="minor"/>
    </font>
    <font>
      <name val="Calibri"/>
      <family val="2"/>
      <color theme="1"/>
      <sz val="11"/>
      <u val="single"/>
      <scheme val="minor"/>
    </font>
    <font>
      <name val="Calibri"/>
      <family val="2"/>
      <color rgb="FFFF0000"/>
      <sz val="11"/>
      <scheme val="minor"/>
    </font>
  </fonts>
  <fills count="10">
    <fill>
      <patternFill/>
    </fill>
    <fill>
      <patternFill patternType="gray125"/>
    </fill>
    <fill>
      <patternFill patternType="solid">
        <fgColor theme="2" tint="-0.249977111117893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FFE0CACE"/>
        <bgColor indexed="64"/>
      </patternFill>
    </fill>
  </fills>
  <borders count="68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theme="9" tint="-0.249946592608417"/>
      </left>
      <right/>
      <top/>
      <bottom style="medium">
        <color rgb="FFD45D00"/>
      </bottom>
      <diagonal/>
    </border>
    <border>
      <left/>
      <right/>
      <top/>
      <bottom style="medium">
        <color rgb="FFD45D00"/>
      </bottom>
      <diagonal/>
    </border>
    <border>
      <left/>
      <right style="medium">
        <color theme="9" tint="-0.249946592608417"/>
      </right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/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theme="9" tint="-0.249946592608417"/>
      </left>
      <right style="medium">
        <color rgb="FFD45D00"/>
      </right>
      <top style="medium">
        <color rgb="FFD45D00"/>
      </top>
      <bottom/>
      <diagonal/>
    </border>
    <border>
      <left/>
      <right style="medium">
        <color theme="9" tint="-0.249946592608417"/>
      </right>
      <top style="medium">
        <color rgb="FFD45D00"/>
      </top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/>
      <right style="medium">
        <color rgb="FFD45D00"/>
      </right>
      <top/>
      <bottom/>
      <diagonal/>
    </border>
    <border>
      <left style="medium">
        <color theme="9" tint="-0.249946592608417"/>
      </left>
      <right style="medium">
        <color rgb="FFD45D00"/>
      </right>
      <top/>
      <bottom/>
      <diagonal/>
    </border>
    <border>
      <left/>
      <right style="medium">
        <color theme="9" tint="-0.249946592608417"/>
      </right>
      <top/>
      <bottom/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theme="9" tint="-0.249946592608417"/>
      </left>
      <right style="medium">
        <color rgb="FFD45D00"/>
      </right>
      <top/>
      <bottom style="medium">
        <color theme="9" tint="-0.249946592608417"/>
      </bottom>
      <diagonal/>
    </border>
    <border>
      <left/>
      <right/>
      <top/>
      <bottom style="medium">
        <color theme="9" tint="-0.249946592608417"/>
      </bottom>
      <diagonal/>
    </border>
    <border>
      <left/>
      <right style="medium">
        <color theme="9" tint="-0.249946592608417"/>
      </right>
      <top/>
      <bottom style="medium">
        <color theme="9" tint="-0.249946592608417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E87722"/>
      </left>
      <right style="medium">
        <color rgb="FFE87722"/>
      </right>
      <top/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146">
    <xf numFmtId="0" fontId="0" fillId="0" borderId="0" pivotButton="0" quotePrefix="0" xfId="0"/>
    <xf numFmtId="0" fontId="1" fillId="2" borderId="1" applyAlignment="1" pivotButton="0" quotePrefix="0" xfId="0">
      <alignment horizontal="centerContinuous"/>
    </xf>
    <xf numFmtId="0" fontId="1" fillId="2" borderId="2" applyAlignment="1" pivotButton="0" quotePrefix="0" xfId="0">
      <alignment horizontal="centerContinuous"/>
    </xf>
    <xf numFmtId="0" fontId="1" fillId="2" borderId="3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4" fontId="3" fillId="3" borderId="4" pivotButton="0" quotePrefix="0" xfId="0"/>
    <xf numFmtId="0" fontId="3" fillId="3" borderId="5" applyAlignment="1" pivotButton="0" quotePrefix="0" xfId="0">
      <alignment horizontal="center" vertical="center"/>
    </xf>
    <xf numFmtId="164" fontId="3" fillId="3" borderId="6" pivotButton="0" quotePrefix="0" xfId="0"/>
    <xf numFmtId="165" fontId="0" fillId="0" borderId="0" pivotButton="0" quotePrefix="0" xfId="0"/>
    <xf numFmtId="3" fontId="3" fillId="3" borderId="7" pivotButton="0" quotePrefix="0" xfId="0"/>
    <xf numFmtId="0" fontId="0" fillId="4" borderId="0" applyAlignment="1" pivotButton="0" quotePrefix="0" xfId="0">
      <alignment vertical="top"/>
    </xf>
    <xf numFmtId="0" fontId="3" fillId="4" borderId="8" applyAlignment="1" pivotButton="0" quotePrefix="0" xfId="0">
      <alignment horizontal="centerContinuous" vertical="top"/>
    </xf>
    <xf numFmtId="0" fontId="3" fillId="4" borderId="9" applyAlignment="1" pivotButton="0" quotePrefix="0" xfId="0">
      <alignment horizontal="centerContinuous" vertical="top"/>
    </xf>
    <xf numFmtId="0" fontId="0" fillId="4" borderId="9" applyAlignment="1" pivotButton="0" quotePrefix="0" xfId="0">
      <alignment horizontal="centerContinuous" vertical="top"/>
    </xf>
    <xf numFmtId="0" fontId="4" fillId="4" borderId="10" applyAlignment="1" pivotButton="0" quotePrefix="0" xfId="0">
      <alignment horizontal="centerContinuous" vertical="center"/>
    </xf>
    <xf numFmtId="0" fontId="3" fillId="4" borderId="10" applyAlignment="1" pivotButton="0" quotePrefix="0" xfId="0">
      <alignment horizontal="centerContinuous" vertical="top"/>
    </xf>
    <xf numFmtId="0" fontId="3" fillId="4" borderId="0" applyAlignment="1" pivotButton="0" quotePrefix="0" xfId="0">
      <alignment horizontal="centerContinuous" vertical="top"/>
    </xf>
    <xf numFmtId="0" fontId="0" fillId="4" borderId="0" applyAlignment="1" pivotButton="0" quotePrefix="0" xfId="0">
      <alignment horizontal="centerContinuous" vertical="top"/>
    </xf>
    <xf numFmtId="0" fontId="4" fillId="4" borderId="0" applyAlignment="1" pivotButton="0" quotePrefix="0" xfId="0">
      <alignment horizontal="centerContinuous" vertical="center"/>
    </xf>
    <xf numFmtId="0" fontId="3" fillId="4" borderId="0" applyAlignment="1" pivotButton="0" quotePrefix="0" xfId="0">
      <alignment vertical="top"/>
    </xf>
    <xf numFmtId="0" fontId="5" fillId="2" borderId="8" applyAlignment="1" pivotButton="0" quotePrefix="0" xfId="0">
      <alignment horizontal="centerContinuous" vertical="top"/>
    </xf>
    <xf numFmtId="0" fontId="5" fillId="2" borderId="9" applyAlignment="1" pivotButton="0" quotePrefix="0" xfId="0">
      <alignment horizontal="centerContinuous" vertical="top"/>
    </xf>
    <xf numFmtId="0" fontId="5" fillId="2" borderId="10" applyAlignment="1" pivotButton="0" quotePrefix="0" xfId="0">
      <alignment horizontal="centerContinuous" vertical="center"/>
    </xf>
    <xf numFmtId="0" fontId="5" fillId="2" borderId="10" applyAlignment="1" pivotButton="0" quotePrefix="0" xfId="0">
      <alignment horizontal="centerContinuous" vertical="top"/>
    </xf>
    <xf numFmtId="0" fontId="2" fillId="2" borderId="1" applyAlignment="1" pivotButton="0" quotePrefix="0" xfId="0">
      <alignment horizontal="centerContinuous"/>
    </xf>
    <xf numFmtId="0" fontId="2" fillId="2" borderId="2" applyAlignment="1" pivotButton="0" quotePrefix="0" xfId="0">
      <alignment horizontal="centerContinuous"/>
    </xf>
    <xf numFmtId="0" fontId="2" fillId="2" borderId="3" applyAlignment="1" pivotButton="0" quotePrefix="0" xfId="0">
      <alignment horizontal="centerContinuous"/>
    </xf>
    <xf numFmtId="0" fontId="5" fillId="4" borderId="0" applyAlignment="1" pivotButton="0" quotePrefix="0" xfId="0">
      <alignment horizontal="center"/>
    </xf>
    <xf numFmtId="0" fontId="5" fillId="4" borderId="8" applyAlignment="1" pivotButton="0" quotePrefix="0" xfId="0">
      <alignment horizontal="center"/>
    </xf>
    <xf numFmtId="0" fontId="5" fillId="4" borderId="9" applyAlignment="1" pivotButton="0" quotePrefix="0" xfId="0">
      <alignment horizontal="center"/>
    </xf>
    <xf numFmtId="0" fontId="5" fillId="4" borderId="10" applyAlignment="1" pivotButton="0" quotePrefix="0" xfId="0">
      <alignment horizontal="center"/>
    </xf>
    <xf numFmtId="0" fontId="4" fillId="4" borderId="0" applyAlignment="1" pivotButton="0" quotePrefix="0" xfId="0">
      <alignment vertical="center"/>
    </xf>
    <xf numFmtId="0" fontId="5" fillId="4" borderId="8" applyAlignment="1" pivotButton="0" quotePrefix="0" xfId="0">
      <alignment horizontal="center" wrapText="1"/>
    </xf>
    <xf numFmtId="0" fontId="5" fillId="4" borderId="9" applyAlignment="1" pivotButton="0" quotePrefix="0" xfId="0">
      <alignment horizontal="center" wrapText="1"/>
    </xf>
    <xf numFmtId="0" fontId="5" fillId="4" borderId="10" applyAlignment="1" pivotButton="0" quotePrefix="0" xfId="0">
      <alignment horizontal="center" wrapText="1"/>
    </xf>
    <xf numFmtId="0" fontId="5" fillId="4" borderId="11" applyAlignment="1" pivotButton="0" quotePrefix="0" xfId="0">
      <alignment horizontal="center" wrapText="1"/>
    </xf>
    <xf numFmtId="0" fontId="5" fillId="4" borderId="12" applyAlignment="1" pivotButton="0" quotePrefix="0" xfId="0">
      <alignment horizontal="center" wrapText="1"/>
    </xf>
    <xf numFmtId="0" fontId="5" fillId="4" borderId="13" applyAlignment="1" pivotButton="0" quotePrefix="0" xfId="0">
      <alignment horizontal="center" wrapText="1"/>
    </xf>
    <xf numFmtId="0" fontId="6" fillId="5" borderId="14" pivotButton="0" quotePrefix="0" xfId="0"/>
    <xf numFmtId="3" fontId="0" fillId="4" borderId="15" applyAlignment="1" pivotButton="0" quotePrefix="0" xfId="0">
      <alignment vertical="top"/>
    </xf>
    <xf numFmtId="3" fontId="0" fillId="4" borderId="16" applyAlignment="1" pivotButton="0" quotePrefix="0" xfId="0">
      <alignment vertical="top"/>
    </xf>
    <xf numFmtId="166" fontId="0" fillId="4" borderId="17" applyAlignment="1" pivotButton="0" quotePrefix="0" xfId="0">
      <alignment vertical="top"/>
    </xf>
    <xf numFmtId="166" fontId="4" fillId="4" borderId="18" applyAlignment="1" pivotButton="0" quotePrefix="0" xfId="0">
      <alignment vertical="center"/>
    </xf>
    <xf numFmtId="0" fontId="7" fillId="0" borderId="19" applyAlignment="1" pivotButton="0" quotePrefix="0" xfId="0">
      <alignment horizontal="center"/>
    </xf>
    <xf numFmtId="0" fontId="0" fillId="0" borderId="20" pivotButton="0" quotePrefix="0" xfId="0"/>
    <xf numFmtId="165" fontId="0" fillId="4" borderId="20" pivotButton="0" quotePrefix="0" xfId="0"/>
    <xf numFmtId="3" fontId="0" fillId="4" borderId="21" pivotButton="0" quotePrefix="0" xfId="0"/>
    <xf numFmtId="0" fontId="7" fillId="0" borderId="22" applyAlignment="1" pivotButton="0" quotePrefix="0" xfId="0">
      <alignment horizontal="center"/>
    </xf>
    <xf numFmtId="3" fontId="0" fillId="0" borderId="23" pivotButton="0" quotePrefix="0" xfId="0"/>
    <xf numFmtId="0" fontId="6" fillId="5" borderId="24" pivotButton="0" quotePrefix="0" xfId="0"/>
    <xf numFmtId="3" fontId="0" fillId="4" borderId="25" applyAlignment="1" pivotButton="0" quotePrefix="0" xfId="0">
      <alignment vertical="top"/>
    </xf>
    <xf numFmtId="3" fontId="0" fillId="4" borderId="26" applyAlignment="1" pivotButton="0" quotePrefix="0" xfId="0">
      <alignment vertical="top"/>
    </xf>
    <xf numFmtId="166" fontId="0" fillId="4" borderId="27" applyAlignment="1" pivotButton="0" quotePrefix="0" xfId="0">
      <alignment vertical="top"/>
    </xf>
    <xf numFmtId="166" fontId="4" fillId="4" borderId="28" applyAlignment="1" pivotButton="0" quotePrefix="0" xfId="0">
      <alignment vertical="center"/>
    </xf>
    <xf numFmtId="0" fontId="7" fillId="0" borderId="29" applyAlignment="1" pivotButton="0" quotePrefix="0" xfId="0">
      <alignment horizontal="center"/>
    </xf>
    <xf numFmtId="165" fontId="0" fillId="4" borderId="0" pivotButton="0" quotePrefix="0" xfId="0"/>
    <xf numFmtId="3" fontId="0" fillId="4" borderId="30" pivotButton="0" quotePrefix="0" xfId="0"/>
    <xf numFmtId="0" fontId="7" fillId="0" borderId="31" applyAlignment="1" pivotButton="0" quotePrefix="0" xfId="0">
      <alignment horizontal="center"/>
    </xf>
    <xf numFmtId="3" fontId="0" fillId="0" borderId="32" pivotButton="0" quotePrefix="0" xfId="0"/>
    <xf numFmtId="0" fontId="6" fillId="5" borderId="33" pivotButton="0" quotePrefix="0" xfId="0"/>
    <xf numFmtId="3" fontId="0" fillId="4" borderId="34" applyAlignment="1" pivotButton="0" quotePrefix="0" xfId="0">
      <alignment vertical="top"/>
    </xf>
    <xf numFmtId="3" fontId="0" fillId="4" borderId="35" applyAlignment="1" pivotButton="0" quotePrefix="0" xfId="0">
      <alignment vertical="top"/>
    </xf>
    <xf numFmtId="166" fontId="0" fillId="4" borderId="36" applyAlignment="1" pivotButton="0" quotePrefix="0" xfId="0">
      <alignment vertical="top"/>
    </xf>
    <xf numFmtId="166" fontId="4" fillId="4" borderId="37" applyAlignment="1" pivotButton="0" quotePrefix="0" xfId="0">
      <alignment vertical="center"/>
    </xf>
    <xf numFmtId="0" fontId="6" fillId="5" borderId="38" pivotButton="0" quotePrefix="0" xfId="0"/>
    <xf numFmtId="3" fontId="0" fillId="4" borderId="39" applyAlignment="1" pivotButton="0" quotePrefix="0" xfId="0">
      <alignment vertical="top"/>
    </xf>
    <xf numFmtId="3" fontId="0" fillId="4" borderId="40" applyAlignment="1" pivotButton="0" quotePrefix="0" xfId="0">
      <alignment vertical="top"/>
    </xf>
    <xf numFmtId="166" fontId="0" fillId="4" borderId="41" applyAlignment="1" pivotButton="0" quotePrefix="0" xfId="0">
      <alignment vertical="top"/>
    </xf>
    <xf numFmtId="166" fontId="4" fillId="4" borderId="42" applyAlignment="1" pivotButton="0" quotePrefix="0" xfId="0">
      <alignment vertical="center"/>
    </xf>
    <xf numFmtId="0" fontId="6" fillId="5" borderId="43" pivotButton="0" quotePrefix="0" xfId="0"/>
    <xf numFmtId="3" fontId="0" fillId="6" borderId="44" applyAlignment="1" pivotButton="0" quotePrefix="0" xfId="0">
      <alignment vertical="top"/>
    </xf>
    <xf numFmtId="3" fontId="0" fillId="6" borderId="45" applyAlignment="1" pivotButton="0" quotePrefix="0" xfId="0">
      <alignment vertical="top"/>
    </xf>
    <xf numFmtId="166" fontId="0" fillId="6" borderId="46" applyAlignment="1" pivotButton="0" quotePrefix="0" xfId="0">
      <alignment vertical="top"/>
    </xf>
    <xf numFmtId="166" fontId="4" fillId="6" borderId="47" applyAlignment="1" pivotButton="0" quotePrefix="0" xfId="0">
      <alignment vertical="center"/>
    </xf>
    <xf numFmtId="3" fontId="0" fillId="4" borderId="0" applyAlignment="1" pivotButton="0" quotePrefix="0" xfId="0">
      <alignment vertical="top"/>
    </xf>
    <xf numFmtId="166" fontId="0" fillId="4" borderId="0" applyAlignment="1" pivotButton="0" quotePrefix="0" xfId="0">
      <alignment vertical="top"/>
    </xf>
    <xf numFmtId="166" fontId="4" fillId="4" borderId="0" applyAlignment="1" pivotButton="0" quotePrefix="0" xfId="0">
      <alignment vertical="center"/>
    </xf>
    <xf numFmtId="0" fontId="8" fillId="0" borderId="0" pivotButton="0" quotePrefix="0" xfId="0"/>
    <xf numFmtId="0" fontId="9" fillId="0" borderId="0" pivotButton="0" quotePrefix="0" xfId="0"/>
    <xf numFmtId="0" fontId="5" fillId="4" borderId="0" applyAlignment="1" pivotButton="0" quotePrefix="0" xfId="0">
      <alignment horizontal="center" vertical="top"/>
    </xf>
    <xf numFmtId="0" fontId="5" fillId="4" borderId="0" applyAlignment="1" pivotButton="0" quotePrefix="0" xfId="0">
      <alignment horizontal="center" vertical="center"/>
    </xf>
    <xf numFmtId="0" fontId="7" fillId="0" borderId="48" applyAlignment="1" pivotButton="0" quotePrefix="0" xfId="0">
      <alignment horizontal="center"/>
    </xf>
    <xf numFmtId="0" fontId="0" fillId="0" borderId="12" pivotButton="0" quotePrefix="0" xfId="0"/>
    <xf numFmtId="165" fontId="0" fillId="4" borderId="12" pivotButton="0" quotePrefix="0" xfId="0"/>
    <xf numFmtId="3" fontId="0" fillId="4" borderId="49" pivotButton="0" quotePrefix="0" xfId="0"/>
    <xf numFmtId="0" fontId="7" fillId="0" borderId="50" applyAlignment="1" pivotButton="0" quotePrefix="0" xfId="0">
      <alignment horizontal="center"/>
    </xf>
    <xf numFmtId="0" fontId="0" fillId="0" borderId="51" pivotButton="0" quotePrefix="0" xfId="0"/>
    <xf numFmtId="3" fontId="0" fillId="0" borderId="52" pivotButton="0" quotePrefix="0" xfId="0"/>
    <xf numFmtId="0" fontId="0" fillId="0" borderId="53" pivotButton="0" quotePrefix="0" xfId="0"/>
    <xf numFmtId="3" fontId="0" fillId="4" borderId="54" applyAlignment="1" pivotButton="0" quotePrefix="0" xfId="0">
      <alignment vertical="top"/>
    </xf>
    <xf numFmtId="3" fontId="0" fillId="4" borderId="17" applyAlignment="1" pivotButton="0" quotePrefix="0" xfId="0">
      <alignment vertical="top"/>
    </xf>
    <xf numFmtId="3" fontId="0" fillId="4" borderId="55" applyAlignment="1" pivotButton="0" quotePrefix="0" xfId="0">
      <alignment vertical="top"/>
    </xf>
    <xf numFmtId="3" fontId="0" fillId="4" borderId="56" applyAlignment="1" pivotButton="0" quotePrefix="0" xfId="0">
      <alignment vertical="top"/>
    </xf>
    <xf numFmtId="3" fontId="0" fillId="4" borderId="27" applyAlignment="1" pivotButton="0" quotePrefix="0" xfId="0">
      <alignment vertical="top"/>
    </xf>
    <xf numFmtId="3" fontId="0" fillId="4" borderId="57" applyAlignment="1" pivotButton="0" quotePrefix="0" xfId="0">
      <alignment vertical="top"/>
    </xf>
    <xf numFmtId="3" fontId="0" fillId="4" borderId="58" applyAlignment="1" pivotButton="0" quotePrefix="0" xfId="0">
      <alignment vertical="top"/>
    </xf>
    <xf numFmtId="3" fontId="0" fillId="4" borderId="59" applyAlignment="1" pivotButton="0" quotePrefix="0" xfId="0">
      <alignment vertical="top"/>
    </xf>
    <xf numFmtId="3" fontId="0" fillId="4" borderId="60" applyAlignment="1" pivotButton="0" quotePrefix="0" xfId="0">
      <alignment vertical="top"/>
    </xf>
    <xf numFmtId="0" fontId="10" fillId="7" borderId="0" pivotButton="0" quotePrefix="0" xfId="0"/>
    <xf numFmtId="0" fontId="0" fillId="4" borderId="0" pivotButton="0" quotePrefix="0" xfId="0"/>
    <xf numFmtId="0" fontId="6" fillId="5" borderId="61" pivotButton="0" quotePrefix="0" xfId="0"/>
    <xf numFmtId="3" fontId="0" fillId="8" borderId="62" applyAlignment="1" pivotButton="0" quotePrefix="0" xfId="0">
      <alignment horizontal="right" vertical="top"/>
    </xf>
    <xf numFmtId="3" fontId="0" fillId="8" borderId="36" applyAlignment="1" pivotButton="0" quotePrefix="0" xfId="0">
      <alignment horizontal="right" vertical="top"/>
    </xf>
    <xf numFmtId="3" fontId="0" fillId="8" borderId="63" applyAlignment="1" pivotButton="0" quotePrefix="0" xfId="0">
      <alignment horizontal="right" vertical="top"/>
    </xf>
    <xf numFmtId="3" fontId="0" fillId="4" borderId="62" applyAlignment="1" pivotButton="0" quotePrefix="0" xfId="0">
      <alignment vertical="top"/>
    </xf>
    <xf numFmtId="3" fontId="0" fillId="4" borderId="36" applyAlignment="1" pivotButton="0" quotePrefix="0" xfId="0">
      <alignment vertical="top"/>
    </xf>
    <xf numFmtId="3" fontId="0" fillId="4" borderId="63" applyAlignment="1" pivotButton="0" quotePrefix="0" xfId="0">
      <alignment vertical="top"/>
    </xf>
    <xf numFmtId="3" fontId="0" fillId="6" borderId="64" applyAlignment="1" pivotButton="0" quotePrefix="0" xfId="0">
      <alignment vertical="top"/>
    </xf>
    <xf numFmtId="3" fontId="0" fillId="6" borderId="46" applyAlignment="1" pivotButton="0" quotePrefix="0" xfId="0">
      <alignment vertical="top"/>
    </xf>
    <xf numFmtId="3" fontId="0" fillId="6" borderId="49" applyAlignment="1" pivotButton="0" quotePrefix="0" xfId="0">
      <alignment vertical="top"/>
    </xf>
    <xf numFmtId="0" fontId="6" fillId="5" borderId="65" pivotButton="0" quotePrefix="0" xfId="0"/>
    <xf numFmtId="3" fontId="0" fillId="4" borderId="66" applyAlignment="1" pivotButton="0" quotePrefix="0" xfId="0">
      <alignment vertical="top"/>
    </xf>
    <xf numFmtId="0" fontId="5" fillId="9" borderId="65" applyAlignment="1" pivotButton="0" quotePrefix="0" xfId="0">
      <alignment horizontal="center" vertical="top"/>
    </xf>
    <xf numFmtId="3" fontId="0" fillId="9" borderId="67" applyAlignment="1" pivotButton="0" quotePrefix="0" xfId="0">
      <alignment vertical="top"/>
    </xf>
    <xf numFmtId="0" fontId="1" fillId="2" borderId="2" applyAlignment="1" pivotButton="0" quotePrefix="0" xfId="0">
      <alignment horizontal="center" vertical="center"/>
    </xf>
    <xf numFmtId="164" fontId="3" fillId="3" borderId="4" pivotButton="0" quotePrefix="0" xfId="0"/>
    <xf numFmtId="164" fontId="3" fillId="3" borderId="6" pivotButton="0" quotePrefix="0" xfId="0"/>
    <xf numFmtId="165" fontId="0" fillId="0" borderId="0" pivotButton="0" quotePrefix="0" xfId="0"/>
    <xf numFmtId="3" fontId="7" fillId="0" borderId="19" applyAlignment="1" pivotButton="0" quotePrefix="0" xfId="0">
      <alignment horizontal="center"/>
    </xf>
    <xf numFmtId="4" fontId="0" fillId="4" borderId="20" pivotButton="0" quotePrefix="0" xfId="0"/>
    <xf numFmtId="3" fontId="7" fillId="0" borderId="22" applyAlignment="1" pivotButton="0" quotePrefix="0" xfId="0">
      <alignment horizontal="center"/>
    </xf>
    <xf numFmtId="3" fontId="7" fillId="0" borderId="29" applyAlignment="1" pivotButton="0" quotePrefix="0" xfId="0">
      <alignment horizontal="center"/>
    </xf>
    <xf numFmtId="4" fontId="0" fillId="4" borderId="0" pivotButton="0" quotePrefix="0" xfId="0"/>
    <xf numFmtId="3" fontId="7" fillId="0" borderId="31" applyAlignment="1" pivotButton="0" quotePrefix="0" xfId="0">
      <alignment horizontal="center"/>
    </xf>
    <xf numFmtId="3" fontId="7" fillId="0" borderId="48" applyAlignment="1" pivotButton="0" quotePrefix="0" xfId="0">
      <alignment horizontal="center"/>
    </xf>
    <xf numFmtId="4" fontId="0" fillId="4" borderId="12" pivotButton="0" quotePrefix="0" xfId="0"/>
    <xf numFmtId="3" fontId="7" fillId="0" borderId="50" applyAlignment="1" pivotButton="0" quotePrefix="0" xfId="0">
      <alignment horizontal="center"/>
    </xf>
    <xf numFmtId="4" fontId="0" fillId="4" borderId="54" applyAlignment="1" pivotButton="0" quotePrefix="0" xfId="0">
      <alignment vertical="top"/>
    </xf>
    <xf numFmtId="4" fontId="0" fillId="4" borderId="17" applyAlignment="1" pivotButton="0" quotePrefix="0" xfId="0">
      <alignment vertical="top"/>
    </xf>
    <xf numFmtId="4" fontId="0" fillId="4" borderId="55" applyAlignment="1" pivotButton="0" quotePrefix="0" xfId="0">
      <alignment vertical="top"/>
    </xf>
    <xf numFmtId="4" fontId="0" fillId="4" borderId="56" applyAlignment="1" pivotButton="0" quotePrefix="0" xfId="0">
      <alignment vertical="top"/>
    </xf>
    <xf numFmtId="4" fontId="0" fillId="4" borderId="27" applyAlignment="1" pivotButton="0" quotePrefix="0" xfId="0">
      <alignment vertical="top"/>
    </xf>
    <xf numFmtId="4" fontId="0" fillId="4" borderId="57" applyAlignment="1" pivotButton="0" quotePrefix="0" xfId="0">
      <alignment vertical="top"/>
    </xf>
    <xf numFmtId="4" fontId="0" fillId="4" borderId="58" applyAlignment="1" pivotButton="0" quotePrefix="0" xfId="0">
      <alignment vertical="top"/>
    </xf>
    <xf numFmtId="4" fontId="0" fillId="4" borderId="59" applyAlignment="1" pivotButton="0" quotePrefix="0" xfId="0">
      <alignment vertical="top"/>
    </xf>
    <xf numFmtId="4" fontId="0" fillId="4" borderId="60" applyAlignment="1" pivotButton="0" quotePrefix="0" xfId="0">
      <alignment vertical="top"/>
    </xf>
    <xf numFmtId="4" fontId="0" fillId="8" borderId="62" applyAlignment="1" pivotButton="0" quotePrefix="0" xfId="0">
      <alignment horizontal="right" vertical="top"/>
    </xf>
    <xf numFmtId="4" fontId="0" fillId="8" borderId="36" applyAlignment="1" pivotButton="0" quotePrefix="0" xfId="0">
      <alignment horizontal="right" vertical="top"/>
    </xf>
    <xf numFmtId="4" fontId="0" fillId="8" borderId="63" applyAlignment="1" pivotButton="0" quotePrefix="0" xfId="0">
      <alignment horizontal="right" vertical="top"/>
    </xf>
    <xf numFmtId="4" fontId="0" fillId="4" borderId="62" applyAlignment="1" pivotButton="0" quotePrefix="0" xfId="0">
      <alignment vertical="top"/>
    </xf>
    <xf numFmtId="4" fontId="0" fillId="4" borderId="36" applyAlignment="1" pivotButton="0" quotePrefix="0" xfId="0">
      <alignment vertical="top"/>
    </xf>
    <xf numFmtId="4" fontId="0" fillId="4" borderId="63" applyAlignment="1" pivotButton="0" quotePrefix="0" xfId="0">
      <alignment vertical="top"/>
    </xf>
    <xf numFmtId="4" fontId="0" fillId="6" borderId="64" applyAlignment="1" pivotButton="0" quotePrefix="0" xfId="0">
      <alignment vertical="top"/>
    </xf>
    <xf numFmtId="4" fontId="0" fillId="6" borderId="46" applyAlignment="1" pivotButton="0" quotePrefix="0" xfId="0">
      <alignment vertical="top"/>
    </xf>
    <xf numFmtId="4" fontId="0" fillId="6" borderId="49" applyAlignment="1" pivotButton="0" quotePrefix="0" xfId="0">
      <alignment vertical="top"/>
    </xf>
    <xf numFmtId="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tabSelected="1" zoomScale="80" zoomScaleNormal="80" workbookViewId="0">
      <pane ySplit="13" topLeftCell="A79" activePane="bottomLeft" state="frozen"/>
      <selection activeCell="H10" sqref="H10"/>
      <selection pane="bottomLeft" activeCell="B101" sqref="B10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2027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2027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28321869.63325635</v>
      </c>
      <c r="AI25" s="46" t="n">
        <v>37842.22928475848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5564.442125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HUMIRA PEN</t>
        </is>
      </c>
      <c r="AG26" t="inlineStr">
        <is>
          <t>IMMUNOMODULATORS</t>
        </is>
      </c>
      <c r="AH26" s="122" t="n">
        <v>15249283.33882074</v>
      </c>
      <c r="AI26" s="56" t="n">
        <v>1490.190610622383</v>
      </c>
      <c r="AK26" s="123" t="n">
        <v>2</v>
      </c>
      <c r="AL26" t="inlineStr">
        <is>
          <t>XIFAXAN</t>
        </is>
      </c>
      <c r="AM26" t="inlineStr">
        <is>
          <t>ANTI-INFECTIVE AGENTS - MISC.</t>
        </is>
      </c>
      <c r="AN26" s="58" t="n">
        <v>282.498306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 PEN</t>
        </is>
      </c>
      <c r="AG27" t="inlineStr">
        <is>
          <t>IMMUNOMODULATORS</t>
        </is>
      </c>
      <c r="AH27" s="122" t="n">
        <v>12577936.89957107</v>
      </c>
      <c r="AI27" s="56" t="n">
        <v>1010.22492</v>
      </c>
      <c r="AK27" s="123" t="n">
        <v>3</v>
      </c>
      <c r="AL27" t="inlineStr">
        <is>
          <t>CAPLYTA</t>
        </is>
      </c>
      <c r="AM27" t="inlineStr">
        <is>
          <t>ATYPICAL ANTIPSYCHOTICS</t>
        </is>
      </c>
      <c r="AN27" s="58" t="n">
        <v>313.70631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11053681.77593989</v>
      </c>
      <c r="AI28" s="56" t="n">
        <v>14824.51869790836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569.4290554972044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7233557.163413945</v>
      </c>
      <c r="AI29" s="56" t="n">
        <v>554.91228</v>
      </c>
      <c r="AK29" s="123" t="n">
        <v>5</v>
      </c>
      <c r="AL29" t="inlineStr">
        <is>
          <t>XELJANZ XR</t>
        </is>
      </c>
      <c r="AM29" t="inlineStr">
        <is>
          <t>IMMUNOMODULATORS</t>
        </is>
      </c>
      <c r="AN29" s="58" t="n">
        <v>47.0704669375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5634318.81464013</v>
      </c>
      <c r="AI30" s="56" t="n">
        <v>752.3329949999999</v>
      </c>
      <c r="AK30" s="123" t="n">
        <v>6</v>
      </c>
      <c r="AL30" t="inlineStr">
        <is>
          <t>SHINGRIX</t>
        </is>
      </c>
      <c r="AM30" t="inlineStr">
        <is>
          <t>VACCINES</t>
        </is>
      </c>
      <c r="AN30" s="58" t="n">
        <v>1945.681881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5231411.651656951</v>
      </c>
      <c r="AI31" s="56" t="n">
        <v>780.9839425823877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49.82536125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3529065.426607606</v>
      </c>
      <c r="AI32" s="56" t="n">
        <v>12396.8159518388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1420.785089396207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TREMFYA</t>
        </is>
      </c>
      <c r="AG33" t="inlineStr">
        <is>
          <t>IMMUNOMODULATORS</t>
        </is>
      </c>
      <c r="AH33" s="122" t="n">
        <v>2901313.69343935</v>
      </c>
      <c r="AI33" s="56" t="n">
        <v>354.0840958925122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266.3902744834668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NURTEC</t>
        </is>
      </c>
      <c r="AG34" t="inlineStr">
        <is>
          <t>MIGRAINE PRODUCTS</t>
        </is>
      </c>
      <c r="AH34" s="122" t="n">
        <v>2870215.222719257</v>
      </c>
      <c r="AI34" s="56" t="n">
        <v>2997.03719227378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51.51000000000001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ENBREL SURECLICK</t>
        </is>
      </c>
      <c r="AG35" t="inlineStr">
        <is>
          <t>IMMUNOMODULATORS</t>
        </is>
      </c>
      <c r="AH35" s="122" t="n">
        <v>1948582.403595467</v>
      </c>
      <c r="AI35" s="56" t="n">
        <v>379.6218000000001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21.2588208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QULIPTA</t>
        </is>
      </c>
      <c r="AG36" t="inlineStr">
        <is>
          <t>MIGRAINE PRODUCTS</t>
        </is>
      </c>
      <c r="AH36" s="122" t="n">
        <v>1941215.895906649</v>
      </c>
      <c r="AI36" s="56" t="n">
        <v>2057.340789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294.4844199883208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OTEZLA</t>
        </is>
      </c>
      <c r="AG37" t="inlineStr">
        <is>
          <t>IMMUNOMODULATORS</t>
        </is>
      </c>
      <c r="AH37" s="122" t="n">
        <v>1886765.755512452</v>
      </c>
      <c r="AI37" s="56" t="n">
        <v>432.34705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172.882879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TRULICITY</t>
        </is>
      </c>
      <c r="AG38" t="inlineStr">
        <is>
          <t>GLUCAGON-LIKE PEPTIDE-1 AGONISTS (GLP1)</t>
        </is>
      </c>
      <c r="AH38" s="122" t="n">
        <v>1789465.390993749</v>
      </c>
      <c r="AI38" s="56" t="n">
        <v>2313.128836677755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23.064528799375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1553571.067329031</v>
      </c>
      <c r="AI39" s="56" t="n">
        <v>3118.807607</v>
      </c>
      <c r="AK39" s="123" t="n">
        <v>15</v>
      </c>
      <c r="AL39" t="inlineStr">
        <is>
          <t>QELBREE</t>
        </is>
      </c>
      <c r="AM39" t="inlineStr">
        <is>
          <t>ADHD &amp; NARCOLEPSY MEDICATIONS</t>
        </is>
      </c>
      <c r="AN39" s="58" t="n">
        <v>273.82982704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AJOVY</t>
        </is>
      </c>
      <c r="AG40" t="inlineStr">
        <is>
          <t>MIGRAINE PRODUCTS</t>
        </is>
      </c>
      <c r="AH40" s="122" t="n">
        <v>1408907.590304917</v>
      </c>
      <c r="AI40" s="56" t="n">
        <v>1821.671488505163</v>
      </c>
      <c r="AK40" s="123" t="n">
        <v>16</v>
      </c>
      <c r="AL40" t="inlineStr">
        <is>
          <t>FLUCELVAX 2024-2025</t>
        </is>
      </c>
      <c r="AM40" t="inlineStr">
        <is>
          <t>VACCINES</t>
        </is>
      </c>
      <c r="AN40" s="58" t="n">
        <v>5379.355709000001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1298529.249782912</v>
      </c>
      <c r="AI41" s="56" t="n">
        <v>2216.344193326221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621.5789060000002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1201949.925716262</v>
      </c>
      <c r="AI42" s="56" t="n">
        <v>1336.815113562571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13.708565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REPATHA SURECLICK</t>
        </is>
      </c>
      <c r="AG43" t="inlineStr">
        <is>
          <t>PCSK9 INHIBITORS</t>
        </is>
      </c>
      <c r="AH43" s="122" t="n">
        <v>1193416.548561518</v>
      </c>
      <c r="AI43" s="56" t="n">
        <v>2901.948591</v>
      </c>
      <c r="AK43" s="123" t="n">
        <v>19</v>
      </c>
      <c r="AL43" t="inlineStr">
        <is>
          <t>ABRYSVO</t>
        </is>
      </c>
      <c r="AM43" t="inlineStr">
        <is>
          <t>VACCINES</t>
        </is>
      </c>
      <c r="AN43" s="58" t="n">
        <v>394.732585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AIMOVIG</t>
        </is>
      </c>
      <c r="AG44" s="82" t="inlineStr">
        <is>
          <t>MIGRAINE PRODUCTS</t>
        </is>
      </c>
      <c r="AH44" s="125" t="n">
        <v>1035027.547097453</v>
      </c>
      <c r="AI44" s="84" t="n">
        <v>1651.013328294838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327.22411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56059040.23336788</v>
      </c>
      <c r="AH49" s="46" t="n">
        <v>6902.123472496875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42381311.56098315</v>
      </c>
      <c r="AH50" s="56" t="n">
        <v>56332.87840865389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2027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8567448.901922544</v>
      </c>
      <c r="AH51" s="56" t="n">
        <v>10927.29972684575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3811195.185857767</v>
      </c>
      <c r="AH52" s="56" t="n">
        <v>13941.47613349373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3484095.766991229</v>
      </c>
      <c r="AH53" s="56" t="n">
        <v>9617.76808336692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39242.97908836937</v>
      </c>
      <c r="AE54" s="121" t="n">
        <v>6</v>
      </c>
      <c r="AF54" t="inlineStr">
        <is>
          <t>BASAL INSULIN</t>
        </is>
      </c>
      <c r="AG54" s="122" t="n">
        <v>1652160.935343546</v>
      </c>
      <c r="AH54" s="56" t="n">
        <v>5166.812702887033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1233810.003554706</v>
      </c>
      <c r="AH55" s="56" t="n">
        <v>3115.044255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989013.90751893</v>
      </c>
      <c r="AH56" s="56" t="n">
        <v>2740.6537912045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855702.5593871593</v>
      </c>
      <c r="AH57" s="56" t="n">
        <v>2705.748534253711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2594.635870111398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708217.5836277844</v>
      </c>
      <c r="AH58" s="56" t="n">
        <v>496.7672586372211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485203.6160385789</v>
      </c>
      <c r="AH59" s="56" t="n">
        <v>2589.08465126051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ORAL ANTICOAGULANTS</t>
        </is>
      </c>
      <c r="AG60" s="122" t="n">
        <v>439421.1727234393</v>
      </c>
      <c r="AH60" s="56" t="n">
        <v>6706.464778411767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ADHD &amp; NARCOLEPSY MEDICATIONS</t>
        </is>
      </c>
      <c r="AG61" s="122" t="n">
        <v>384844.6521446669</v>
      </c>
      <c r="AH61" s="56" t="n">
        <v>2199.432896617287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54.4696088644549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354891.2130933049</v>
      </c>
      <c r="AH62" s="56" t="n">
        <v>424.6916390399999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1724.744513801077</v>
      </c>
      <c r="L63" s="131" t="n">
        <v>822.9238077059795</v>
      </c>
      <c r="M63" s="131" t="n">
        <v>11319.80813218343</v>
      </c>
      <c r="N63" s="132" t="n">
        <v>20607.9670061908</v>
      </c>
      <c r="P63" s="130" t="n">
        <v>7085.272226056382</v>
      </c>
      <c r="Q63" s="131" t="n">
        <v>1791.483213016827</v>
      </c>
      <c r="R63" s="131" t="n">
        <v>845.0266611041575</v>
      </c>
      <c r="S63" s="131" t="n">
        <v>12711.55782330638</v>
      </c>
      <c r="T63" s="132" t="n">
        <v>22433.33992348375</v>
      </c>
      <c r="V63" s="130" t="n">
        <v>7451.78198484419</v>
      </c>
      <c r="W63" s="131" t="n">
        <v>1871.513247205619</v>
      </c>
      <c r="X63" s="131" t="n">
        <v>853.5529290622235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351122.3290545332</v>
      </c>
      <c r="AH63" s="56" t="n">
        <v>756.0545428044874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ANTIPSORIATICS - TOPICAL</t>
        </is>
      </c>
      <c r="AG64" s="122" t="n">
        <v>302771.2911285763</v>
      </c>
      <c r="AH64" s="56" t="n">
        <v>328.1647160000001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MISC. ANTIVIRALS</t>
        </is>
      </c>
      <c r="AG65" s="122" t="n">
        <v>299886.3791689929</v>
      </c>
      <c r="AH65" s="56" t="n">
        <v>927.371744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 INTEGRIN ANTAGONIST</t>
        </is>
      </c>
      <c r="AG66" s="122" t="n">
        <v>264301.1631432503</v>
      </c>
      <c r="AH66" s="56" t="n">
        <v>465.7996587300479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243366.9922837368</v>
      </c>
      <c r="AH67" s="56" t="n">
        <v>537.43482176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69977.99808268294</v>
      </c>
      <c r="P68" s="142" t="n">
        <v>31325.89477915731</v>
      </c>
      <c r="Q68" s="143" t="n">
        <v>14156.50565444037</v>
      </c>
      <c r="R68" s="143" t="n">
        <v>4522.561975938523</v>
      </c>
      <c r="S68" s="143" t="n">
        <v>12711.55782330638</v>
      </c>
      <c r="T68" s="144" t="n">
        <v>75036.73042073625</v>
      </c>
      <c r="V68" s="142" t="n">
        <v>33281.72950672972</v>
      </c>
      <c r="W68" s="143" t="n">
        <v>14861.92795547624</v>
      </c>
      <c r="X68" s="143" t="n">
        <v>4977.901177068295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OSTEOARTHRITIS</t>
        </is>
      </c>
      <c r="AG68" s="125" t="n">
        <v>211177.651739883</v>
      </c>
      <c r="AH68" s="84" t="n">
        <v>67.84771959409092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4007.507679274599</v>
      </c>
      <c r="P94" s="130" t="n">
        <v>2647.540383956738</v>
      </c>
      <c r="Q94" s="131" t="n">
        <v>992.0443454756097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958.7679881682462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54.4696088644549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1012.081149665641</v>
      </c>
      <c r="M99" s="131" t="n">
        <v>12720.84669002336</v>
      </c>
      <c r="N99" s="132" t="n">
        <v>23333.9474641031</v>
      </c>
      <c r="P99" s="130" t="n">
        <v>8104.74116198187</v>
      </c>
      <c r="Q99" s="131" t="n">
        <v>1933.712760458116</v>
      </c>
      <c r="R99" s="131" t="n">
        <v>1050.841937537911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32705.26137260096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34693.43084959687</v>
      </c>
      <c r="W104" s="143" t="n">
        <v>15071.8596251477</v>
      </c>
      <c r="X104" s="143" t="n">
        <v>5244.063096826499</v>
      </c>
      <c r="Y104" s="143" t="n">
        <v>15855.13226131755</v>
      </c>
      <c r="Z104" s="144" t="n">
        <v>86295.38743677041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2028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2028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36479108.39092791</v>
      </c>
      <c r="AI25" s="46" t="n">
        <v>47681.20374516815</v>
      </c>
      <c r="AK25" s="120" t="n">
        <v>1</v>
      </c>
      <c r="AL25" s="44" t="inlineStr">
        <is>
          <t>ELIQUIS</t>
        </is>
      </c>
      <c r="AM25" s="44" t="inlineStr">
        <is>
          <t>ORAL ANTICOAGULANTS</t>
        </is>
      </c>
      <c r="AN25" s="48" t="n">
        <v>2276.578560453788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16000083.88751766</v>
      </c>
      <c r="AI26" s="56" t="n">
        <v>1224.14004681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337.2342832499999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15756953.8277056</v>
      </c>
      <c r="AI27" s="56" t="n">
        <v>1518.116782665446</v>
      </c>
      <c r="AK27" s="123" t="n">
        <v>3</v>
      </c>
      <c r="AL27" t="inlineStr">
        <is>
          <t>RESTASIS</t>
        </is>
      </c>
      <c r="AM27" t="inlineStr">
        <is>
          <t>OPHTHALMIC IMMUNOMODULATORS</t>
        </is>
      </c>
      <c r="AN27" s="58" t="n">
        <v>567.8175712701473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OZEMPIC</t>
        </is>
      </c>
      <c r="AG28" t="inlineStr">
        <is>
          <t>GLUCAGON-LIKE PEPTIDE-1 AGONISTS (GLP1)</t>
        </is>
      </c>
      <c r="AH28" s="122" t="n">
        <v>11038405.43053451</v>
      </c>
      <c r="AI28" s="56" t="n">
        <v>14231.53794999202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44.88285118218599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SKYRIZI</t>
        </is>
      </c>
      <c r="AG29" t="inlineStr">
        <is>
          <t>IMMUNOMODULATORS</t>
        </is>
      </c>
      <c r="AH29" s="122" t="n">
        <v>9425358.513116539</v>
      </c>
      <c r="AI29" s="56" t="n">
        <v>672.4149552899999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1940.17560127677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7261041.493413353</v>
      </c>
      <c r="AI30" s="56" t="n">
        <v>911.6395066912501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50.759088519825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5596493.161870112</v>
      </c>
      <c r="AI31" s="56" t="n">
        <v>795.7846267693131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1486.254866315584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4002229.497978751</v>
      </c>
      <c r="AI32" s="56" t="n">
        <v>13973.95203328434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269.9465846478211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3240440.171817308</v>
      </c>
      <c r="AI33" s="56" t="n">
        <v>3238.958034434119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52.0251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3129242.204697554</v>
      </c>
      <c r="AI34" s="56" t="n">
        <v>360.8044705626896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21.657211101792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2230525.508568965</v>
      </c>
      <c r="AI35" s="56" t="n">
        <v>2223.40933748808</v>
      </c>
      <c r="AK35" s="123" t="n">
        <v>11</v>
      </c>
      <c r="AL35" t="inlineStr">
        <is>
          <t>MYRBETRIQ</t>
        </is>
      </c>
      <c r="AM35" t="inlineStr">
        <is>
          <t>URINARY ANTISPASMODICS &amp; OAB DRUGS</t>
        </is>
      </c>
      <c r="AN35" s="58" t="n">
        <v>295.3973216902847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2065048.249427686</v>
      </c>
      <c r="AI36" s="56" t="n">
        <v>386.7359125319999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290.3855783828383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TRULICITY</t>
        </is>
      </c>
      <c r="AG37" t="inlineStr">
        <is>
          <t>GLUCAGON-LIKE PEPTIDE-1 AGONISTS (GLP1)</t>
        </is>
      </c>
      <c r="AH37" s="122" t="n">
        <v>1751703.99415768</v>
      </c>
      <c r="AI37" s="56" t="n">
        <v>2220.603683210644</v>
      </c>
      <c r="AK37" s="123" t="n">
        <v>13</v>
      </c>
      <c r="AL37" t="inlineStr">
        <is>
          <t>BOTOX</t>
        </is>
      </c>
      <c r="AM37" t="inlineStr">
        <is>
          <t>NEUROMUSCULAR BLOCKING AGENT</t>
        </is>
      </c>
      <c r="AN37" s="58" t="n">
        <v>172.39362045243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1677255.769387772</v>
      </c>
      <c r="AI38" s="56" t="n">
        <v>3262.52226153056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21.99259707927114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AJOVY</t>
        </is>
      </c>
      <c r="AG39" t="inlineStr">
        <is>
          <t>MIGRAINE PRODUCTS</t>
        </is>
      </c>
      <c r="AH39" s="122" t="n">
        <v>1625494.1555517</v>
      </c>
      <c r="AI39" s="56" t="n">
        <v>1968.716811057299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5364.132132343528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1483373.414491142</v>
      </c>
      <c r="AI40" s="56" t="n">
        <v>2395.247496611513</v>
      </c>
      <c r="AK40" s="123" t="n">
        <v>16</v>
      </c>
      <c r="AL40" t="inlineStr">
        <is>
          <t>PREVNAR 20</t>
        </is>
      </c>
      <c r="AM40" t="inlineStr">
        <is>
          <t>VACCINES</t>
        </is>
      </c>
      <c r="AN40" s="58" t="n">
        <v>619.81983769602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REPATHA SURECLICK</t>
        </is>
      </c>
      <c r="AG41" t="inlineStr">
        <is>
          <t>PCSK9 INHIBITORS</t>
        </is>
      </c>
      <c r="AH41" s="122" t="n">
        <v>1445353.254743383</v>
      </c>
      <c r="AI41" s="56" t="n">
        <v>3424.29933738</v>
      </c>
      <c r="AK41" s="123" t="n">
        <v>17</v>
      </c>
      <c r="AL41" t="inlineStr">
        <is>
          <t>XARELTO</t>
        </is>
      </c>
      <c r="AM41" t="inlineStr">
        <is>
          <t>ORAL ANTICOAGULANTS</t>
        </is>
      </c>
      <c r="AN41" s="58" t="n">
        <v>163.2580415966043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RYBELSUS</t>
        </is>
      </c>
      <c r="AG42" t="inlineStr">
        <is>
          <t>GLUCAGON-LIKE PEPTIDE-1 AGONISTS (GLP1)</t>
        </is>
      </c>
      <c r="AH42" s="122" t="n">
        <v>1200288.81382636</v>
      </c>
      <c r="AI42" s="56" t="n">
        <v>1283.342509020068</v>
      </c>
      <c r="AK42" s="123" t="n">
        <v>18</v>
      </c>
      <c r="AL42" t="inlineStr">
        <is>
          <t>ENTYVIO</t>
        </is>
      </c>
      <c r="AM42" t="inlineStr">
        <is>
          <t>IMMUNOMODULATORS</t>
        </is>
      </c>
      <c r="AN42" s="58" t="n">
        <v>13.9654635081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AIMOVIG</t>
        </is>
      </c>
      <c r="AG43" t="inlineStr">
        <is>
          <t>MIGRAINE PRODUCTS</t>
        </is>
      </c>
      <c r="AH43" s="122" t="n">
        <v>1157186.994494356</v>
      </c>
      <c r="AI43" s="56" t="n">
        <v>1784.283124154797</v>
      </c>
      <c r="AK43" s="123" t="n">
        <v>19</v>
      </c>
      <c r="AL43" t="inlineStr">
        <is>
          <t>XIFAXAN</t>
        </is>
      </c>
      <c r="AM43" t="inlineStr">
        <is>
          <t>ANTI-INFECTIVE AGENTS - MISC.</t>
        </is>
      </c>
      <c r="AN43" s="58" t="n">
        <v>48.45562175271811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874699.7081056555</v>
      </c>
      <c r="AI44" s="84" t="n">
        <v>2206.258066515537</v>
      </c>
      <c r="AK44" s="126" t="n">
        <v>20</v>
      </c>
      <c r="AL44" s="86" t="inlineStr">
        <is>
          <t>ABRYSVO</t>
        </is>
      </c>
      <c r="AM44" s="86" t="inlineStr">
        <is>
          <t>VACCINES</t>
        </is>
      </c>
      <c r="AN44" s="87" t="n">
        <v>393.6154917844499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63080462.99628589</v>
      </c>
      <c r="AH49" s="46" t="n">
        <v>7316.583474944789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50483914.26914035</v>
      </c>
      <c r="AH50" s="56" t="n">
        <v>65432.22690410775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2028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9752260.173932118</v>
      </c>
      <c r="AH51" s="56" t="n">
        <v>11809.35136079674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4321830.963633669</v>
      </c>
      <c r="AH52" s="56" t="n">
        <v>15398.07308540257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3737245.531379696</v>
      </c>
      <c r="AH53" s="56" t="n">
        <v>10060.95483664847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39242.97908836937</v>
      </c>
      <c r="AE54" s="121" t="n">
        <v>6</v>
      </c>
      <c r="AF54" t="inlineStr">
        <is>
          <t>BASAL INSULIN</t>
        </is>
      </c>
      <c r="AG54" s="122" t="n">
        <v>1650870.480105934</v>
      </c>
      <c r="AH54" s="56" t="n">
        <v>4932.34274243002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PCSK9 INHIBITORS</t>
        </is>
      </c>
      <c r="AG55" s="122" t="n">
        <v>1495456.215233942</v>
      </c>
      <c r="AH55" s="56" t="n">
        <v>3675.7522209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1106322.558871141</v>
      </c>
      <c r="AH56" s="56" t="n">
        <v>2940.450167740487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821628.662817127</v>
      </c>
      <c r="AH57" s="56" t="n">
        <v>2582.961665769278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2594.635870111398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DIGESTIVE ENZYMES</t>
        </is>
      </c>
      <c r="AG58" s="122" t="n">
        <v>761323.2196941308</v>
      </c>
      <c r="AH58" s="56" t="n">
        <v>512.3210415051525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INHALED CORTICOSTEROIDS (ICS)</t>
        </is>
      </c>
      <c r="AG59" s="122" t="n">
        <v>454708.4864445276</v>
      </c>
      <c r="AH59" s="56" t="n">
        <v>2351.277226042232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ADHD &amp; NARCOLEPSY MEDICATIONS</t>
        </is>
      </c>
      <c r="AG60" s="122" t="n">
        <v>430385.1174886419</v>
      </c>
      <c r="AH60" s="56" t="n">
        <v>2323.69093970308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CHRONIC INFLAMMATORY DISEASE</t>
        </is>
      </c>
      <c r="AG61" s="122" t="n">
        <v>381590.3538050652</v>
      </c>
      <c r="AH61" s="56" t="n">
        <v>436.4216221102847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54.4696088644549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ANTIPSORIATICS - TOPICAL</t>
        </is>
      </c>
      <c r="AG62" s="122" t="n">
        <v>374807.2770586585</v>
      </c>
      <c r="AH62" s="56" t="n">
        <v>387.23436488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1724.744513801077</v>
      </c>
      <c r="L63" s="131" t="n">
        <v>822.9238077059795</v>
      </c>
      <c r="M63" s="131" t="n">
        <v>11319.80813218343</v>
      </c>
      <c r="N63" s="132" t="n">
        <v>20607.9670061908</v>
      </c>
      <c r="P63" s="130" t="n">
        <v>7085.272226056382</v>
      </c>
      <c r="Q63" s="131" t="n">
        <v>1791.483213016827</v>
      </c>
      <c r="R63" s="131" t="n">
        <v>845.0266611041575</v>
      </c>
      <c r="S63" s="131" t="n">
        <v>12711.55782330638</v>
      </c>
      <c r="T63" s="132" t="n">
        <v>22433.33992348375</v>
      </c>
      <c r="V63" s="130" t="n">
        <v>7451.78198484419</v>
      </c>
      <c r="W63" s="131" t="n">
        <v>1871.513247205619</v>
      </c>
      <c r="X63" s="131" t="n">
        <v>853.5529290622235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357062.464656778</v>
      </c>
      <c r="AH63" s="56" t="n">
        <v>740.2362178679815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308238.7914176058</v>
      </c>
      <c r="AH64" s="56" t="n">
        <v>924.7472819644801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264952.3935094053</v>
      </c>
      <c r="AH65" s="56" t="n">
        <v>443.8618240449617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OPHTHALMICS - MISC.</t>
        </is>
      </c>
      <c r="AG66" s="122" t="n">
        <v>234523.3546800433</v>
      </c>
      <c r="AH66" s="56" t="n">
        <v>501.316710014464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OSTEOARTHRITIS</t>
        </is>
      </c>
      <c r="AG67" s="122" t="n">
        <v>221754.8610543258</v>
      </c>
      <c r="AH67" s="56" t="n">
        <v>69.66332457042878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69977.99808268294</v>
      </c>
      <c r="P68" s="142" t="n">
        <v>31325.89477915731</v>
      </c>
      <c r="Q68" s="143" t="n">
        <v>14156.50565444037</v>
      </c>
      <c r="R68" s="143" t="n">
        <v>4522.561975938523</v>
      </c>
      <c r="S68" s="143" t="n">
        <v>12711.55782330638</v>
      </c>
      <c r="T68" s="144" t="n">
        <v>75036.73042073625</v>
      </c>
      <c r="V68" s="142" t="n">
        <v>33281.72950672972</v>
      </c>
      <c r="W68" s="143" t="n">
        <v>14861.92795547624</v>
      </c>
      <c r="X68" s="143" t="n">
        <v>4977.901177068295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135726.8727122392</v>
      </c>
      <c r="AH68" s="84" t="n">
        <v>695.3732831631966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4007.507679274599</v>
      </c>
      <c r="P94" s="130" t="n">
        <v>2647.540383956738</v>
      </c>
      <c r="Q94" s="131" t="n">
        <v>992.0443454756097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958.7679881682462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54.4696088644549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1012.081149665641</v>
      </c>
      <c r="M99" s="131" t="n">
        <v>12720.84669002336</v>
      </c>
      <c r="N99" s="132" t="n">
        <v>23333.9474641031</v>
      </c>
      <c r="P99" s="130" t="n">
        <v>8104.74116198187</v>
      </c>
      <c r="Q99" s="131" t="n">
        <v>1933.712760458116</v>
      </c>
      <c r="R99" s="131" t="n">
        <v>1050.841937537911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32705.26137260096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34693.43084959687</v>
      </c>
      <c r="W104" s="143" t="n">
        <v>15071.8596251477</v>
      </c>
      <c r="X104" s="143" t="n">
        <v>5244.063096826499</v>
      </c>
      <c r="Y104" s="143" t="n">
        <v>15855.13226131755</v>
      </c>
      <c r="Z104" s="144" t="n">
        <v>86295.38743677041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2029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2029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45226804.31269629</v>
      </c>
      <c r="AI25" s="46" t="n">
        <v>57217.44053621581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198.3702761133239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20010985.9187456</v>
      </c>
      <c r="AI26" s="56" t="n">
        <v>1458.856659385349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362.52685449375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16401241.75815794</v>
      </c>
      <c r="AI27" s="56" t="n">
        <v>1558.422783245214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45.52309678244842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12074724.14683834</v>
      </c>
      <c r="AI28" s="56" t="n">
        <v>801.3437988173046</v>
      </c>
      <c r="AK28" s="123" t="n">
        <v>4</v>
      </c>
      <c r="AL28" t="inlineStr">
        <is>
          <t>RESTASIS</t>
        </is>
      </c>
      <c r="AM28" t="inlineStr">
        <is>
          <t>OPHTHALMIC IMMUNOMODULATORS</t>
        </is>
      </c>
      <c r="AN28" s="58" t="n">
        <v>565.0863687523381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OZEMPIC</t>
        </is>
      </c>
      <c r="AG29" t="inlineStr">
        <is>
          <t>GLUCAGON-LIKE PEPTIDE-1 AGONISTS (GLP1)</t>
        </is>
      </c>
      <c r="AH29" s="122" t="n">
        <v>11115569.71666375</v>
      </c>
      <c r="AI29" s="56" t="n">
        <v>13662.27643199234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1930.843356634629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RINVOQ</t>
        </is>
      </c>
      <c r="AG30" t="inlineStr">
        <is>
          <t>IMMUNOMODULATORS</t>
        </is>
      </c>
      <c r="AH30" s="122" t="n">
        <v>9200041.749933772</v>
      </c>
      <c r="AI30" s="56" t="n">
        <v>1086.43726570423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52.10674232002636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6081004.051788686</v>
      </c>
      <c r="AI31" s="56" t="n">
        <v>817.091667474854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1554.741490555406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4606375.923149249</v>
      </c>
      <c r="AI32" s="56" t="n">
        <v>15724.71578175682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273.4207971922385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3679671.173030182</v>
      </c>
      <c r="AI33" s="56" t="n">
        <v>3491.467202798604</v>
      </c>
      <c r="AK33" s="123" t="n">
        <v>9</v>
      </c>
      <c r="AL33" t="inlineStr">
        <is>
          <t>REXULTI</t>
        </is>
      </c>
      <c r="AM33" t="inlineStr">
        <is>
          <t>ATYPICAL ANTIPSYCHOTICS</t>
        </is>
      </c>
      <c r="AN33" s="58" t="n">
        <v>172.9551807201062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3399938.26107962</v>
      </c>
      <c r="AI34" s="56" t="n">
        <v>370.475820109104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52.545351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2569349.041505356</v>
      </c>
      <c r="AI35" s="56" t="n">
        <v>2396.746329438651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22.23221005654458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2204566.834283146</v>
      </c>
      <c r="AI36" s="56" t="n">
        <v>397.0037510097247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306.5281126851403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AJOVY</t>
        </is>
      </c>
      <c r="AG37" t="inlineStr">
        <is>
          <t>MIGRAINE PRODUCTS</t>
        </is>
      </c>
      <c r="AH37" s="122" t="n">
        <v>1881079.821863848</v>
      </c>
      <c r="AI37" s="56" t="n">
        <v>2122.197973647326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295.5391124046961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TRELEGY ELLIPTA</t>
        </is>
      </c>
      <c r="AG38" t="inlineStr">
        <is>
          <t>LABA LAMA COMBO</t>
        </is>
      </c>
      <c r="AH38" s="122" t="n">
        <v>1840597.694286198</v>
      </c>
      <c r="AI38" s="56" t="n">
        <v>3412.859287341889</v>
      </c>
      <c r="AK38" s="123" t="n">
        <v>14</v>
      </c>
      <c r="AL38" t="inlineStr">
        <is>
          <t>BOTOX</t>
        </is>
      </c>
      <c r="AM38" t="inlineStr">
        <is>
          <t>NEUROMUSCULAR BLOCKING AGENT</t>
        </is>
      </c>
      <c r="AN38" s="58" t="n">
        <v>171.5644071380538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REPATHA SURECLICK</t>
        </is>
      </c>
      <c r="AG39" t="inlineStr">
        <is>
          <t>PCSK9 INHIBITORS</t>
        </is>
      </c>
      <c r="AH39" s="122" t="n">
        <v>1779292.56188439</v>
      </c>
      <c r="AI39" s="56" t="n">
        <v>4040.673218108399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22.30631742339973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1737807.438772059</v>
      </c>
      <c r="AI40" s="56" t="n">
        <v>2131.779535882219</v>
      </c>
      <c r="AK40" s="123" t="n">
        <v>16</v>
      </c>
      <c r="AL40" t="inlineStr">
        <is>
          <t>ELIQUIS</t>
        </is>
      </c>
      <c r="AM40" t="inlineStr">
        <is>
          <t>ORAL ANTICOAGULANTS</t>
        </is>
      </c>
      <c r="AN40" s="58" t="n">
        <v>403.958125967634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UBRELVY</t>
        </is>
      </c>
      <c r="AG41" t="inlineStr">
        <is>
          <t>MIGRAINE PRODUCTS</t>
        </is>
      </c>
      <c r="AH41" s="122" t="n">
        <v>1718221.789054684</v>
      </c>
      <c r="AI41" s="56" t="n">
        <v>2581.980991447346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5338.330656786958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1301279.650678322</v>
      </c>
      <c r="AI42" s="56" t="n">
        <v>1923.385836513905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616.838504276702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1208679.466810677</v>
      </c>
      <c r="AI43" s="56" t="n">
        <v>1232.008808659265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14.33624656424006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936219.2677196715</v>
      </c>
      <c r="AI44" s="84" t="n">
        <v>2307.922438220572</v>
      </c>
      <c r="AK44" s="126" t="n">
        <v>20</v>
      </c>
      <c r="AL44" s="86" t="inlineStr">
        <is>
          <t>COMBIPATCH</t>
        </is>
      </c>
      <c r="AM44" s="86" t="inlineStr">
        <is>
          <t>ESTROGENS &amp; COMBOS</t>
        </is>
      </c>
      <c r="AN44" s="87" t="n">
        <v>345.0504511449656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73187319.99251275</v>
      </c>
      <c r="AH49" s="46" t="n">
        <v>7882.581033661397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59303428.40723624</v>
      </c>
      <c r="AH50" s="56" t="n">
        <v>74258.42276879784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2029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11166840.99374089</v>
      </c>
      <c r="AH51" s="56" t="n">
        <v>12730.00839288445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4974160.557692925</v>
      </c>
      <c r="AH52" s="56" t="n">
        <v>17289.288766783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4073537.605525624</v>
      </c>
      <c r="AH53" s="56" t="n">
        <v>10524.56363552123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1842577.455677673</v>
      </c>
      <c r="AH54" s="56" t="n">
        <v>4337.387620661999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1659464.078106953</v>
      </c>
      <c r="AH55" s="56" t="n">
        <v>4707.822500794605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ATYPICAL ANTIPSYCHOTICS</t>
        </is>
      </c>
      <c r="AG56" s="122" t="n">
        <v>884256.2432951636</v>
      </c>
      <c r="AH56" s="56" t="n">
        <v>2371.816078205556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DIGESTIVE ENZYMES</t>
        </is>
      </c>
      <c r="AG57" s="122" t="n">
        <v>830147.971541152</v>
      </c>
      <c r="AH57" s="56" t="n">
        <v>527.7572744857027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2594.635870111398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RAPID ACTING</t>
        </is>
      </c>
      <c r="AG58" s="122" t="n">
        <v>802456.5157618063</v>
      </c>
      <c r="AH58" s="56" t="n">
        <v>2465.38525074346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482250.6227778763</v>
      </c>
      <c r="AH59" s="56" t="n">
        <v>2451.536312377995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ANTIPSORIATICS - TOPICAL</t>
        </is>
      </c>
      <c r="AG60" s="122" t="n">
        <v>470417.6769428896</v>
      </c>
      <c r="AH60" s="56" t="n">
        <v>456.9365505583999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435018.3389389089</v>
      </c>
      <c r="AH61" s="56" t="n">
        <v>2143.165678765235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54.4696088644549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382819.3049702562</v>
      </c>
      <c r="AH62" s="56" t="n">
        <v>418.8459010747297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1724.744513801077</v>
      </c>
      <c r="L63" s="131" t="n">
        <v>822.9238077059795</v>
      </c>
      <c r="M63" s="131" t="n">
        <v>11319.80813218343</v>
      </c>
      <c r="N63" s="132" t="n">
        <v>20607.9670061908</v>
      </c>
      <c r="P63" s="130" t="n">
        <v>7085.272226056382</v>
      </c>
      <c r="Q63" s="131" t="n">
        <v>1791.483213016827</v>
      </c>
      <c r="R63" s="131" t="n">
        <v>845.0266611041575</v>
      </c>
      <c r="S63" s="131" t="n">
        <v>12711.55782330638</v>
      </c>
      <c r="T63" s="132" t="n">
        <v>22433.33992348375</v>
      </c>
      <c r="V63" s="130" t="n">
        <v>7451.78198484419</v>
      </c>
      <c r="W63" s="131" t="n">
        <v>1871.513247205619</v>
      </c>
      <c r="X63" s="131" t="n">
        <v>853.5529290622235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LAMA/ACH</t>
        </is>
      </c>
      <c r="AG63" s="122" t="n">
        <v>381241.1667653401</v>
      </c>
      <c r="AH63" s="56" t="n">
        <v>750.0184370681948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MISC. ANTIVIRALS</t>
        </is>
      </c>
      <c r="AG64" s="122" t="n">
        <v>320953.9661106729</v>
      </c>
      <c r="AH64" s="56" t="n">
        <v>920.2992475382308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 INTEGRIN ANTAGONIST</t>
        </is>
      </c>
      <c r="AG65" s="122" t="n">
        <v>271976.4421237395</v>
      </c>
      <c r="AH65" s="56" t="n">
        <v>425.6180676129508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OSTEOARTHRITIS</t>
        </is>
      </c>
      <c r="AG66" s="122" t="n">
        <v>234940.3614157371</v>
      </c>
      <c r="AH66" s="56" t="n">
        <v>70.89009571611402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OPHTHALMICS - MISC.</t>
        </is>
      </c>
      <c r="AG67" s="122" t="n">
        <v>226475.9371756741</v>
      </c>
      <c r="AH67" s="56" t="n">
        <v>461.6984165352183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69977.99808268294</v>
      </c>
      <c r="P68" s="142" t="n">
        <v>31325.89477915731</v>
      </c>
      <c r="Q68" s="143" t="n">
        <v>14156.50565444037</v>
      </c>
      <c r="R68" s="143" t="n">
        <v>4522.561975938523</v>
      </c>
      <c r="S68" s="143" t="n">
        <v>12711.55782330638</v>
      </c>
      <c r="T68" s="144" t="n">
        <v>75036.73042073625</v>
      </c>
      <c r="V68" s="142" t="n">
        <v>33281.72950672972</v>
      </c>
      <c r="W68" s="143" t="n">
        <v>14861.92795547624</v>
      </c>
      <c r="X68" s="143" t="n">
        <v>4977.901177068295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ESTROGENS &amp; COMBOS</t>
        </is>
      </c>
      <c r="AG68" s="125" t="n">
        <v>150446.4111597719</v>
      </c>
      <c r="AH68" s="84" t="n">
        <v>709.2527094453897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4007.507679274599</v>
      </c>
      <c r="P94" s="130" t="n">
        <v>2647.540383956738</v>
      </c>
      <c r="Q94" s="131" t="n">
        <v>992.0443454756097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958.7679881682462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54.4696088644549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1012.081149665641</v>
      </c>
      <c r="M99" s="131" t="n">
        <v>12720.84669002336</v>
      </c>
      <c r="N99" s="132" t="n">
        <v>23333.9474641031</v>
      </c>
      <c r="P99" s="130" t="n">
        <v>8104.74116198187</v>
      </c>
      <c r="Q99" s="131" t="n">
        <v>1933.712760458116</v>
      </c>
      <c r="R99" s="131" t="n">
        <v>1050.841937537911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32705.26137260096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34693.43084959687</v>
      </c>
      <c r="W104" s="143" t="n">
        <v>15071.8596251477</v>
      </c>
      <c r="X104" s="143" t="n">
        <v>5244.063096826499</v>
      </c>
      <c r="Y104" s="143" t="n">
        <v>15855.13226131755</v>
      </c>
      <c r="Z104" s="144" t="n">
        <v>86295.38743677041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2030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2030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55708663.09676258</v>
      </c>
      <c r="AI25" s="46" t="n">
        <v>68660.92484379245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191.7941861259826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24728108.06662748</v>
      </c>
      <c r="AI26" s="56" t="n">
        <v>1727.330050412035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389.7163685807812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HUMIRA PEN</t>
        </is>
      </c>
      <c r="AG27" t="inlineStr">
        <is>
          <t>IMMUNOMODULATORS</t>
        </is>
      </c>
      <c r="AH27" s="122" t="n">
        <v>16867779.98879155</v>
      </c>
      <c r="AI27" s="56" t="n">
        <v>1589.450980859626</v>
      </c>
      <c r="AK27" s="123" t="n">
        <v>3</v>
      </c>
      <c r="AL27" t="inlineStr">
        <is>
          <t>VRAYLAR</t>
        </is>
      </c>
      <c r="AM27" t="inlineStr">
        <is>
          <t>ATYPICAL ANTIPSYCHOTICS</t>
        </is>
      </c>
      <c r="AN27" s="58" t="n">
        <v>353.208434920457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SKYRIZI</t>
        </is>
      </c>
      <c r="AG28" t="inlineStr">
        <is>
          <t>IMMUNOMODULATORS</t>
        </is>
      </c>
      <c r="AH28" s="122" t="n">
        <v>15283848.85315516</v>
      </c>
      <c r="AI28" s="56" t="n">
        <v>948.815098113653</v>
      </c>
      <c r="AK28" s="123" t="n">
        <v>4</v>
      </c>
      <c r="AL28" t="inlineStr">
        <is>
          <t>XELJANZ XR</t>
        </is>
      </c>
      <c r="AM28" t="inlineStr">
        <is>
          <t>IMMUNOMODULATORS</t>
        </is>
      </c>
      <c r="AN28" s="58" t="n">
        <v>46.42946163938697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11517463.76894341</v>
      </c>
      <c r="AI29" s="56" t="n">
        <v>1286.37431571178</v>
      </c>
      <c r="AK29" s="123" t="n">
        <v>5</v>
      </c>
      <c r="AL29" t="inlineStr">
        <is>
          <t>SHINGRIX</t>
        </is>
      </c>
      <c r="AM29" t="inlineStr">
        <is>
          <t>VACCINES</t>
        </is>
      </c>
      <c r="AN29" s="58" t="n">
        <v>1915.705544718614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11120783.4021973</v>
      </c>
      <c r="AI30" s="56" t="n">
        <v>13115.78537471264</v>
      </c>
      <c r="AK30" s="123" t="n">
        <v>6</v>
      </c>
      <c r="AL30" t="inlineStr">
        <is>
          <t>RESTASIS</t>
        </is>
      </c>
      <c r="AM30" t="inlineStr">
        <is>
          <t>OPHTHALMIC IMMUNOMODULATORS</t>
        </is>
      </c>
      <c r="AN30" s="58" t="n">
        <v>560.6560916213198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6528556.355378517</v>
      </c>
      <c r="AI31" s="56" t="n">
        <v>833.5527624453041</v>
      </c>
      <c r="AK31" s="123" t="n">
        <v>7</v>
      </c>
      <c r="AL31" t="inlineStr">
        <is>
          <t>COSENTYX SENSOREADY PEN</t>
        </is>
      </c>
      <c r="AM31" t="inlineStr">
        <is>
          <t>IMMUNOMODULATORS</t>
        </is>
      </c>
      <c r="AN31" s="58" t="n">
        <v>53.1441875596181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5251571.184787282</v>
      </c>
      <c r="AI32" s="56" t="n">
        <v>17641.43818058407</v>
      </c>
      <c r="AK32" s="123" t="n">
        <v>8</v>
      </c>
      <c r="AL32" t="inlineStr">
        <is>
          <t>SYMBICORT</t>
        </is>
      </c>
      <c r="AM32" t="inlineStr">
        <is>
          <t>LABA LAMA COMBO</t>
        </is>
      </c>
      <c r="AN32" s="58" t="n">
        <v>1626.383978440199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4120508.482950413</v>
      </c>
      <c r="AI33" s="56" t="n">
        <v>3734.68760967116</v>
      </c>
      <c r="AK33" s="123" t="n">
        <v>9</v>
      </c>
      <c r="AL33" t="inlineStr">
        <is>
          <t>AUVELITY</t>
        </is>
      </c>
      <c r="AM33" t="inlineStr">
        <is>
          <t>ANTIDEPRESSANTS</t>
        </is>
      </c>
      <c r="AN33" s="58" t="n">
        <v>276.5131864084827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3649939.433686238</v>
      </c>
      <c r="AI34" s="56" t="n">
        <v>377.9510992814206</v>
      </c>
      <c r="AK34" s="123" t="n">
        <v>10</v>
      </c>
      <c r="AL34" t="inlineStr">
        <is>
          <t>REZDIFFRA</t>
        </is>
      </c>
      <c r="AM34" t="inlineStr">
        <is>
          <t>HEPATOTROPICS</t>
        </is>
      </c>
      <c r="AN34" s="58" t="n">
        <v>53.07080451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2917567.158940644</v>
      </c>
      <c r="AI35" s="56" t="n">
        <v>2574.249362596877</v>
      </c>
      <c r="AK35" s="123" t="n">
        <v>11</v>
      </c>
      <c r="AL35" t="inlineStr">
        <is>
          <t>KEVZARA</t>
        </is>
      </c>
      <c r="AM35" t="inlineStr">
        <is>
          <t>IMMUNOMODULATORS</t>
        </is>
      </c>
      <c r="AN35" s="58" t="n">
        <v>22.67485335877038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ENBREL SURECLICK</t>
        </is>
      </c>
      <c r="AG36" t="inlineStr">
        <is>
          <t>IMMUNOMODULATORS</t>
        </is>
      </c>
      <c r="AH36" s="122" t="n">
        <v>2325375.35539304</v>
      </c>
      <c r="AI36" s="56" t="n">
        <v>404.9080956923283</v>
      </c>
      <c r="AK36" s="123" t="n">
        <v>12</v>
      </c>
      <c r="AL36" t="inlineStr">
        <is>
          <t>QELBREE</t>
        </is>
      </c>
      <c r="AM36" t="inlineStr">
        <is>
          <t>ADHD &amp; NARCOLEPSY MEDICATIONS</t>
        </is>
      </c>
      <c r="AN36" s="58" t="n">
        <v>321.738037636577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REPATHA SURECLICK</t>
        </is>
      </c>
      <c r="AG37" t="inlineStr">
        <is>
          <t>PCSK9 INHIBITORS</t>
        </is>
      </c>
      <c r="AH37" s="122" t="n">
        <v>2176193.366213972</v>
      </c>
      <c r="AI37" s="56" t="n">
        <v>4767.994397367911</v>
      </c>
      <c r="AK37" s="123" t="n">
        <v>13</v>
      </c>
      <c r="AL37" t="inlineStr">
        <is>
          <t>MYRBETRIQ</t>
        </is>
      </c>
      <c r="AM37" t="inlineStr">
        <is>
          <t>URINARY ANTISPASMODICS &amp; OAB DRUGS</t>
        </is>
      </c>
      <c r="AN37" s="58" t="n">
        <v>294.5874764627529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2148315.559466744</v>
      </c>
      <c r="AI38" s="56" t="n">
        <v>2279.367955575647</v>
      </c>
      <c r="AK38" s="123" t="n">
        <v>14</v>
      </c>
      <c r="AL38" t="inlineStr">
        <is>
          <t>LINZESS</t>
        </is>
      </c>
      <c r="AM38" t="inlineStr">
        <is>
          <t>IRRITABLE BOWEL SYNDROME (IBS) AGENTS</t>
        </is>
      </c>
      <c r="AN38" s="58" t="n">
        <v>616.7128747801125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TRELEGY ELLIPTA</t>
        </is>
      </c>
      <c r="AG39" t="inlineStr">
        <is>
          <t>LABA LAMA COMBO</t>
        </is>
      </c>
      <c r="AH39" s="122" t="n">
        <v>2006758.971569033</v>
      </c>
      <c r="AI39" s="56" t="n">
        <v>3570.123843302602</v>
      </c>
      <c r="AK39" s="123" t="n">
        <v>15</v>
      </c>
      <c r="AL39" t="inlineStr">
        <is>
          <t>XELJANZ</t>
        </is>
      </c>
      <c r="AM39" t="inlineStr">
        <is>
          <t>IMMUNOMODULATORS</t>
        </is>
      </c>
      <c r="AN39" s="58" t="n">
        <v>22.75043620329962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UBRELVY</t>
        </is>
      </c>
      <c r="AG40" t="inlineStr">
        <is>
          <t>MIGRAINE PRODUCTS</t>
        </is>
      </c>
      <c r="AH40" s="122" t="n">
        <v>1963068.78025196</v>
      </c>
      <c r="AI40" s="56" t="n">
        <v>2764.956425043127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170.2193421860915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TRULICITY</t>
        </is>
      </c>
      <c r="AG41" t="inlineStr">
        <is>
          <t>GLUCAGON-LIKE PEPTIDE-1 AGONISTS (GLP1)</t>
        </is>
      </c>
      <c r="AH41" s="122" t="n">
        <v>1712828.675415252</v>
      </c>
      <c r="AI41" s="56" t="n">
        <v>2046.50835444693</v>
      </c>
      <c r="AK41" s="123" t="n">
        <v>17</v>
      </c>
      <c r="AL41" t="inlineStr">
        <is>
          <t>FLUCELVAX 2024-2025</t>
        </is>
      </c>
      <c r="AM41" t="inlineStr">
        <is>
          <t>VACCINES</t>
        </is>
      </c>
      <c r="AN41" s="58" t="n">
        <v>5296.47814443775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AIMOVIG</t>
        </is>
      </c>
      <c r="AG42" t="inlineStr">
        <is>
          <t>MIGRAINE PRODUCTS</t>
        </is>
      </c>
      <c r="AH42" s="122" t="n">
        <v>1448578.048009929</v>
      </c>
      <c r="AI42" s="56" t="n">
        <v>2065.831791566125</v>
      </c>
      <c r="AK42" s="123" t="n">
        <v>18</v>
      </c>
      <c r="AL42" t="inlineStr">
        <is>
          <t>PREVNAR 20</t>
        </is>
      </c>
      <c r="AM42" t="inlineStr">
        <is>
          <t>VACCINES</t>
        </is>
      </c>
      <c r="AN42" s="58" t="n">
        <v>612.0024904031728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1209246.390037416</v>
      </c>
      <c r="AI43" s="56" t="n">
        <v>1182.728456312894</v>
      </c>
      <c r="AK43" s="123" t="n">
        <v>19</v>
      </c>
      <c r="AL43" t="inlineStr">
        <is>
          <t>XIIDRA</t>
        </is>
      </c>
      <c r="AM43" t="inlineStr">
        <is>
          <t>OPHTHALMIC INTEGRIN ANTAGONIST</t>
        </is>
      </c>
      <c r="AN43" s="58" t="n">
        <v>158.4172955012074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995555.5165254982</v>
      </c>
      <c r="AI44" s="84" t="n">
        <v>2414.271504173777</v>
      </c>
      <c r="AK44" s="126" t="n">
        <v>20</v>
      </c>
      <c r="AL44" s="86" t="inlineStr">
        <is>
          <t>ENTYVIO</t>
        </is>
      </c>
      <c r="AM44" s="86" t="inlineStr">
        <is>
          <t>IMMUNOMODULATORS</t>
        </is>
      </c>
      <c r="AN44" s="87" t="n">
        <v>14.62168123333408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84909330.45760091</v>
      </c>
      <c r="AH49" s="46" t="n">
        <v>8578.612891536097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69766127.77131444</v>
      </c>
      <c r="AH50" s="56" t="n">
        <v>85020.26778707119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2030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12617317.80718354</v>
      </c>
      <c r="AH51" s="56" t="n">
        <v>13647.09097208195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5670716.867797203</v>
      </c>
      <c r="AH52" s="56" t="n">
        <v>19395.78470880473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4168985.67548562</v>
      </c>
      <c r="AH53" s="56" t="n">
        <v>10589.53761046388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2255994.565201132</v>
      </c>
      <c r="AH54" s="56" t="n">
        <v>5118.117392381158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1645939.729946921</v>
      </c>
      <c r="AH55" s="56" t="n">
        <v>4488.014268232506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896423.6340824055</v>
      </c>
      <c r="AH56" s="56" t="n">
        <v>542.4553145801294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777687.2652065952</v>
      </c>
      <c r="AH57" s="56" t="n">
        <v>2350.276413386248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2594.635870111398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584794.7540085486</v>
      </c>
      <c r="AH58" s="56" t="n">
        <v>539.185129658912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531715.2618818849</v>
      </c>
      <c r="AH59" s="56" t="n">
        <v>2573.106900487577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LAMA/ACH</t>
        </is>
      </c>
      <c r="AG60" s="122" t="n">
        <v>408013.1720265262</v>
      </c>
      <c r="AH60" s="56" t="n">
        <v>765.5601426828617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INHALED CORTICOSTEROIDS (ICS)</t>
        </is>
      </c>
      <c r="AG61" s="122" t="n">
        <v>375600.0438410074</v>
      </c>
      <c r="AH61" s="56" t="n">
        <v>1838.065046277203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54.4696088644549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CHRONIC INFLAMMATORY DISEASE</t>
        </is>
      </c>
      <c r="AG62" s="122" t="n">
        <v>370066.3744460448</v>
      </c>
      <c r="AH62" s="56" t="n">
        <v>395.6539170946421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1724.744513801077</v>
      </c>
      <c r="L63" s="131" t="n">
        <v>822.9238077059795</v>
      </c>
      <c r="M63" s="131" t="n">
        <v>11319.80813218343</v>
      </c>
      <c r="N63" s="132" t="n">
        <v>20607.9670061908</v>
      </c>
      <c r="P63" s="130" t="n">
        <v>7085.272226056382</v>
      </c>
      <c r="Q63" s="131" t="n">
        <v>1791.483213016827</v>
      </c>
      <c r="R63" s="131" t="n">
        <v>845.0266611041575</v>
      </c>
      <c r="S63" s="131" t="n">
        <v>12711.55782330638</v>
      </c>
      <c r="T63" s="132" t="n">
        <v>22433.33992348375</v>
      </c>
      <c r="V63" s="130" t="n">
        <v>7451.78198484419</v>
      </c>
      <c r="W63" s="131" t="n">
        <v>1871.513247205619</v>
      </c>
      <c r="X63" s="131" t="n">
        <v>853.5529290622235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MISC. ANTIVIRALS</t>
        </is>
      </c>
      <c r="AG63" s="122" t="n">
        <v>330487.5524937334</v>
      </c>
      <c r="AH63" s="56" t="n">
        <v>913.0841014375314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OSTEOARTHRITIS</t>
        </is>
      </c>
      <c r="AG64" s="122" t="n">
        <v>245617.9934694493</v>
      </c>
      <c r="AH64" s="56" t="n">
        <v>71.41468242441329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OPHTHALMICS - MISC.</t>
        </is>
      </c>
      <c r="AG65" s="122" t="n">
        <v>213914.9009928257</v>
      </c>
      <c r="AH65" s="56" t="n">
        <v>419.3226462348229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ESTROGENS &amp; COMBOS</t>
        </is>
      </c>
      <c r="AG66" s="122" t="n">
        <v>162964.5440041567</v>
      </c>
      <c r="AH66" s="56" t="n">
        <v>716.7085275674957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ACL INHIBITORS &amp; COMBOS</t>
        </is>
      </c>
      <c r="AG67" s="122" t="n">
        <v>141858.0987239904</v>
      </c>
      <c r="AH67" s="56" t="n">
        <v>358.0961581058493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69977.99808268294</v>
      </c>
      <c r="P68" s="142" t="n">
        <v>31325.89477915731</v>
      </c>
      <c r="Q68" s="143" t="n">
        <v>14156.50565444037</v>
      </c>
      <c r="R68" s="143" t="n">
        <v>4522.561975938523</v>
      </c>
      <c r="S68" s="143" t="n">
        <v>12711.55782330638</v>
      </c>
      <c r="T68" s="144" t="n">
        <v>75036.73042073625</v>
      </c>
      <c r="V68" s="142" t="n">
        <v>33281.72950672972</v>
      </c>
      <c r="W68" s="143" t="n">
        <v>14861.92795547624</v>
      </c>
      <c r="X68" s="143" t="n">
        <v>4977.901177068295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NON-STEROIDAL MINERALOCORTICOID RECEPTOR ANTAGONISTS</t>
        </is>
      </c>
      <c r="AG68" s="125" t="n">
        <v>109563.7148704947</v>
      </c>
      <c r="AH68" s="84" t="n">
        <v>206.5879598766245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4007.507679274599</v>
      </c>
      <c r="P94" s="130" t="n">
        <v>2647.540383956738</v>
      </c>
      <c r="Q94" s="131" t="n">
        <v>992.0443454756097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958.7679881682462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54.4696088644549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1012.081149665641</v>
      </c>
      <c r="M99" s="131" t="n">
        <v>12720.84669002336</v>
      </c>
      <c r="N99" s="132" t="n">
        <v>23333.9474641031</v>
      </c>
      <c r="P99" s="130" t="n">
        <v>8104.74116198187</v>
      </c>
      <c r="Q99" s="131" t="n">
        <v>1933.712760458116</v>
      </c>
      <c r="R99" s="131" t="n">
        <v>1050.841937537911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32705.26137260096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34693.43084959687</v>
      </c>
      <c r="W104" s="143" t="n">
        <v>15071.8596251477</v>
      </c>
      <c r="X104" s="143" t="n">
        <v>5244.063096826499</v>
      </c>
      <c r="Y104" s="143" t="n">
        <v>15855.13226131755</v>
      </c>
      <c r="Z104" s="144" t="n">
        <v>86295.38743677041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 codeName="wrk_DStats_EX1">
    <outlinePr summaryBelow="1" summaryRight="1"/>
    <pageSetUpPr/>
  </sheetPr>
  <dimension ref="A1:AZ303"/>
  <sheetViews>
    <sheetView showGridLines="0"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15.6640625" customWidth="1" min="10" max="14"/>
    <col width="2.6640625" customWidth="1" min="15" max="15"/>
    <col width="15.6640625" customWidth="1" min="16" max="20"/>
    <col width="2.6640625" customWidth="1" min="21" max="21"/>
    <col width="15.6640625" customWidth="1" min="22" max="26"/>
    <col width="2.6640625" customWidth="1" min="27" max="27"/>
    <col width="8.6640625" customWidth="1" min="31" max="31"/>
    <col width="37.44140625" customWidth="1" min="32" max="32"/>
    <col width="46.6640625" bestFit="1" customWidth="1" min="33" max="33"/>
    <col width="15.6640625" customWidth="1" min="34" max="35"/>
    <col width="5.6640625" customWidth="1" min="36" max="36"/>
    <col width="8.6640625" customWidth="1" min="37" max="37"/>
    <col width="36.6640625" customWidth="1" min="38" max="38"/>
    <col width="46.6640625" customWidth="1" min="39" max="39"/>
    <col width="15.6640625" customWidth="1" min="40" max="40"/>
    <col width="5.6640625" customWidth="1" min="41" max="41"/>
    <col width="8.6640625" customWidth="1" min="42" max="42"/>
    <col width="30.6640625" customWidth="1" min="43" max="44"/>
    <col width="12.6640625" customWidth="1" min="45" max="47"/>
    <col width="15.6640625" customWidth="1" min="49" max="54"/>
  </cols>
  <sheetData>
    <row r="1" hidden="1"/>
    <row r="2" hidden="1"/>
    <row r="3" hidden="1"/>
    <row r="4" hidden="1"/>
    <row r="5" hidden="1"/>
    <row r="6" hidden="1"/>
    <row r="7" hidden="1"/>
    <row r="8" hidden="1"/>
    <row r="9" hidden="1"/>
    <row r="10" hidden="1"/>
    <row r="11" hidden="1"/>
    <row r="12" hidden="1"/>
    <row r="13" hidden="1"/>
    <row r="14" ht="15" customHeight="1" thickBot="1"/>
    <row r="15" ht="18.6" customHeight="1" thickBot="1">
      <c r="B15" s="1" t="n"/>
      <c r="C15" s="2" t="n"/>
      <c r="D15" s="114" t="inlineStr">
        <is>
          <t>General Dynamics</t>
        </is>
      </c>
      <c r="E15" s="2" t="n"/>
      <c r="F15" s="2" t="n"/>
      <c r="G15" s="2" t="n"/>
      <c r="H15" s="2" t="n"/>
      <c r="I15" s="2" t="n"/>
      <c r="J15" s="2" t="n"/>
      <c r="K15" s="2" t="n"/>
      <c r="L15" s="2" t="n"/>
      <c r="M15" s="2" t="n"/>
      <c r="N15" s="2" t="n"/>
      <c r="O15" s="2" t="n"/>
      <c r="P15" s="2" t="n"/>
      <c r="Q15" s="2" t="n"/>
      <c r="R15" s="2" t="n"/>
      <c r="S15" s="2" t="n"/>
      <c r="T15" s="2" t="n"/>
      <c r="U15" s="2" t="n"/>
      <c r="V15" s="2" t="n"/>
      <c r="W15" s="2" t="n"/>
      <c r="X15" s="2" t="n"/>
      <c r="Y15" s="2" t="n"/>
      <c r="Z15" s="2" t="n"/>
      <c r="AA15" s="2" t="n"/>
      <c r="AB15" s="2" t="n"/>
      <c r="AC15" s="2" t="n"/>
      <c r="AD15" s="2" t="n"/>
      <c r="AE15" s="2" t="n"/>
      <c r="AF15" s="2" t="n"/>
      <c r="AG15" s="2" t="n"/>
      <c r="AH15" s="2" t="n"/>
      <c r="AI15" s="2" t="n"/>
      <c r="AJ15" s="2" t="n"/>
      <c r="AK15" s="2" t="n"/>
      <c r="AL15" s="2" t="n"/>
      <c r="AM15" s="2" t="n"/>
      <c r="AN15" s="3" t="n"/>
    </row>
    <row r="16" ht="15" customHeight="1" thickBot="1"/>
    <row r="17" ht="15" customHeight="1" thickBot="1">
      <c r="B17" s="4" t="n"/>
      <c r="C17" s="4" t="inlineStr">
        <is>
          <t>Start Date:</t>
        </is>
      </c>
      <c r="D17" s="115" t="inlineStr">
        <is>
          <t>09/01/2024</t>
        </is>
      </c>
      <c r="AD17" s="4" t="n"/>
      <c r="AE17" s="4" t="n"/>
      <c r="AF17" s="6" t="n">
        <v>2031</v>
      </c>
    </row>
    <row r="18">
      <c r="B18" s="4" t="n"/>
      <c r="C18" s="4" t="inlineStr">
        <is>
          <t>End Date:</t>
        </is>
      </c>
      <c r="D18" s="116" t="inlineStr">
        <is>
          <t>08/31/2025</t>
        </is>
      </c>
      <c r="AJ18" s="117" t="n"/>
    </row>
    <row r="19" ht="15" customHeight="1" thickBot="1">
      <c r="B19" s="4" t="n"/>
      <c r="C19" s="4" t="inlineStr">
        <is>
          <t>Total Months:</t>
        </is>
      </c>
      <c r="D19" s="9" t="n">
        <v>12</v>
      </c>
    </row>
    <row r="20" ht="15" customHeight="1" thickBot="1"/>
    <row r="21" ht="15" customHeight="1" thickBot="1">
      <c r="B21" s="10" t="n"/>
      <c r="C21" s="10" t="n"/>
      <c r="D21" s="11" t="inlineStr">
        <is>
          <t xml:space="preserve">Base Yr Claims </t>
        </is>
      </c>
      <c r="E21" s="12" t="n"/>
      <c r="F21" s="12" t="n"/>
      <c r="G21" s="13" t="n"/>
      <c r="H21" s="14" t="n"/>
      <c r="AE21" s="11" t="inlineStr">
        <is>
          <t>Forecast based on time period: 2031</t>
        </is>
      </c>
      <c r="AF21" s="12" t="n"/>
      <c r="AG21" s="12" t="n"/>
      <c r="AH21" s="12" t="n"/>
      <c r="AI21" s="12" t="n"/>
      <c r="AJ21" s="12" t="n"/>
      <c r="AK21" s="12" t="n"/>
      <c r="AL21" s="12" t="n"/>
      <c r="AM21" s="15" t="n"/>
      <c r="AN21" s="15" t="n"/>
    </row>
    <row r="22" ht="15" customHeight="1" thickBot="1">
      <c r="B22" s="10" t="n"/>
      <c r="C22" s="10" t="n"/>
      <c r="D22" s="16" t="n"/>
      <c r="E22" s="16" t="n"/>
      <c r="F22" s="16" t="n"/>
      <c r="G22" s="17" t="n"/>
      <c r="H22" s="18" t="n"/>
    </row>
    <row r="23" ht="15" customHeight="1" thickBot="1">
      <c r="B23" s="19" t="n"/>
      <c r="C23" s="10" t="n"/>
      <c r="D23" s="20" t="inlineStr">
        <is>
          <t>w Exclusions</t>
        </is>
      </c>
      <c r="E23" s="21" t="n"/>
      <c r="F23" s="21" t="n"/>
      <c r="G23" s="21" t="n"/>
      <c r="H23" s="22" t="n"/>
      <c r="AE23" s="20" t="inlineStr">
        <is>
          <t>Overall - Rebatable</t>
        </is>
      </c>
      <c r="AF23" s="21" t="n"/>
      <c r="AG23" s="21" t="n"/>
      <c r="AH23" s="23" t="n"/>
      <c r="AI23" s="23" t="n"/>
      <c r="AK23" s="24" t="inlineStr">
        <is>
          <t>Overall - Non Rebatable (Brand Only)</t>
        </is>
      </c>
      <c r="AL23" s="25" t="n"/>
      <c r="AM23" s="25" t="n"/>
      <c r="AN23" s="26" t="n"/>
    </row>
    <row r="24" ht="30.3" customHeight="1" thickBot="1">
      <c r="B24" s="27" t="inlineStr">
        <is>
          <t>Brand</t>
        </is>
      </c>
      <c r="C24" s="10" t="n"/>
      <c r="D24" s="28" t="inlineStr">
        <is>
          <t>Rx Count</t>
        </is>
      </c>
      <c r="E24" s="29" t="inlineStr">
        <is>
          <t>Quantity</t>
        </is>
      </c>
      <c r="F24" s="29" t="inlineStr">
        <is>
          <t>Days Supply</t>
        </is>
      </c>
      <c r="G24" s="29" t="inlineStr">
        <is>
          <t>Avg Qnty</t>
        </is>
      </c>
      <c r="H24" s="30" t="inlineStr">
        <is>
          <t>Avg DS</t>
        </is>
      </c>
      <c r="I24" s="31" t="n"/>
      <c r="J24" s="31" t="n"/>
      <c r="K24" s="31" t="n"/>
      <c r="L24" s="31" t="n"/>
      <c r="M24" s="31" t="n"/>
      <c r="N24" s="31" t="n"/>
      <c r="O24" s="31" t="n"/>
      <c r="P24" s="31" t="n"/>
      <c r="Q24" s="31" t="n"/>
      <c r="R24" s="31" t="n"/>
      <c r="S24" s="31" t="n"/>
      <c r="T24" s="31" t="n"/>
      <c r="U24" s="31" t="n"/>
      <c r="V24" s="31" t="n"/>
      <c r="W24" s="31" t="n"/>
      <c r="X24" s="31" t="n"/>
      <c r="Y24" s="31" t="n"/>
      <c r="Z24" s="31" t="n"/>
      <c r="AA24" s="31" t="n"/>
      <c r="AE24" s="32" t="inlineStr">
        <is>
          <t>Rank</t>
        </is>
      </c>
      <c r="AF24" s="33" t="inlineStr">
        <is>
          <t>Drug Name</t>
        </is>
      </c>
      <c r="AG24" s="33" t="inlineStr">
        <is>
          <t>Therapeutic Class</t>
        </is>
      </c>
      <c r="AH24" s="33" t="inlineStr">
        <is>
          <t>Total Rebates</t>
        </is>
      </c>
      <c r="AI24" s="34" t="inlineStr">
        <is>
          <t>Scripts</t>
        </is>
      </c>
      <c r="AK24" s="35" t="inlineStr">
        <is>
          <t>Rank</t>
        </is>
      </c>
      <c r="AL24" s="36" t="inlineStr">
        <is>
          <t>Drug Name</t>
        </is>
      </c>
      <c r="AM24" s="36" t="inlineStr">
        <is>
          <t>Therapeutic Class</t>
        </is>
      </c>
      <c r="AN24" s="37" t="inlineStr">
        <is>
          <t>Scripts</t>
        </is>
      </c>
    </row>
    <row r="25">
      <c r="B25" s="38" t="inlineStr">
        <is>
          <t>Retail 30</t>
        </is>
      </c>
      <c r="C25" s="10" t="n"/>
      <c r="D25" s="39" t="n">
        <v>118515</v>
      </c>
      <c r="E25" s="40" t="n">
        <v>2864383.715195745</v>
      </c>
      <c r="F25" s="40" t="n">
        <v>2931583</v>
      </c>
      <c r="G25" s="41" t="n">
        <v>24.16895511281901</v>
      </c>
      <c r="H25" s="42" t="n">
        <v>24.735965911488</v>
      </c>
      <c r="I25" s="31" t="n"/>
      <c r="J25" s="31" t="n"/>
      <c r="K25" s="31" t="n"/>
      <c r="L25" s="31" t="n"/>
      <c r="M25" s="31" t="n"/>
      <c r="N25" s="31" t="n"/>
      <c r="O25" s="31" t="n"/>
      <c r="P25" s="31" t="n"/>
      <c r="Q25" s="31" t="n"/>
      <c r="R25" s="31" t="n"/>
      <c r="S25" s="31" t="n"/>
      <c r="T25" s="31" t="n"/>
      <c r="U25" s="31" t="n"/>
      <c r="V25" s="31" t="n"/>
      <c r="W25" s="31" t="n"/>
      <c r="X25" s="31" t="n"/>
      <c r="Y25" s="31" t="n"/>
      <c r="Z25" s="31" t="n"/>
      <c r="AA25" s="31" t="n"/>
      <c r="AE25" s="118" t="n">
        <v>1</v>
      </c>
      <c r="AF25" s="44" t="inlineStr">
        <is>
          <t>MOUNJARO</t>
        </is>
      </c>
      <c r="AG25" s="44" t="inlineStr">
        <is>
          <t>GLUCAGON-LIKE PEPTIDE-1 AGONISTS (GLP1)</t>
        </is>
      </c>
      <c r="AH25" s="119" t="n">
        <v>69272530.81205235</v>
      </c>
      <c r="AI25" s="46" t="n">
        <v>82393.10616487112</v>
      </c>
      <c r="AK25" s="120" t="n">
        <v>1</v>
      </c>
      <c r="AL25" s="44" t="inlineStr">
        <is>
          <t>OTEZLA</t>
        </is>
      </c>
      <c r="AM25" s="44" t="inlineStr">
        <is>
          <t>IMMUNOMODULATORS</t>
        </is>
      </c>
      <c r="AN25" s="48" t="n">
        <v>194.1508761045714</v>
      </c>
    </row>
    <row r="26">
      <c r="B26" s="49" t="inlineStr">
        <is>
          <t>Retail 90</t>
        </is>
      </c>
      <c r="C26" s="10" t="n"/>
      <c r="D26" s="50" t="n">
        <v>19155</v>
      </c>
      <c r="E26" s="51" t="n">
        <v>1561578.499864668</v>
      </c>
      <c r="F26" s="51" t="n">
        <v>1699620</v>
      </c>
      <c r="G26" s="52" t="n">
        <v>81.52328373086232</v>
      </c>
      <c r="H26" s="53" t="n">
        <v>88.72983555207517</v>
      </c>
      <c r="I26" s="31" t="n"/>
      <c r="J26" s="31" t="n"/>
      <c r="K26" s="31" t="n"/>
      <c r="L26" s="31" t="n"/>
      <c r="M26" s="31" t="n"/>
      <c r="N26" s="31" t="n"/>
      <c r="O26" s="31" t="n"/>
      <c r="P26" s="31" t="n"/>
      <c r="Q26" s="31" t="n"/>
      <c r="R26" s="31" t="n"/>
      <c r="S26" s="31" t="n"/>
      <c r="T26" s="31" t="n"/>
      <c r="U26" s="31" t="n"/>
      <c r="V26" s="31" t="n"/>
      <c r="W26" s="31" t="n"/>
      <c r="X26" s="31" t="n"/>
      <c r="Y26" s="31" t="n"/>
      <c r="Z26" s="31" t="n"/>
      <c r="AA26" s="31" t="n"/>
      <c r="AE26" s="121" t="n">
        <v>2</v>
      </c>
      <c r="AF26" t="inlineStr">
        <is>
          <t>SKYRIZI PEN</t>
        </is>
      </c>
      <c r="AG26" t="inlineStr">
        <is>
          <t>IMMUNOMODULATORS</t>
        </is>
      </c>
      <c r="AH26" s="122" t="n">
        <v>30879003.96205981</v>
      </c>
      <c r="AI26" s="56" t="n">
        <v>2045.210599589362</v>
      </c>
      <c r="AK26" s="123" t="n">
        <v>2</v>
      </c>
      <c r="AL26" t="inlineStr">
        <is>
          <t>CAPLYTA</t>
        </is>
      </c>
      <c r="AM26" t="inlineStr">
        <is>
          <t>ATYPICAL ANTIPSYCHOTICS</t>
        </is>
      </c>
      <c r="AN26" s="58" t="n">
        <v>418.9450962243398</v>
      </c>
    </row>
    <row r="27" ht="15" customHeight="1" thickBot="1">
      <c r="B27" s="59" t="inlineStr">
        <is>
          <t>Mail</t>
        </is>
      </c>
      <c r="C27" s="10" t="n"/>
      <c r="D27" s="60" t="n">
        <v>7154</v>
      </c>
      <c r="E27" s="61" t="n">
        <v>416819.4249405116</v>
      </c>
      <c r="F27" s="61" t="n">
        <v>498072</v>
      </c>
      <c r="G27" s="62" t="n">
        <v>58.26382792011624</v>
      </c>
      <c r="H27" s="63" t="n">
        <v>69.62147050601062</v>
      </c>
      <c r="I27" s="31" t="n"/>
      <c r="J27" s="31" t="n"/>
      <c r="K27" s="31" t="n"/>
      <c r="L27" s="31" t="n"/>
      <c r="M27" s="31" t="n"/>
      <c r="N27" s="31" t="n"/>
      <c r="O27" s="31" t="n"/>
      <c r="P27" s="31" t="n"/>
      <c r="Q27" s="31" t="n"/>
      <c r="R27" s="31" t="n"/>
      <c r="S27" s="31" t="n"/>
      <c r="T27" s="31" t="n"/>
      <c r="U27" s="31" t="n"/>
      <c r="V27" s="31" t="n"/>
      <c r="W27" s="31" t="n"/>
      <c r="X27" s="31" t="n"/>
      <c r="Y27" s="31" t="n"/>
      <c r="Z27" s="31" t="n"/>
      <c r="AA27" s="31" t="n"/>
      <c r="AE27" s="121" t="n">
        <v>3</v>
      </c>
      <c r="AF27" t="inlineStr">
        <is>
          <t>SKYRIZI</t>
        </is>
      </c>
      <c r="AG27" t="inlineStr">
        <is>
          <t>IMMUNOMODULATORS</t>
        </is>
      </c>
      <c r="AH27" s="122" t="n">
        <v>19549616.39449616</v>
      </c>
      <c r="AI27" s="56" t="n">
        <v>1123.425540619509</v>
      </c>
      <c r="AK27" s="123" t="n">
        <v>3</v>
      </c>
      <c r="AL27" t="inlineStr">
        <is>
          <t>XELJANZ XR</t>
        </is>
      </c>
      <c r="AM27" t="inlineStr">
        <is>
          <t>IMMUNOMODULATORS</t>
        </is>
      </c>
      <c r="AN27" s="58" t="n">
        <v>47.35387222062717</v>
      </c>
    </row>
    <row r="28" ht="15" customHeight="1" thickTop="1">
      <c r="B28" s="64" t="inlineStr">
        <is>
          <t>Non-Specialty</t>
        </is>
      </c>
      <c r="C28" s="10" t="n"/>
      <c r="D28" s="65" t="n">
        <v>144824</v>
      </c>
      <c r="E28" s="66" t="n">
        <v>4842781.640000924</v>
      </c>
      <c r="F28" s="66" t="n">
        <v>5129275</v>
      </c>
      <c r="G28" s="67" t="n">
        <v>33.43908219632743</v>
      </c>
      <c r="H28" s="68" t="n">
        <v>35.41729961884771</v>
      </c>
      <c r="I28" s="31" t="n"/>
      <c r="J28" s="31" t="n"/>
      <c r="K28" s="31" t="n"/>
      <c r="L28" s="31" t="n"/>
      <c r="M28" s="31" t="n"/>
      <c r="N28" s="31" t="n"/>
      <c r="O28" s="31" t="n"/>
      <c r="P28" s="31" t="n"/>
      <c r="Q28" s="31" t="n"/>
      <c r="R28" s="31" t="n"/>
      <c r="S28" s="31" t="n"/>
      <c r="T28" s="31" t="n"/>
      <c r="U28" s="31" t="n"/>
      <c r="V28" s="31" t="n"/>
      <c r="W28" s="31" t="n"/>
      <c r="X28" s="31" t="n"/>
      <c r="Y28" s="31" t="n"/>
      <c r="Z28" s="31" t="n"/>
      <c r="AA28" s="31" t="n"/>
      <c r="AE28" s="121" t="n">
        <v>4</v>
      </c>
      <c r="AF28" t="inlineStr">
        <is>
          <t>HUMIRA PEN</t>
        </is>
      </c>
      <c r="AG28" t="inlineStr">
        <is>
          <t>IMMUNOMODULATORS</t>
        </is>
      </c>
      <c r="AH28" s="122" t="n">
        <v>17530290.57365695</v>
      </c>
      <c r="AI28" s="56" t="n">
        <v>1621.096949888542</v>
      </c>
      <c r="AK28" s="123" t="n">
        <v>4</v>
      </c>
      <c r="AL28" t="inlineStr">
        <is>
          <t>SHINGRIX</t>
        </is>
      </c>
      <c r="AM28" t="inlineStr">
        <is>
          <t>VACCINES</t>
        </is>
      </c>
      <c r="AN28" s="58" t="n">
        <v>1900.68641324802</v>
      </c>
    </row>
    <row r="29" ht="15" customHeight="1" thickBot="1">
      <c r="B29" s="59" t="inlineStr">
        <is>
          <t>Specialty</t>
        </is>
      </c>
      <c r="C29" s="10" t="n"/>
      <c r="D29" s="60" t="n">
        <v>4805</v>
      </c>
      <c r="E29" s="61" t="n">
        <v>89182.30002999306</v>
      </c>
      <c r="F29" s="61" t="n">
        <v>256711</v>
      </c>
      <c r="G29" s="62" t="n">
        <v>18.56031218105995</v>
      </c>
      <c r="H29" s="63" t="n">
        <v>53.42580645161291</v>
      </c>
      <c r="I29" s="31" t="n"/>
      <c r="J29" s="31" t="n"/>
      <c r="K29" s="31" t="n"/>
      <c r="L29" s="31" t="n"/>
      <c r="M29" s="31" t="n"/>
      <c r="N29" s="31" t="n"/>
      <c r="O29" s="31" t="n"/>
      <c r="P29" s="31" t="n"/>
      <c r="Q29" s="31" t="n"/>
      <c r="R29" s="31" t="n"/>
      <c r="S29" s="31" t="n"/>
      <c r="T29" s="31" t="n"/>
      <c r="U29" s="31" t="n"/>
      <c r="V29" s="31" t="n"/>
      <c r="W29" s="31" t="n"/>
      <c r="X29" s="31" t="n"/>
      <c r="Y29" s="31" t="n"/>
      <c r="Z29" s="31" t="n"/>
      <c r="AA29" s="31" t="n"/>
      <c r="AE29" s="121" t="n">
        <v>5</v>
      </c>
      <c r="AF29" t="inlineStr">
        <is>
          <t>RINVOQ</t>
        </is>
      </c>
      <c r="AG29" t="inlineStr">
        <is>
          <t>IMMUNOMODULATORS</t>
        </is>
      </c>
      <c r="AH29" s="122" t="n">
        <v>14570481.40100322</v>
      </c>
      <c r="AI29" s="56" t="n">
        <v>1523.105781032218</v>
      </c>
      <c r="AK29" s="123" t="n">
        <v>5</v>
      </c>
      <c r="AL29" t="inlineStr">
        <is>
          <t>RESTASIS</t>
        </is>
      </c>
      <c r="AM29" t="inlineStr">
        <is>
          <t>OPHTHALMIC IMMUNOMODULATORS</t>
        </is>
      </c>
      <c r="AN29" s="58" t="n">
        <v>556.2605478630086</v>
      </c>
    </row>
    <row r="30" ht="15.6" customHeight="1" thickBot="1" thickTop="1">
      <c r="B30" s="69" t="inlineStr">
        <is>
          <t>Total</t>
        </is>
      </c>
      <c r="C30" s="10" t="n"/>
      <c r="D30" s="70" t="n">
        <v>149629</v>
      </c>
      <c r="E30" s="71" t="n">
        <v>4931963.940030918</v>
      </c>
      <c r="F30" s="71" t="n">
        <v>5385986</v>
      </c>
      <c r="G30" s="72" t="n">
        <v>32.96128384224259</v>
      </c>
      <c r="H30" s="73" t="n">
        <v>35.99560245674301</v>
      </c>
      <c r="I30" s="31" t="n"/>
      <c r="J30" s="31" t="n"/>
      <c r="K30" s="31" t="n"/>
      <c r="L30" s="31" t="n"/>
      <c r="M30" s="31" t="n"/>
      <c r="N30" s="31" t="n"/>
      <c r="O30" s="31" t="n"/>
      <c r="P30" s="31" t="n"/>
      <c r="Q30" s="31" t="n"/>
      <c r="R30" s="31" t="n"/>
      <c r="S30" s="31" t="n"/>
      <c r="T30" s="31" t="n"/>
      <c r="U30" s="31" t="n"/>
      <c r="V30" s="31" t="n"/>
      <c r="W30" s="31" t="n"/>
      <c r="X30" s="31" t="n"/>
      <c r="Y30" s="31" t="n"/>
      <c r="Z30" s="31" t="n"/>
      <c r="AA30" s="31" t="n"/>
      <c r="AE30" s="121" t="n">
        <v>6</v>
      </c>
      <c r="AF30" t="inlineStr">
        <is>
          <t>OZEMPIC</t>
        </is>
      </c>
      <c r="AG30" t="inlineStr">
        <is>
          <t>GLUCAGON-LIKE PEPTIDE-1 AGONISTS (GLP1)</t>
        </is>
      </c>
      <c r="AH30" s="122" t="n">
        <v>11231931.67480009</v>
      </c>
      <c r="AI30" s="56" t="n">
        <v>12591.15395972414</v>
      </c>
      <c r="AK30" s="123" t="n">
        <v>6</v>
      </c>
      <c r="AL30" t="inlineStr">
        <is>
          <t>COSENTYX SENSOREADY PEN</t>
        </is>
      </c>
      <c r="AM30" t="inlineStr">
        <is>
          <t>IMMUNOMODULATORS</t>
        </is>
      </c>
      <c r="AN30" s="58" t="n">
        <v>54.2022883339301</v>
      </c>
    </row>
    <row r="31">
      <c r="B31" s="10" t="n"/>
      <c r="C31" s="10" t="n"/>
      <c r="D31" s="74" t="n"/>
      <c r="E31" s="74" t="n"/>
      <c r="F31" s="74" t="n"/>
      <c r="G31" s="75" t="n"/>
      <c r="H31" s="76" t="n"/>
      <c r="I31" s="31" t="n"/>
      <c r="J31" s="31" t="n"/>
      <c r="K31" s="31" t="n"/>
      <c r="L31" s="31" t="n"/>
      <c r="M31" s="31" t="n"/>
      <c r="N31" s="31" t="n"/>
      <c r="O31" s="31" t="n"/>
      <c r="P31" s="31" t="n"/>
      <c r="Q31" s="31" t="n"/>
      <c r="R31" s="31" t="n"/>
      <c r="S31" s="31" t="n"/>
      <c r="T31" s="31" t="n"/>
      <c r="U31" s="31" t="n"/>
      <c r="V31" s="31" t="n"/>
      <c r="W31" s="31" t="n"/>
      <c r="X31" s="31" t="n"/>
      <c r="Y31" s="31" t="n"/>
      <c r="Z31" s="31" t="n"/>
      <c r="AA31" s="31" t="n"/>
      <c r="AE31" s="121" t="n">
        <v>7</v>
      </c>
      <c r="AF31" t="inlineStr">
        <is>
          <t>TALTZ</t>
        </is>
      </c>
      <c r="AG31" t="inlineStr">
        <is>
          <t>IMMUNOMODULATORS</t>
        </is>
      </c>
      <c r="AH31" s="122" t="n">
        <v>7082919.956535398</v>
      </c>
      <c r="AI31" s="56" t="n">
        <v>850.356497390649</v>
      </c>
      <c r="AK31" s="123" t="n">
        <v>7</v>
      </c>
      <c r="AL31" t="inlineStr">
        <is>
          <t>SYMBICORT</t>
        </is>
      </c>
      <c r="AM31" t="inlineStr">
        <is>
          <t>LABA LAMA COMBO</t>
        </is>
      </c>
      <c r="AN31" s="58" t="n">
        <v>1701.327752166723</v>
      </c>
      <c r="AW31" s="77" t="n"/>
      <c r="AX31" s="78" t="n"/>
      <c r="AY31" s="78" t="n"/>
      <c r="AZ31" s="78" t="n"/>
    </row>
    <row r="32" ht="15" customHeight="1" thickBot="1">
      <c r="B32" s="27" t="inlineStr">
        <is>
          <t>Generic</t>
        </is>
      </c>
      <c r="C32" s="10" t="n"/>
      <c r="D32" s="79" t="n"/>
      <c r="E32" s="79" t="n"/>
      <c r="F32" s="79" t="n"/>
      <c r="G32" s="79" t="n"/>
      <c r="H32" s="80" t="n"/>
      <c r="I32" s="31" t="n"/>
      <c r="J32" s="31" t="n"/>
      <c r="K32" s="31" t="n"/>
      <c r="L32" s="31" t="n"/>
      <c r="M32" s="31" t="n"/>
      <c r="N32" s="31" t="n"/>
      <c r="O32" s="31" t="n"/>
      <c r="P32" s="31" t="n"/>
      <c r="Q32" s="31" t="n"/>
      <c r="R32" s="31" t="n"/>
      <c r="S32" s="31" t="n"/>
      <c r="T32" s="31" t="n"/>
      <c r="U32" s="31" t="n"/>
      <c r="V32" s="31" t="n"/>
      <c r="W32" s="31" t="n"/>
      <c r="X32" s="31" t="n"/>
      <c r="Y32" s="31" t="n"/>
      <c r="Z32" s="31" t="n"/>
      <c r="AA32" s="31" t="n"/>
      <c r="AE32" s="121" t="n">
        <v>8</v>
      </c>
      <c r="AF32" t="inlineStr">
        <is>
          <t>JARDIANCE</t>
        </is>
      </c>
      <c r="AG32" t="inlineStr">
        <is>
          <t>SGLT-2 INHIBITORS &amp; COMBOS</t>
        </is>
      </c>
      <c r="AH32" s="122" t="n">
        <v>6044066.185933323</v>
      </c>
      <c r="AI32" s="56" t="n">
        <v>19791.41132971137</v>
      </c>
      <c r="AK32" s="123" t="n">
        <v>8</v>
      </c>
      <c r="AL32" t="inlineStr">
        <is>
          <t>AUVELITY</t>
        </is>
      </c>
      <c r="AM32" t="inlineStr">
        <is>
          <t>ANTIDEPRESSANTS</t>
        </is>
      </c>
      <c r="AN32" s="58" t="n">
        <v>279.6405505467627</v>
      </c>
    </row>
    <row r="33">
      <c r="B33" s="38" t="inlineStr">
        <is>
          <t>Retail 30</t>
        </is>
      </c>
      <c r="C33" s="10" t="n"/>
      <c r="D33" s="39" t="n">
        <v>1069788</v>
      </c>
      <c r="E33" s="40" t="n">
        <v>47337811.27712572</v>
      </c>
      <c r="F33" s="40" t="n">
        <v>25866379</v>
      </c>
      <c r="G33" s="41" t="n">
        <v>44.24971235153667</v>
      </c>
      <c r="H33" s="42" t="n">
        <v>24.17897658227611</v>
      </c>
      <c r="I33" s="31" t="n"/>
      <c r="J33" s="31" t="n"/>
      <c r="K33" s="31" t="n"/>
      <c r="L33" s="31" t="n"/>
      <c r="M33" s="31" t="n"/>
      <c r="N33" s="31" t="n"/>
      <c r="O33" s="31" t="n"/>
      <c r="P33" s="31" t="n"/>
      <c r="Q33" s="31" t="n"/>
      <c r="R33" s="31" t="n"/>
      <c r="S33" s="31" t="n"/>
      <c r="T33" s="31" t="n"/>
      <c r="U33" s="31" t="n"/>
      <c r="V33" s="31" t="n"/>
      <c r="W33" s="31" t="n"/>
      <c r="X33" s="31" t="n"/>
      <c r="Y33" s="31" t="n"/>
      <c r="Z33" s="31" t="n"/>
      <c r="AA33" s="31" t="n"/>
      <c r="AE33" s="121" t="n">
        <v>9</v>
      </c>
      <c r="AF33" t="inlineStr">
        <is>
          <t>NURTEC</t>
        </is>
      </c>
      <c r="AG33" t="inlineStr">
        <is>
          <t>MIGRAINE PRODUCTS</t>
        </is>
      </c>
      <c r="AH33" s="122" t="n">
        <v>4650619.172496123</v>
      </c>
      <c r="AI33" s="56" t="n">
        <v>3987.994031430143</v>
      </c>
      <c r="AK33" s="123" t="n">
        <v>9</v>
      </c>
      <c r="AL33" t="inlineStr">
        <is>
          <t>REZDIFFRA</t>
        </is>
      </c>
      <c r="AM33" t="inlineStr">
        <is>
          <t>HEPATOTROPICS</t>
        </is>
      </c>
      <c r="AN33" s="58" t="n">
        <v>53.6015125551</v>
      </c>
    </row>
    <row r="34">
      <c r="B34" s="49" t="inlineStr">
        <is>
          <t>Retail 90</t>
        </is>
      </c>
      <c r="C34" s="10" t="n"/>
      <c r="D34" s="50" t="n">
        <v>247298</v>
      </c>
      <c r="E34" s="51" t="n">
        <v>26427674.58003044</v>
      </c>
      <c r="F34" s="51" t="n">
        <v>22180536</v>
      </c>
      <c r="G34" s="52" t="n">
        <v>106.8657028363773</v>
      </c>
      <c r="H34" s="53" t="n">
        <v>89.69153005685449</v>
      </c>
      <c r="I34" s="31" t="n"/>
      <c r="J34" s="31" t="n"/>
      <c r="K34" s="31" t="n"/>
      <c r="L34" s="31" t="n"/>
      <c r="M34" s="31" t="n"/>
      <c r="N34" s="31" t="n"/>
      <c r="O34" s="31" t="n"/>
      <c r="P34" s="31" t="n"/>
      <c r="Q34" s="31" t="n"/>
      <c r="R34" s="31" t="n"/>
      <c r="S34" s="31" t="n"/>
      <c r="T34" s="31" t="n"/>
      <c r="U34" s="31" t="n"/>
      <c r="V34" s="31" t="n"/>
      <c r="W34" s="31" t="n"/>
      <c r="X34" s="31" t="n"/>
      <c r="Y34" s="31" t="n"/>
      <c r="Z34" s="31" t="n"/>
      <c r="AA34" s="31" t="n"/>
      <c r="AE34" s="121" t="n">
        <v>10</v>
      </c>
      <c r="AF34" t="inlineStr">
        <is>
          <t>TREMFYA</t>
        </is>
      </c>
      <c r="AG34" t="inlineStr">
        <is>
          <t>IMMUNOMODULATORS</t>
        </is>
      </c>
      <c r="AH34" s="122" t="n">
        <v>3959648.639615083</v>
      </c>
      <c r="AI34" s="56" t="n">
        <v>385.5828701423581</v>
      </c>
      <c r="AK34" s="123" t="n">
        <v>10</v>
      </c>
      <c r="AL34" t="inlineStr">
        <is>
          <t>KEVZARA</t>
        </is>
      </c>
      <c r="AM34" t="inlineStr">
        <is>
          <t>IMMUNOMODULATORS</t>
        </is>
      </c>
      <c r="AN34" s="58" t="n">
        <v>23.1263096891435</v>
      </c>
    </row>
    <row r="35" ht="15" customHeight="1" thickBot="1">
      <c r="B35" s="59" t="inlineStr">
        <is>
          <t>Mail</t>
        </is>
      </c>
      <c r="C35" s="10" t="n"/>
      <c r="D35" s="60" t="n">
        <v>55132</v>
      </c>
      <c r="E35" s="61" t="n">
        <v>5537319.190032244</v>
      </c>
      <c r="F35" s="61" t="n">
        <v>4381187</v>
      </c>
      <c r="G35" s="62" t="n">
        <v>100.4374807740014</v>
      </c>
      <c r="H35" s="63" t="n">
        <v>79.46722411666546</v>
      </c>
      <c r="I35" s="31" t="n"/>
      <c r="J35" s="31" t="n"/>
      <c r="K35" s="31" t="n"/>
      <c r="L35" s="31" t="n"/>
      <c r="M35" s="31" t="n"/>
      <c r="N35" s="31" t="n"/>
      <c r="O35" s="31" t="n"/>
      <c r="P35" s="31" t="n"/>
      <c r="Q35" s="31" t="n"/>
      <c r="R35" s="31" t="n"/>
      <c r="S35" s="31" t="n"/>
      <c r="T35" s="31" t="n"/>
      <c r="U35" s="31" t="n"/>
      <c r="V35" s="31" t="n"/>
      <c r="W35" s="31" t="n"/>
      <c r="X35" s="31" t="n"/>
      <c r="Y35" s="31" t="n"/>
      <c r="Z35" s="31" t="n"/>
      <c r="AA35" s="31" t="n"/>
      <c r="AE35" s="121" t="n">
        <v>11</v>
      </c>
      <c r="AF35" t="inlineStr">
        <is>
          <t>QULIPTA</t>
        </is>
      </c>
      <c r="AG35" t="inlineStr">
        <is>
          <t>MIGRAINE PRODUCTS</t>
        </is>
      </c>
      <c r="AH35" s="122" t="n">
        <v>3344521.812389606</v>
      </c>
      <c r="AI35" s="56" t="n">
        <v>2764.898270390802</v>
      </c>
      <c r="AK35" s="123" t="n">
        <v>11</v>
      </c>
      <c r="AL35" t="inlineStr">
        <is>
          <t>QELBREE</t>
        </is>
      </c>
      <c r="AM35" t="inlineStr">
        <is>
          <t>ADHD &amp; NARCOLEPSY MEDICATIONS</t>
        </is>
      </c>
      <c r="AN35" s="58" t="n">
        <v>337.702679064104</v>
      </c>
    </row>
    <row r="36" ht="15" customHeight="1" thickTop="1">
      <c r="B36" s="64" t="inlineStr">
        <is>
          <t>Non-Specialty</t>
        </is>
      </c>
      <c r="C36" s="10" t="n"/>
      <c r="D36" s="65" t="n">
        <v>1372218</v>
      </c>
      <c r="E36" s="66" t="n">
        <v>79302805.0471884</v>
      </c>
      <c r="F36" s="66" t="n">
        <v>52428102</v>
      </c>
      <c r="G36" s="67" t="n">
        <v>57.79169566875555</v>
      </c>
      <c r="H36" s="68" t="n">
        <v>38.20683156757891</v>
      </c>
      <c r="I36" s="31" t="n"/>
      <c r="J36" s="31" t="n"/>
      <c r="K36" s="31" t="n"/>
      <c r="L36" s="31" t="n"/>
      <c r="M36" s="31" t="n"/>
      <c r="N36" s="31" t="n"/>
      <c r="O36" s="31" t="n"/>
      <c r="P36" s="31" t="n"/>
      <c r="Q36" s="31" t="n"/>
      <c r="R36" s="31" t="n"/>
      <c r="S36" s="31" t="n"/>
      <c r="T36" s="31" t="n"/>
      <c r="U36" s="31" t="n"/>
      <c r="V36" s="31" t="n"/>
      <c r="W36" s="31" t="n"/>
      <c r="X36" s="31" t="n"/>
      <c r="Y36" s="31" t="n"/>
      <c r="Z36" s="31" t="n"/>
      <c r="AA36" s="31" t="n"/>
      <c r="AE36" s="121" t="n">
        <v>12</v>
      </c>
      <c r="AF36" t="inlineStr">
        <is>
          <t>REPATHA SURECLICK</t>
        </is>
      </c>
      <c r="AG36" t="inlineStr">
        <is>
          <t>PCSK9 INHIBITORS</t>
        </is>
      </c>
      <c r="AH36" s="122" t="n">
        <v>2686959.482418587</v>
      </c>
      <c r="AI36" s="56" t="n">
        <v>5626.233388894134</v>
      </c>
      <c r="AK36" s="123" t="n">
        <v>12</v>
      </c>
      <c r="AL36" t="inlineStr">
        <is>
          <t>MYRBETRIQ</t>
        </is>
      </c>
      <c r="AM36" t="inlineStr">
        <is>
          <t>URINARY ANTISPASMODICS &amp; OAB DRUGS</t>
        </is>
      </c>
      <c r="AN36" s="58" t="n">
        <v>293.6389047885428</v>
      </c>
    </row>
    <row r="37" ht="15" customHeight="1" thickBot="1">
      <c r="B37" s="59" t="inlineStr">
        <is>
          <t>Specialty</t>
        </is>
      </c>
      <c r="C37" s="10" t="n"/>
      <c r="D37" s="60" t="n">
        <v>0</v>
      </c>
      <c r="E37" s="61" t="n">
        <v>0</v>
      </c>
      <c r="F37" s="61" t="n">
        <v>0</v>
      </c>
      <c r="G37" s="62" t="n">
        <v>0</v>
      </c>
      <c r="H37" s="63" t="n">
        <v>0</v>
      </c>
      <c r="I37" s="31" t="n"/>
      <c r="J37" s="31" t="n"/>
      <c r="K37" s="31" t="n"/>
      <c r="L37" s="31" t="n"/>
      <c r="M37" s="31" t="n"/>
      <c r="N37" s="31" t="n"/>
      <c r="O37" s="31" t="n"/>
      <c r="P37" s="31" t="n"/>
      <c r="Q37" s="31" t="n"/>
      <c r="R37" s="31" t="n"/>
      <c r="S37" s="31" t="n"/>
      <c r="T37" s="31" t="n"/>
      <c r="U37" s="31" t="n"/>
      <c r="V37" s="31" t="n"/>
      <c r="W37" s="31" t="n"/>
      <c r="X37" s="31" t="n"/>
      <c r="Y37" s="31" t="n"/>
      <c r="Z37" s="31" t="n"/>
      <c r="AA37" s="31" t="n"/>
      <c r="AE37" s="121" t="n">
        <v>13</v>
      </c>
      <c r="AF37" t="inlineStr">
        <is>
          <t>ENBREL SURECLICK</t>
        </is>
      </c>
      <c r="AG37" t="inlineStr">
        <is>
          <t>IMMUNOMODULATORS</t>
        </is>
      </c>
      <c r="AH37" s="122" t="n">
        <v>2478636.55789378</v>
      </c>
      <c r="AI37" s="56" t="n">
        <v>412.9698158775626</v>
      </c>
      <c r="AK37" s="123" t="n">
        <v>13</v>
      </c>
      <c r="AL37" t="inlineStr">
        <is>
          <t>VRAYLAR</t>
        </is>
      </c>
      <c r="AM37" t="inlineStr">
        <is>
          <t>ATYPICAL ANTIPSYCHOTICS</t>
        </is>
      </c>
      <c r="AN37" s="58" t="n">
        <v>119.660604703043</v>
      </c>
    </row>
    <row r="38" ht="15.6" customHeight="1" thickBot="1" thickTop="1">
      <c r="B38" s="69" t="inlineStr">
        <is>
          <t>Total</t>
        </is>
      </c>
      <c r="C38" s="10" t="n"/>
      <c r="D38" s="70" t="n">
        <v>1372218</v>
      </c>
      <c r="E38" s="71" t="n">
        <v>79302805.0471884</v>
      </c>
      <c r="F38" s="71" t="n">
        <v>52428102</v>
      </c>
      <c r="G38" s="72" t="n">
        <v>57.79169566875555</v>
      </c>
      <c r="H38" s="73" t="n">
        <v>38.20683156757891</v>
      </c>
      <c r="I38" s="31" t="n"/>
      <c r="J38" s="31" t="n"/>
      <c r="K38" s="31" t="n"/>
      <c r="L38" s="31" t="n"/>
      <c r="M38" s="31" t="n"/>
      <c r="N38" s="31" t="n"/>
      <c r="O38" s="31" t="n"/>
      <c r="P38" s="31" t="n"/>
      <c r="Q38" s="31" t="n"/>
      <c r="R38" s="31" t="n"/>
      <c r="S38" s="31" t="n"/>
      <c r="T38" s="31" t="n"/>
      <c r="U38" s="31" t="n"/>
      <c r="V38" s="31" t="n"/>
      <c r="W38" s="31" t="n"/>
      <c r="X38" s="31" t="n"/>
      <c r="Y38" s="31" t="n"/>
      <c r="Z38" s="31" t="n"/>
      <c r="AA38" s="31" t="n"/>
      <c r="AE38" s="121" t="n">
        <v>14</v>
      </c>
      <c r="AF38" t="inlineStr">
        <is>
          <t>AJOVY</t>
        </is>
      </c>
      <c r="AG38" t="inlineStr">
        <is>
          <t>MIGRAINE PRODUCTS</t>
        </is>
      </c>
      <c r="AH38" s="122" t="n">
        <v>2476876.419150952</v>
      </c>
      <c r="AI38" s="56" t="n">
        <v>2448.177946365579</v>
      </c>
      <c r="AK38" s="123" t="n">
        <v>14</v>
      </c>
      <c r="AL38" t="inlineStr">
        <is>
          <t>XELJANZ</t>
        </is>
      </c>
      <c r="AM38" t="inlineStr">
        <is>
          <t>IMMUNOMODULATORS</t>
        </is>
      </c>
      <c r="AN38" s="58" t="n">
        <v>23.20339738810732</v>
      </c>
    </row>
    <row r="39">
      <c r="B39" s="10" t="n"/>
      <c r="C39" s="10" t="n"/>
      <c r="D39" s="74" t="n"/>
      <c r="E39" s="74" t="n"/>
      <c r="F39" s="74" t="n"/>
      <c r="G39" s="75" t="n"/>
      <c r="H39" s="76" t="n"/>
      <c r="I39" s="31" t="n"/>
      <c r="J39" s="31" t="n"/>
      <c r="K39" s="31" t="n"/>
      <c r="L39" s="31" t="n"/>
      <c r="M39" s="31" t="n"/>
      <c r="N39" s="31" t="n"/>
      <c r="O39" s="31" t="n"/>
      <c r="P39" s="31" t="n"/>
      <c r="Q39" s="31" t="n"/>
      <c r="R39" s="31" t="n"/>
      <c r="S39" s="31" t="n"/>
      <c r="T39" s="31" t="n"/>
      <c r="U39" s="31" t="n"/>
      <c r="V39" s="31" t="n"/>
      <c r="W39" s="31" t="n"/>
      <c r="X39" s="31" t="n"/>
      <c r="Y39" s="31" t="n"/>
      <c r="Z39" s="31" t="n"/>
      <c r="AA39" s="31" t="n"/>
      <c r="AE39" s="121" t="n">
        <v>15</v>
      </c>
      <c r="AF39" t="inlineStr">
        <is>
          <t>UBRELVY</t>
        </is>
      </c>
      <c r="AG39" t="inlineStr">
        <is>
          <t>MIGRAINE PRODUCTS</t>
        </is>
      </c>
      <c r="AH39" s="122" t="n">
        <v>2260678.222648065</v>
      </c>
      <c r="AI39" s="56" t="n">
        <v>2957.226786839574</v>
      </c>
      <c r="AK39" s="123" t="n">
        <v>15</v>
      </c>
      <c r="AL39" t="inlineStr">
        <is>
          <t>FLUCELVAX 2024-2025</t>
        </is>
      </c>
      <c r="AM39" t="inlineStr">
        <is>
          <t>VACCINES</t>
        </is>
      </c>
      <c r="AN39" s="58" t="n">
        <v>5254.953755785358</v>
      </c>
    </row>
    <row r="40" ht="15" customHeight="1" thickBot="1">
      <c r="B40" s="27" t="inlineStr">
        <is>
          <t>Total</t>
        </is>
      </c>
      <c r="C40" s="10" t="n"/>
      <c r="D40" s="79" t="n"/>
      <c r="E40" s="79" t="n"/>
      <c r="F40" s="79" t="n"/>
      <c r="G40" s="79" t="n"/>
      <c r="H40" s="80" t="n"/>
      <c r="I40" s="31" t="n"/>
      <c r="J40" s="31" t="n"/>
      <c r="K40" s="31" t="n"/>
      <c r="L40" s="31" t="n"/>
      <c r="M40" s="31" t="n"/>
      <c r="N40" s="31" t="n"/>
      <c r="O40" s="31" t="n"/>
      <c r="P40" s="31" t="n"/>
      <c r="Q40" s="31" t="n"/>
      <c r="R40" s="31" t="n"/>
      <c r="S40" s="31" t="n"/>
      <c r="T40" s="31" t="n"/>
      <c r="U40" s="31" t="n"/>
      <c r="V40" s="31" t="n"/>
      <c r="W40" s="31" t="n"/>
      <c r="X40" s="31" t="n"/>
      <c r="Y40" s="31" t="n"/>
      <c r="Z40" s="31" t="n"/>
      <c r="AA40" s="31" t="n"/>
      <c r="AE40" s="121" t="n">
        <v>16</v>
      </c>
      <c r="AF40" t="inlineStr">
        <is>
          <t>TRULICITY</t>
        </is>
      </c>
      <c r="AG40" t="inlineStr">
        <is>
          <t>GLUCAGON-LIKE PEPTIDE-1 AGONISTS (GLP1)</t>
        </is>
      </c>
      <c r="AH40" s="122" t="n">
        <v>1704248.498563595</v>
      </c>
      <c r="AI40" s="56" t="n">
        <v>1964.648020269053</v>
      </c>
      <c r="AK40" s="123" t="n">
        <v>16</v>
      </c>
      <c r="AL40" t="inlineStr">
        <is>
          <t>BOTOX</t>
        </is>
      </c>
      <c r="AM40" t="inlineStr">
        <is>
          <t>NEUROMUSCULAR BLOCKING AGENT</t>
        </is>
      </c>
      <c r="AN40" s="58" t="n">
        <v>168.8848225433526</v>
      </c>
    </row>
    <row r="41">
      <c r="B41" s="38" t="inlineStr">
        <is>
          <t>Retail 30</t>
        </is>
      </c>
      <c r="C41" s="10" t="n"/>
      <c r="D41" s="39" t="n">
        <v>1188303</v>
      </c>
      <c r="E41" s="40" t="n">
        <v>50202194.99232146</v>
      </c>
      <c r="F41" s="40" t="n">
        <v>28797962</v>
      </c>
      <c r="G41" s="41" t="n">
        <v>42.24696478282177</v>
      </c>
      <c r="H41" s="42" t="n">
        <v>24.23452772567266</v>
      </c>
      <c r="I41" s="31" t="n"/>
      <c r="J41" s="31" t="n"/>
      <c r="K41" s="31" t="n"/>
      <c r="L41" s="31" t="n"/>
      <c r="M41" s="31" t="n"/>
      <c r="N41" s="31" t="n"/>
      <c r="O41" s="31" t="n"/>
      <c r="P41" s="31" t="n"/>
      <c r="Q41" s="31" t="n"/>
      <c r="R41" s="31" t="n"/>
      <c r="S41" s="31" t="n"/>
      <c r="T41" s="31" t="n"/>
      <c r="U41" s="31" t="n"/>
      <c r="V41" s="31" t="n"/>
      <c r="W41" s="31" t="n"/>
      <c r="X41" s="31" t="n"/>
      <c r="Y41" s="31" t="n"/>
      <c r="Z41" s="31" t="n"/>
      <c r="AA41" s="31" t="n"/>
      <c r="AE41" s="121" t="n">
        <v>17</v>
      </c>
      <c r="AF41" t="inlineStr">
        <is>
          <t>AIMOVIG</t>
        </is>
      </c>
      <c r="AG41" t="inlineStr">
        <is>
          <t>MIGRAINE PRODUCTS</t>
        </is>
      </c>
      <c r="AH41" s="122" t="n">
        <v>1627903.197720583</v>
      </c>
      <c r="AI41" s="56" t="n">
        <v>2218.827294049512</v>
      </c>
      <c r="AK41" s="123" t="n">
        <v>17</v>
      </c>
      <c r="AL41" t="inlineStr">
        <is>
          <t>PREVNAR 20</t>
        </is>
      </c>
      <c r="AM41" t="inlineStr">
        <is>
          <t>VACCINES</t>
        </is>
      </c>
      <c r="AN41" s="58" t="n">
        <v>607.2043908784119</v>
      </c>
    </row>
    <row r="42">
      <c r="B42" s="49" t="inlineStr">
        <is>
          <t>Retail 90</t>
        </is>
      </c>
      <c r="C42" s="10" t="n"/>
      <c r="D42" s="50" t="n">
        <v>266453</v>
      </c>
      <c r="E42" s="51" t="n">
        <v>27989253.07989511</v>
      </c>
      <c r="F42" s="51" t="n">
        <v>23880156</v>
      </c>
      <c r="G42" s="52" t="n">
        <v>105.0438654467959</v>
      </c>
      <c r="H42" s="53" t="n">
        <v>89.62239494394883</v>
      </c>
      <c r="I42" s="31" t="n"/>
      <c r="J42" s="31" t="n"/>
      <c r="K42" s="31" t="n"/>
      <c r="L42" s="31" t="n"/>
      <c r="M42" s="31" t="n"/>
      <c r="N42" s="31" t="n"/>
      <c r="O42" s="31" t="n"/>
      <c r="P42" s="31" t="n"/>
      <c r="Q42" s="31" t="n"/>
      <c r="R42" s="31" t="n"/>
      <c r="S42" s="31" t="n"/>
      <c r="T42" s="31" t="n"/>
      <c r="U42" s="31" t="n"/>
      <c r="V42" s="31" t="n"/>
      <c r="W42" s="31" t="n"/>
      <c r="X42" s="31" t="n"/>
      <c r="Y42" s="31" t="n"/>
      <c r="Z42" s="31" t="n"/>
      <c r="AA42" s="31" t="n"/>
      <c r="AE42" s="121" t="n">
        <v>18</v>
      </c>
      <c r="AF42" t="inlineStr">
        <is>
          <t>TRELEGY ELLIPTA</t>
        </is>
      </c>
      <c r="AG42" t="inlineStr">
        <is>
          <t>LABA LAMA COMBO</t>
        </is>
      </c>
      <c r="AH42" s="122" t="n">
        <v>1435810.873131995</v>
      </c>
      <c r="AI42" s="56" t="n">
        <v>2609.80587903714</v>
      </c>
      <c r="AK42" s="123" t="n">
        <v>18</v>
      </c>
      <c r="AL42" t="inlineStr">
        <is>
          <t>LINZESS</t>
        </is>
      </c>
      <c r="AM42" t="inlineStr">
        <is>
          <t>IRRITABLE BOWEL SYNDROME (IBS) AGENTS</t>
        </is>
      </c>
      <c r="AN42" s="58" t="n">
        <v>491.3963905001729</v>
      </c>
    </row>
    <row r="43" ht="15" customHeight="1" thickBot="1">
      <c r="B43" s="59" t="inlineStr">
        <is>
          <t>Mail</t>
        </is>
      </c>
      <c r="C43" s="10" t="n"/>
      <c r="D43" s="60" t="n">
        <v>62286</v>
      </c>
      <c r="E43" s="61" t="n">
        <v>5954138.614972755</v>
      </c>
      <c r="F43" s="61" t="n">
        <v>4879259</v>
      </c>
      <c r="G43" s="62" t="n">
        <v>95.59353008658054</v>
      </c>
      <c r="H43" s="63" t="n">
        <v>78.33636772308384</v>
      </c>
      <c r="I43" s="31" t="n"/>
      <c r="J43" s="31" t="n"/>
      <c r="K43" s="31" t="n"/>
      <c r="L43" s="31" t="n"/>
      <c r="M43" s="31" t="n"/>
      <c r="N43" s="31" t="n"/>
      <c r="O43" s="31" t="n"/>
      <c r="P43" s="31" t="n"/>
      <c r="Q43" s="31" t="n"/>
      <c r="R43" s="31" t="n"/>
      <c r="S43" s="31" t="n"/>
      <c r="T43" s="31" t="n"/>
      <c r="U43" s="31" t="n"/>
      <c r="V43" s="31" t="n"/>
      <c r="W43" s="31" t="n"/>
      <c r="X43" s="31" t="n"/>
      <c r="Y43" s="31" t="n"/>
      <c r="Z43" s="31" t="n"/>
      <c r="AA43" s="31" t="n"/>
      <c r="AE43" s="121" t="n">
        <v>19</v>
      </c>
      <c r="AF43" t="inlineStr">
        <is>
          <t>RYBELSUS</t>
        </is>
      </c>
      <c r="AG43" t="inlineStr">
        <is>
          <t>GLUCAGON-LIKE PEPTIDE-1 AGONISTS (GLP1)</t>
        </is>
      </c>
      <c r="AH43" s="122" t="n">
        <v>1221332.377376874</v>
      </c>
      <c r="AI43" s="56" t="n">
        <v>1135.419318060378</v>
      </c>
      <c r="AK43" s="123" t="n">
        <v>19</v>
      </c>
      <c r="AL43" t="inlineStr">
        <is>
          <t>ENTYVIO</t>
        </is>
      </c>
      <c r="AM43" t="inlineStr">
        <is>
          <t>IMMUNOMODULATORS</t>
        </is>
      </c>
      <c r="AN43" s="58" t="n">
        <v>14.91279890668976</v>
      </c>
    </row>
    <row r="44" ht="15.6" customHeight="1" thickBot="1" thickTop="1">
      <c r="B44" s="64" t="inlineStr">
        <is>
          <t>Non-Specialty</t>
        </is>
      </c>
      <c r="C44" s="10" t="n"/>
      <c r="D44" s="65" t="n">
        <v>1517042</v>
      </c>
      <c r="E44" s="66" t="n">
        <v>84145586.68718933</v>
      </c>
      <c r="F44" s="66" t="n">
        <v>57557377</v>
      </c>
      <c r="G44" s="67" t="n">
        <v>55.46688007793411</v>
      </c>
      <c r="H44" s="68" t="n">
        <v>37.94052966232972</v>
      </c>
      <c r="I44" s="31" t="n"/>
      <c r="J44" s="31" t="n"/>
      <c r="K44" s="31" t="n"/>
      <c r="L44" s="31" t="n"/>
      <c r="M44" s="31" t="n"/>
      <c r="N44" s="31" t="n"/>
      <c r="O44" s="31" t="n"/>
      <c r="P44" s="31" t="n"/>
      <c r="Q44" s="31" t="n"/>
      <c r="R44" s="31" t="n"/>
      <c r="S44" s="31" t="n"/>
      <c r="T44" s="31" t="n"/>
      <c r="U44" s="31" t="n"/>
      <c r="V44" s="31" t="n"/>
      <c r="W44" s="31" t="n"/>
      <c r="X44" s="31" t="n"/>
      <c r="Y44" s="31" t="n"/>
      <c r="Z44" s="31" t="n"/>
      <c r="AA44" s="31" t="n"/>
      <c r="AE44" s="124" t="n">
        <v>20</v>
      </c>
      <c r="AF44" s="82" t="inlineStr">
        <is>
          <t>BREO ELLIPTA</t>
        </is>
      </c>
      <c r="AG44" s="82" t="inlineStr">
        <is>
          <t>LABA LAMA COMBO</t>
        </is>
      </c>
      <c r="AH44" s="125" t="n">
        <v>1068734.539773993</v>
      </c>
      <c r="AI44" s="84" t="n">
        <v>2525.521135086104</v>
      </c>
      <c r="AK44" s="126" t="n">
        <v>20</v>
      </c>
      <c r="AL44" s="86" t="inlineStr">
        <is>
          <t>SOOLANTRA</t>
        </is>
      </c>
      <c r="AM44" s="86" t="inlineStr">
        <is>
          <t>ROSACEA AGENTS</t>
        </is>
      </c>
      <c r="AN44" s="87" t="n">
        <v>150.240515065747</v>
      </c>
    </row>
    <row r="45" ht="15" customHeight="1" thickBot="1">
      <c r="B45" s="59" t="inlineStr">
        <is>
          <t>Specialty</t>
        </is>
      </c>
      <c r="C45" s="10" t="n"/>
      <c r="D45" s="60" t="n">
        <v>4805</v>
      </c>
      <c r="E45" s="61" t="n">
        <v>89182.30002999306</v>
      </c>
      <c r="F45" s="61" t="n">
        <v>256711</v>
      </c>
      <c r="G45" s="62" t="n">
        <v>18.56031218105995</v>
      </c>
      <c r="H45" s="63" t="n">
        <v>53.42580645161291</v>
      </c>
      <c r="I45" s="31" t="n"/>
      <c r="J45" s="31" t="n"/>
      <c r="K45" s="31" t="n"/>
      <c r="L45" s="31" t="n"/>
      <c r="M45" s="31" t="n"/>
      <c r="N45" s="31" t="n"/>
      <c r="O45" s="31" t="n"/>
      <c r="P45" s="31" t="n"/>
      <c r="Q45" s="31" t="n"/>
      <c r="R45" s="31" t="n"/>
      <c r="S45" s="31" t="n"/>
      <c r="T45" s="31" t="n"/>
      <c r="U45" s="31" t="n"/>
      <c r="V45" s="31" t="n"/>
      <c r="W45" s="31" t="n"/>
      <c r="X45" s="31" t="n"/>
      <c r="Y45" s="31" t="n"/>
      <c r="Z45" s="31" t="n"/>
      <c r="AA45" s="31" t="n"/>
    </row>
    <row r="46" ht="15.6" customHeight="1" thickBot="1" thickTop="1">
      <c r="B46" s="69" t="inlineStr">
        <is>
          <t>Total</t>
        </is>
      </c>
      <c r="C46" s="10" t="n"/>
      <c r="D46" s="70" t="n">
        <v>1521847</v>
      </c>
      <c r="E46" s="71" t="n">
        <v>84234768.98721932</v>
      </c>
      <c r="F46" s="71" t="n">
        <v>57814088</v>
      </c>
      <c r="G46" s="72" t="n">
        <v>55.35035321370632</v>
      </c>
      <c r="H46" s="73" t="n">
        <v>37.98942206411026</v>
      </c>
      <c r="I46" s="31" t="n"/>
      <c r="J46" s="31" t="n"/>
      <c r="K46" s="31" t="n"/>
      <c r="L46" s="31" t="n"/>
      <c r="M46" s="31" t="n"/>
      <c r="N46" s="31" t="n"/>
      <c r="O46" s="31" t="n"/>
      <c r="P46" s="31" t="n"/>
      <c r="Q46" s="31" t="n"/>
      <c r="R46" s="31" t="n"/>
      <c r="S46" s="31" t="n"/>
      <c r="T46" s="31" t="n"/>
      <c r="U46" s="31" t="n"/>
      <c r="V46" s="31" t="n"/>
      <c r="W46" s="31" t="n"/>
      <c r="X46" s="31" t="n"/>
      <c r="Y46" s="31" t="n"/>
      <c r="Z46" s="31" t="n"/>
      <c r="AA46" s="31" t="n"/>
    </row>
    <row r="47" ht="15" customHeight="1" thickBot="1">
      <c r="AE47" s="20" t="inlineStr">
        <is>
          <t>Overall - Brand Only</t>
        </is>
      </c>
      <c r="AF47" s="21" t="n"/>
      <c r="AG47" s="23" t="n"/>
      <c r="AH47" s="23" t="n"/>
    </row>
    <row r="48" ht="34.95" customHeight="1" thickBot="1">
      <c r="B48" s="88" t="n"/>
      <c r="C48" s="88" t="n"/>
      <c r="D48" s="88" t="n"/>
      <c r="E48" s="88" t="n"/>
      <c r="F48" s="88" t="n"/>
      <c r="G48" s="88" t="n"/>
      <c r="H48" s="88" t="n"/>
      <c r="I48" s="88" t="n"/>
      <c r="J48" s="88" t="n"/>
      <c r="K48" s="88" t="n"/>
      <c r="L48" s="88" t="n"/>
      <c r="M48" s="88" t="n"/>
      <c r="N48" s="88" t="n"/>
      <c r="O48" s="88" t="n"/>
      <c r="P48" s="88" t="n"/>
      <c r="Q48" s="88" t="n"/>
      <c r="R48" s="88" t="n"/>
      <c r="S48" s="88" t="n"/>
      <c r="T48" s="88" t="n"/>
      <c r="U48" s="88" t="n"/>
      <c r="V48" s="88" t="n"/>
      <c r="W48" s="88" t="n"/>
      <c r="X48" s="88" t="n"/>
      <c r="Y48" s="88" t="n"/>
      <c r="Z48" s="88" t="n"/>
      <c r="AA48" s="88" t="n"/>
      <c r="AE48" s="32" t="inlineStr">
        <is>
          <t>Rank</t>
        </is>
      </c>
      <c r="AF48" s="33" t="inlineStr">
        <is>
          <t>Therapeutic Class</t>
        </is>
      </c>
      <c r="AG48" s="33" t="inlineStr">
        <is>
          <t>Total Rebates</t>
        </is>
      </c>
      <c r="AH48" s="34" t="inlineStr">
        <is>
          <t>Brand Scripts</t>
        </is>
      </c>
    </row>
    <row r="49" ht="15" customHeight="1" thickTop="1">
      <c r="AE49" s="118" t="n">
        <v>1</v>
      </c>
      <c r="AF49" s="44" t="inlineStr">
        <is>
          <t>IMMUNOMODULATORS</t>
        </is>
      </c>
      <c r="AG49" s="119" t="n">
        <v>100308104.1568862</v>
      </c>
      <c r="AH49" s="46" t="n">
        <v>9398.673181966913</v>
      </c>
    </row>
    <row r="50" ht="15" customHeight="1" thickBot="1">
      <c r="AE50" s="121" t="n">
        <v>2</v>
      </c>
      <c r="AF50" t="inlineStr">
        <is>
          <t>GLUCAGON-LIKE PEPTIDE-1 AGONISTS (GLP1)</t>
        </is>
      </c>
      <c r="AG50" s="122" t="n">
        <v>83433887.32809941</v>
      </c>
      <c r="AH50" s="56" t="n">
        <v>98089.91115956724</v>
      </c>
    </row>
    <row r="51" ht="15" customHeight="1" thickBot="1">
      <c r="D51" s="11" t="inlineStr">
        <is>
          <t>Base Yr</t>
        </is>
      </c>
      <c r="E51" s="12" t="n"/>
      <c r="F51" s="12" t="n"/>
      <c r="G51" s="13" t="n"/>
      <c r="H51" s="14" t="n"/>
      <c r="J51" s="11" t="n">
        <v>2031</v>
      </c>
      <c r="K51" s="12" t="n"/>
      <c r="L51" s="12" t="n"/>
      <c r="M51" s="13" t="n"/>
      <c r="N51" s="14" t="n"/>
      <c r="P51" s="11" t="n">
        <v>2028</v>
      </c>
      <c r="Q51" s="12" t="n"/>
      <c r="R51" s="12" t="n"/>
      <c r="S51" s="13" t="n"/>
      <c r="T51" s="14" t="n"/>
      <c r="V51" s="11" t="n">
        <v>2029</v>
      </c>
      <c r="W51" s="12" t="n"/>
      <c r="X51" s="12" t="n"/>
      <c r="Y51" s="13" t="n"/>
      <c r="Z51" s="14" t="n"/>
      <c r="AE51" s="121" t="n">
        <v>3</v>
      </c>
      <c r="AF51" t="inlineStr">
        <is>
          <t>MIGRAINE PRODUCTS</t>
        </is>
      </c>
      <c r="AG51" s="122" t="n">
        <v>14382366.90474352</v>
      </c>
      <c r="AH51" s="56" t="n">
        <v>14618.02826388045</v>
      </c>
    </row>
    <row r="52" ht="15" customHeight="1" thickBot="1">
      <c r="B52" s="27" t="inlineStr">
        <is>
          <t>Excl - Brand</t>
        </is>
      </c>
      <c r="D52" s="28" t="inlineStr">
        <is>
          <t>R30</t>
        </is>
      </c>
      <c r="E52" s="29" t="inlineStr">
        <is>
          <t>R90</t>
        </is>
      </c>
      <c r="F52" s="29" t="inlineStr">
        <is>
          <t>Mail</t>
        </is>
      </c>
      <c r="G52" s="29" t="inlineStr">
        <is>
          <t>Specialty</t>
        </is>
      </c>
      <c r="H52" s="30" t="inlineStr">
        <is>
          <t>Total</t>
        </is>
      </c>
      <c r="J52" s="28" t="inlineStr">
        <is>
          <t>R30</t>
        </is>
      </c>
      <c r="K52" s="29" t="inlineStr">
        <is>
          <t>R90</t>
        </is>
      </c>
      <c r="L52" s="29" t="inlineStr">
        <is>
          <t>Mail</t>
        </is>
      </c>
      <c r="M52" s="29" t="inlineStr">
        <is>
          <t>Specialty</t>
        </is>
      </c>
      <c r="N52" s="30" t="inlineStr">
        <is>
          <t>Total</t>
        </is>
      </c>
      <c r="P52" s="28" t="inlineStr">
        <is>
          <t>R30</t>
        </is>
      </c>
      <c r="Q52" s="29" t="inlineStr">
        <is>
          <t>R90</t>
        </is>
      </c>
      <c r="R52" s="29" t="inlineStr">
        <is>
          <t>Mail</t>
        </is>
      </c>
      <c r="S52" s="29" t="inlineStr">
        <is>
          <t>Specialty</t>
        </is>
      </c>
      <c r="T52" s="30" t="inlineStr">
        <is>
          <t>Total</t>
        </is>
      </c>
      <c r="V52" s="28" t="inlineStr">
        <is>
          <t>R30</t>
        </is>
      </c>
      <c r="W52" s="29" t="inlineStr">
        <is>
          <t>R90</t>
        </is>
      </c>
      <c r="X52" s="29" t="inlineStr">
        <is>
          <t>Mail</t>
        </is>
      </c>
      <c r="Y52" s="29" t="inlineStr">
        <is>
          <t>Specialty</t>
        </is>
      </c>
      <c r="Z52" s="30" t="inlineStr">
        <is>
          <t>Total</t>
        </is>
      </c>
      <c r="AE52" s="121" t="n">
        <v>4</v>
      </c>
      <c r="AF52" t="inlineStr">
        <is>
          <t>SGLT-2 INHIBITORS &amp; COMBOS</t>
        </is>
      </c>
      <c r="AG52" s="122" t="n">
        <v>6525478.942284769</v>
      </c>
      <c r="AH52" s="56" t="n">
        <v>21754.47114888663</v>
      </c>
    </row>
    <row r="53">
      <c r="B53" s="38" t="inlineStr">
        <is>
          <t>OTCs</t>
        </is>
      </c>
      <c r="D53" s="127" t="n">
        <v>0</v>
      </c>
      <c r="E53" s="128" t="n">
        <v>0</v>
      </c>
      <c r="F53" s="128" t="n">
        <v>0</v>
      </c>
      <c r="G53" s="128" t="n">
        <v>0</v>
      </c>
      <c r="H53" s="129" t="n">
        <v>0</v>
      </c>
      <c r="J53" s="127" t="n">
        <v>0</v>
      </c>
      <c r="K53" s="128" t="n">
        <v>0</v>
      </c>
      <c r="L53" s="128" t="n">
        <v>0</v>
      </c>
      <c r="M53" s="128" t="n">
        <v>0</v>
      </c>
      <c r="N53" s="129" t="n">
        <v>0</v>
      </c>
      <c r="P53" s="127" t="n">
        <v>0</v>
      </c>
      <c r="Q53" s="128" t="n">
        <v>0</v>
      </c>
      <c r="R53" s="128" t="n">
        <v>0</v>
      </c>
      <c r="S53" s="128" t="n">
        <v>0</v>
      </c>
      <c r="T53" s="129" t="n">
        <v>0</v>
      </c>
      <c r="V53" s="127" t="n">
        <v>0</v>
      </c>
      <c r="W53" s="128" t="n">
        <v>0</v>
      </c>
      <c r="X53" s="128" t="n">
        <v>0</v>
      </c>
      <c r="Y53" s="128" t="n">
        <v>0</v>
      </c>
      <c r="Z53" s="129" t="n">
        <v>0</v>
      </c>
      <c r="AE53" s="121" t="n">
        <v>5</v>
      </c>
      <c r="AF53" t="inlineStr">
        <is>
          <t>LABA LAMA COMBO</t>
        </is>
      </c>
      <c r="AG53" s="122" t="n">
        <v>3325003.448627961</v>
      </c>
      <c r="AH53" s="56" t="n">
        <v>8913.728683718746</v>
      </c>
    </row>
    <row r="54">
      <c r="B54" s="49" t="inlineStr">
        <is>
          <t>Devices</t>
        </is>
      </c>
      <c r="D54" s="130" t="n">
        <v>18999</v>
      </c>
      <c r="E54" s="131" t="n">
        <v>10317</v>
      </c>
      <c r="F54" s="131" t="n">
        <v>2685</v>
      </c>
      <c r="G54" s="131" t="n">
        <v>0</v>
      </c>
      <c r="H54" s="132" t="n">
        <v>32001</v>
      </c>
      <c r="J54" s="130" t="n">
        <v>20478.28053779135</v>
      </c>
      <c r="K54" s="131" t="n">
        <v>10903.1721314318</v>
      </c>
      <c r="L54" s="131" t="n">
        <v>3101.293639442989</v>
      </c>
      <c r="M54" s="131" t="n">
        <v>0</v>
      </c>
      <c r="N54" s="132" t="n">
        <v>34482.74630866614</v>
      </c>
      <c r="P54" s="130" t="n">
        <v>21663.43131355951</v>
      </c>
      <c r="Q54" s="131" t="n">
        <v>11378.13427675372</v>
      </c>
      <c r="R54" s="131" t="n">
        <v>3423.061537476089</v>
      </c>
      <c r="S54" s="131" t="n">
        <v>0</v>
      </c>
      <c r="T54" s="132" t="n">
        <v>36464.62712778931</v>
      </c>
      <c r="V54" s="130" t="n">
        <v>23329.80421791238</v>
      </c>
      <c r="W54" s="131" t="n">
        <v>12036.09839791534</v>
      </c>
      <c r="X54" s="131" t="n">
        <v>3877.076472541656</v>
      </c>
      <c r="Y54" s="131" t="n">
        <v>0</v>
      </c>
      <c r="Z54" s="132" t="n">
        <v>39242.97908836937</v>
      </c>
      <c r="AE54" s="121" t="n">
        <v>6</v>
      </c>
      <c r="AF54" t="inlineStr">
        <is>
          <t>PCSK9 INHIBITORS</t>
        </is>
      </c>
      <c r="AG54" s="122" t="n">
        <v>2788545.116128378</v>
      </c>
      <c r="AH54" s="56" t="n">
        <v>6039.378523009766</v>
      </c>
    </row>
    <row r="55">
      <c r="B55" s="64" t="inlineStr">
        <is>
          <t>Vaccines</t>
        </is>
      </c>
      <c r="D55" s="130" t="n">
        <v>0</v>
      </c>
      <c r="E55" s="131" t="n">
        <v>0</v>
      </c>
      <c r="F55" s="131" t="n">
        <v>0</v>
      </c>
      <c r="G55" s="131" t="n">
        <v>0</v>
      </c>
      <c r="H55" s="132" t="n">
        <v>0</v>
      </c>
      <c r="J55" s="130" t="n">
        <v>0</v>
      </c>
      <c r="K55" s="131" t="n">
        <v>0</v>
      </c>
      <c r="L55" s="131" t="n">
        <v>0</v>
      </c>
      <c r="M55" s="131" t="n">
        <v>0</v>
      </c>
      <c r="N55" s="132" t="n">
        <v>0</v>
      </c>
      <c r="P55" s="130" t="n">
        <v>0</v>
      </c>
      <c r="Q55" s="131" t="n">
        <v>0</v>
      </c>
      <c r="R55" s="131" t="n">
        <v>0</v>
      </c>
      <c r="S55" s="131" t="n">
        <v>0</v>
      </c>
      <c r="T55" s="132" t="n">
        <v>0</v>
      </c>
      <c r="V55" s="130" t="n">
        <v>0</v>
      </c>
      <c r="W55" s="131" t="n">
        <v>0</v>
      </c>
      <c r="X55" s="131" t="n">
        <v>0</v>
      </c>
      <c r="Y55" s="131" t="n">
        <v>0</v>
      </c>
      <c r="Z55" s="132" t="n">
        <v>0</v>
      </c>
      <c r="AE55" s="121" t="n">
        <v>7</v>
      </c>
      <c r="AF55" t="inlineStr">
        <is>
          <t>BASAL INSULIN</t>
        </is>
      </c>
      <c r="AG55" s="122" t="n">
        <v>1648202.438743795</v>
      </c>
      <c r="AH55" s="56" t="n">
        <v>4278.468882048729</v>
      </c>
    </row>
    <row r="56">
      <c r="B56" s="64" t="inlineStr">
        <is>
          <t>Repackaged</t>
        </is>
      </c>
      <c r="D56" s="130" t="n">
        <v>0</v>
      </c>
      <c r="E56" s="131" t="n">
        <v>0</v>
      </c>
      <c r="F56" s="131" t="n">
        <v>0</v>
      </c>
      <c r="G56" s="131" t="n">
        <v>0</v>
      </c>
      <c r="H56" s="132" t="n">
        <v>0</v>
      </c>
      <c r="J56" s="130" t="n">
        <v>0</v>
      </c>
      <c r="K56" s="131" t="n">
        <v>0</v>
      </c>
      <c r="L56" s="131" t="n">
        <v>0</v>
      </c>
      <c r="M56" s="131" t="n">
        <v>0</v>
      </c>
      <c r="N56" s="132" t="n">
        <v>0</v>
      </c>
      <c r="P56" s="130" t="n">
        <v>0</v>
      </c>
      <c r="Q56" s="131" t="n">
        <v>0</v>
      </c>
      <c r="R56" s="131" t="n">
        <v>0</v>
      </c>
      <c r="S56" s="131" t="n">
        <v>0</v>
      </c>
      <c r="T56" s="132" t="n">
        <v>0</v>
      </c>
      <c r="V56" s="130" t="n">
        <v>0</v>
      </c>
      <c r="W56" s="131" t="n">
        <v>0</v>
      </c>
      <c r="X56" s="131" t="n">
        <v>0</v>
      </c>
      <c r="Y56" s="131" t="n">
        <v>0</v>
      </c>
      <c r="Z56" s="132" t="n">
        <v>0</v>
      </c>
      <c r="AE56" s="121" t="n">
        <v>8</v>
      </c>
      <c r="AF56" t="inlineStr">
        <is>
          <t>DIGESTIVE ENZYMES</t>
        </is>
      </c>
      <c r="AG56" s="122" t="n">
        <v>977286.5227656954</v>
      </c>
      <c r="AH56" s="56" t="n">
        <v>557.562695091186</v>
      </c>
    </row>
    <row r="57">
      <c r="B57" s="64" t="inlineStr">
        <is>
          <t>MSBs</t>
        </is>
      </c>
      <c r="D57" s="130" t="n">
        <v>0</v>
      </c>
      <c r="E57" s="131" t="n">
        <v>0</v>
      </c>
      <c r="F57" s="131" t="n">
        <v>0</v>
      </c>
      <c r="G57" s="131" t="n">
        <v>0</v>
      </c>
      <c r="H57" s="132" t="n">
        <v>0</v>
      </c>
      <c r="J57" s="130" t="n">
        <v>0</v>
      </c>
      <c r="K57" s="131" t="n">
        <v>0</v>
      </c>
      <c r="L57" s="131" t="n">
        <v>0</v>
      </c>
      <c r="M57" s="131" t="n">
        <v>0</v>
      </c>
      <c r="N57" s="132" t="n">
        <v>0</v>
      </c>
      <c r="P57" s="130" t="n">
        <v>0</v>
      </c>
      <c r="Q57" s="131" t="n">
        <v>0</v>
      </c>
      <c r="R57" s="131" t="n">
        <v>0</v>
      </c>
      <c r="S57" s="131" t="n">
        <v>0</v>
      </c>
      <c r="T57" s="132" t="n">
        <v>0</v>
      </c>
      <c r="V57" s="130" t="n">
        <v>0</v>
      </c>
      <c r="W57" s="131" t="n">
        <v>0</v>
      </c>
      <c r="X57" s="131" t="n">
        <v>0</v>
      </c>
      <c r="Y57" s="131" t="n">
        <v>0</v>
      </c>
      <c r="Z57" s="132" t="n">
        <v>0</v>
      </c>
      <c r="AE57" s="121" t="n">
        <v>9</v>
      </c>
      <c r="AF57" t="inlineStr">
        <is>
          <t>RAPID ACTING</t>
        </is>
      </c>
      <c r="AG57" s="122" t="n">
        <v>760840.8256542506</v>
      </c>
      <c r="AH57" s="56" t="n">
        <v>2240.542007645244</v>
      </c>
    </row>
    <row r="58">
      <c r="B58" s="64" t="inlineStr">
        <is>
          <t>Non FDA Approved</t>
        </is>
      </c>
      <c r="D58" s="130" t="n">
        <v>2751</v>
      </c>
      <c r="E58" s="131" t="n">
        <v>1055</v>
      </c>
      <c r="F58" s="131" t="n">
        <v>278</v>
      </c>
      <c r="G58" s="131" t="n">
        <v>0</v>
      </c>
      <c r="H58" s="132" t="n">
        <v>4084</v>
      </c>
      <c r="J58" s="130" t="n">
        <v>2594.635870111398</v>
      </c>
      <c r="K58" s="131" t="n">
        <v>985.1824819707102</v>
      </c>
      <c r="L58" s="131" t="n">
        <v>255.9237504109174</v>
      </c>
      <c r="M58" s="131" t="n">
        <v>0</v>
      </c>
      <c r="N58" s="132" t="n">
        <v>3835.742102493025</v>
      </c>
      <c r="P58" s="130" t="n">
        <v>2524.413145919568</v>
      </c>
      <c r="Q58" s="131" t="n">
        <v>955.5306180828587</v>
      </c>
      <c r="R58" s="131" t="n">
        <v>249.3743419835244</v>
      </c>
      <c r="S58" s="131" t="n">
        <v>0</v>
      </c>
      <c r="T58" s="132" t="n">
        <v>3729.318105985951</v>
      </c>
      <c r="V58" s="130" t="n">
        <v>2449.159189058707</v>
      </c>
      <c r="W58" s="131" t="n">
        <v>924.0255834445894</v>
      </c>
      <c r="X58" s="131" t="n">
        <v>242.3455691904668</v>
      </c>
      <c r="Y58" s="131" t="n">
        <v>0</v>
      </c>
      <c r="Z58" s="132" t="n">
        <v>3615.530341693764</v>
      </c>
      <c r="AE58" s="121" t="n">
        <v>10</v>
      </c>
      <c r="AF58" t="inlineStr">
        <is>
          <t>ANTIPSORIATICS - TOPICAL</t>
        </is>
      </c>
      <c r="AG58" s="122" t="n">
        <v>733941.4326166753</v>
      </c>
      <c r="AH58" s="56" t="n">
        <v>636.2384529975161</v>
      </c>
    </row>
    <row r="59">
      <c r="B59" s="64" t="inlineStr">
        <is>
          <t>LDD</t>
        </is>
      </c>
      <c r="D59" s="130" t="n">
        <v>0</v>
      </c>
      <c r="E59" s="131" t="n">
        <v>0</v>
      </c>
      <c r="F59" s="131" t="n">
        <v>0</v>
      </c>
      <c r="G59" s="131" t="n">
        <v>0</v>
      </c>
      <c r="H59" s="132" t="n">
        <v>0</v>
      </c>
      <c r="J59" s="130" t="n">
        <v>0</v>
      </c>
      <c r="K59" s="131" t="n">
        <v>0</v>
      </c>
      <c r="L59" s="131" t="n">
        <v>0</v>
      </c>
      <c r="M59" s="131" t="n">
        <v>0</v>
      </c>
      <c r="N59" s="132" t="n">
        <v>0</v>
      </c>
      <c r="P59" s="130" t="n">
        <v>0</v>
      </c>
      <c r="Q59" s="131" t="n">
        <v>0</v>
      </c>
      <c r="R59" s="131" t="n">
        <v>0</v>
      </c>
      <c r="S59" s="131" t="n">
        <v>0</v>
      </c>
      <c r="T59" s="132" t="n">
        <v>0</v>
      </c>
      <c r="V59" s="130" t="n">
        <v>0</v>
      </c>
      <c r="W59" s="131" t="n">
        <v>0</v>
      </c>
      <c r="X59" s="131" t="n">
        <v>0</v>
      </c>
      <c r="Y59" s="131" t="n">
        <v>0</v>
      </c>
      <c r="Z59" s="132" t="n">
        <v>0</v>
      </c>
      <c r="AE59" s="121" t="n">
        <v>11</v>
      </c>
      <c r="AF59" t="inlineStr">
        <is>
          <t>ADHD &amp; NARCOLEPSY MEDICATIONS</t>
        </is>
      </c>
      <c r="AG59" s="122" t="n">
        <v>585670.8879521355</v>
      </c>
      <c r="AH59" s="56" t="n">
        <v>2625.902308392545</v>
      </c>
    </row>
    <row r="60">
      <c r="B60" s="64" t="inlineStr">
        <is>
          <t>Institutional NDCs</t>
        </is>
      </c>
      <c r="D60" s="130" t="n">
        <v>0</v>
      </c>
      <c r="E60" s="131" t="n">
        <v>0</v>
      </c>
      <c r="F60" s="131" t="n">
        <v>0</v>
      </c>
      <c r="G60" s="131" t="n">
        <v>0</v>
      </c>
      <c r="H60" s="132" t="n">
        <v>0</v>
      </c>
      <c r="J60" s="130" t="n">
        <v>0</v>
      </c>
      <c r="K60" s="131" t="n">
        <v>0</v>
      </c>
      <c r="L60" s="131" t="n">
        <v>0</v>
      </c>
      <c r="M60" s="131" t="n">
        <v>0</v>
      </c>
      <c r="N60" s="132" t="n">
        <v>0</v>
      </c>
      <c r="P60" s="130" t="n">
        <v>0</v>
      </c>
      <c r="Q60" s="131" t="n">
        <v>0</v>
      </c>
      <c r="R60" s="131" t="n">
        <v>0</v>
      </c>
      <c r="S60" s="131" t="n">
        <v>0</v>
      </c>
      <c r="T60" s="132" t="n">
        <v>0</v>
      </c>
      <c r="V60" s="130" t="n">
        <v>0</v>
      </c>
      <c r="W60" s="131" t="n">
        <v>0</v>
      </c>
      <c r="X60" s="131" t="n">
        <v>0</v>
      </c>
      <c r="Y60" s="131" t="n">
        <v>0</v>
      </c>
      <c r="Z60" s="132" t="n">
        <v>0</v>
      </c>
      <c r="AE60" s="121" t="n">
        <v>12</v>
      </c>
      <c r="AF60" t="inlineStr">
        <is>
          <t>CHRONIC INFLAMMATORY DISEASE</t>
        </is>
      </c>
      <c r="AG60" s="122" t="n">
        <v>390533.880930455</v>
      </c>
      <c r="AH60" s="56" t="n">
        <v>383.6105273559173</v>
      </c>
    </row>
    <row r="61">
      <c r="B61" s="64" t="inlineStr">
        <is>
          <t>Formulary Exclusions</t>
        </is>
      </c>
      <c r="D61" s="130" t="n">
        <v>0</v>
      </c>
      <c r="E61" s="131" t="n">
        <v>0</v>
      </c>
      <c r="F61" s="131" t="n">
        <v>0</v>
      </c>
      <c r="G61" s="131" t="n">
        <v>0</v>
      </c>
      <c r="H61" s="132" t="n">
        <v>0</v>
      </c>
      <c r="J61" s="130" t="n">
        <v>0</v>
      </c>
      <c r="K61" s="131" t="n">
        <v>0</v>
      </c>
      <c r="L61" s="131" t="n">
        <v>0</v>
      </c>
      <c r="M61" s="131" t="n">
        <v>0</v>
      </c>
      <c r="N61" s="132" t="n">
        <v>0</v>
      </c>
      <c r="P61" s="130" t="n">
        <v>0</v>
      </c>
      <c r="Q61" s="131" t="n">
        <v>0</v>
      </c>
      <c r="R61" s="131" t="n">
        <v>0</v>
      </c>
      <c r="S61" s="131" t="n">
        <v>0</v>
      </c>
      <c r="T61" s="132" t="n">
        <v>0</v>
      </c>
      <c r="V61" s="130" t="n">
        <v>0</v>
      </c>
      <c r="W61" s="131" t="n">
        <v>0</v>
      </c>
      <c r="X61" s="131" t="n">
        <v>0</v>
      </c>
      <c r="Y61" s="131" t="n">
        <v>0</v>
      </c>
      <c r="Z61" s="132" t="n">
        <v>0</v>
      </c>
      <c r="AE61" s="121" t="n">
        <v>13</v>
      </c>
      <c r="AF61" t="inlineStr">
        <is>
          <t>MISC. ANTIVIRALS</t>
        </is>
      </c>
      <c r="AG61" s="122" t="n">
        <v>343542.9048963722</v>
      </c>
      <c r="AH61" s="56" t="n">
        <v>905.9255220822611</v>
      </c>
    </row>
    <row r="62">
      <c r="B62" s="64" t="inlineStr">
        <is>
          <t>Synthroid</t>
        </is>
      </c>
      <c r="D62" s="130" t="n">
        <v>207</v>
      </c>
      <c r="E62" s="131" t="n">
        <v>123</v>
      </c>
      <c r="F62" s="131" t="n">
        <v>20</v>
      </c>
      <c r="G62" s="131" t="n">
        <v>0</v>
      </c>
      <c r="H62" s="132" t="n">
        <v>350</v>
      </c>
      <c r="J62" s="130" t="n">
        <v>54.4696088644549</v>
      </c>
      <c r="K62" s="131" t="n">
        <v>32.36359794898544</v>
      </c>
      <c r="L62" s="131" t="n">
        <v>5.262829051296938</v>
      </c>
      <c r="M62" s="131" t="n">
        <v>0</v>
      </c>
      <c r="N62" s="132" t="n">
        <v>92.09603586473727</v>
      </c>
      <c r="P62" s="130" t="n">
        <v>52.77809362185538</v>
      </c>
      <c r="Q62" s="131" t="n">
        <v>31.3575465869679</v>
      </c>
      <c r="R62" s="131" t="n">
        <v>5.099435374751683</v>
      </c>
      <c r="S62" s="131" t="n">
        <v>0</v>
      </c>
      <c r="T62" s="132" t="n">
        <v>89.23507558357497</v>
      </c>
      <c r="V62" s="130" t="n">
        <v>50.98411491443656</v>
      </c>
      <c r="W62" s="131" t="n">
        <v>30.29072691069982</v>
      </c>
      <c r="X62" s="131" t="n">
        <v>4.926206273947774</v>
      </c>
      <c r="Y62" s="131" t="n">
        <v>0</v>
      </c>
      <c r="Z62" s="132" t="n">
        <v>86.20104809908415</v>
      </c>
      <c r="AE62" s="121" t="n">
        <v>14</v>
      </c>
      <c r="AF62" t="inlineStr">
        <is>
          <t>OSTEOARTHRITIS</t>
        </is>
      </c>
      <c r="AG62" s="122" t="n">
        <v>259226.1208812324</v>
      </c>
      <c r="AH62" s="56" t="n">
        <v>71.94315107435393</v>
      </c>
    </row>
    <row r="63">
      <c r="B63" s="64" t="inlineStr">
        <is>
          <t>Misc</t>
        </is>
      </c>
      <c r="D63" s="130" t="n">
        <v>4606</v>
      </c>
      <c r="E63" s="131" t="n">
        <v>1323</v>
      </c>
      <c r="F63" s="131" t="n">
        <v>743</v>
      </c>
      <c r="G63" s="131" t="n">
        <v>8752</v>
      </c>
      <c r="H63" s="132" t="n">
        <v>15424</v>
      </c>
      <c r="J63" s="130" t="n">
        <v>6740.490552500309</v>
      </c>
      <c r="K63" s="131" t="n">
        <v>1724.744513801077</v>
      </c>
      <c r="L63" s="131" t="n">
        <v>822.9238077059795</v>
      </c>
      <c r="M63" s="131" t="n">
        <v>11319.80813218343</v>
      </c>
      <c r="N63" s="132" t="n">
        <v>20607.9670061908</v>
      </c>
      <c r="P63" s="130" t="n">
        <v>7085.272226056382</v>
      </c>
      <c r="Q63" s="131" t="n">
        <v>1791.483213016827</v>
      </c>
      <c r="R63" s="131" t="n">
        <v>845.0266611041575</v>
      </c>
      <c r="S63" s="131" t="n">
        <v>12711.55782330638</v>
      </c>
      <c r="T63" s="132" t="n">
        <v>22433.33992348375</v>
      </c>
      <c r="V63" s="130" t="n">
        <v>7451.78198484419</v>
      </c>
      <c r="W63" s="131" t="n">
        <v>1871.513247205619</v>
      </c>
      <c r="X63" s="131" t="n">
        <v>853.5529290622235</v>
      </c>
      <c r="Y63" s="131" t="n">
        <v>14198.2935037223</v>
      </c>
      <c r="Z63" s="132" t="n">
        <v>24375.14166483433</v>
      </c>
      <c r="AE63" s="121" t="n">
        <v>15</v>
      </c>
      <c r="AF63" t="inlineStr">
        <is>
          <t>OPHTHALMICS - MISC.</t>
        </is>
      </c>
      <c r="AG63" s="122" t="n">
        <v>185174.7720231553</v>
      </c>
      <c r="AH63" s="56" t="n">
        <v>349.8559718780633</v>
      </c>
    </row>
    <row r="64">
      <c r="B64" s="64" t="inlineStr">
        <is>
          <t>Specialty</t>
        </is>
      </c>
      <c r="D64" s="133" t="n">
        <v>0</v>
      </c>
      <c r="E64" s="134" t="n">
        <v>0</v>
      </c>
      <c r="F64" s="134" t="n">
        <v>0</v>
      </c>
      <c r="G64" s="134" t="n">
        <v>8752</v>
      </c>
      <c r="H64" s="135" t="n">
        <v>8752</v>
      </c>
      <c r="J64" s="133" t="n">
        <v>0</v>
      </c>
      <c r="K64" s="134" t="n">
        <v>0</v>
      </c>
      <c r="L64" s="134" t="n">
        <v>0</v>
      </c>
      <c r="M64" s="134" t="n">
        <v>10959.44662946825</v>
      </c>
      <c r="N64" s="135" t="n">
        <v>10959.44662946825</v>
      </c>
      <c r="P64" s="133" t="n">
        <v>0</v>
      </c>
      <c r="Q64" s="134" t="n">
        <v>0</v>
      </c>
      <c r="R64" s="134" t="n">
        <v>0</v>
      </c>
      <c r="S64" s="134" t="n">
        <v>12320.21018789366</v>
      </c>
      <c r="T64" s="135" t="n">
        <v>12320.21018789366</v>
      </c>
      <c r="V64" s="133" t="n">
        <v>0</v>
      </c>
      <c r="W64" s="134" t="n">
        <v>0</v>
      </c>
      <c r="X64" s="134" t="n">
        <v>0</v>
      </c>
      <c r="Y64" s="134" t="n">
        <v>13774.06284628652</v>
      </c>
      <c r="Z64" s="135" t="n">
        <v>13774.06284628652</v>
      </c>
      <c r="AE64" s="121" t="n">
        <v>16</v>
      </c>
      <c r="AF64" t="inlineStr">
        <is>
          <t>ESTROGENS &amp; COMBOS</t>
        </is>
      </c>
      <c r="AG64" s="122" t="n">
        <v>178217.1802663871</v>
      </c>
      <c r="AH64" s="56" t="n">
        <v>724.3414733860894</v>
      </c>
    </row>
    <row r="65">
      <c r="A65" s="98" t="inlineStr">
        <is>
          <t>Added MFP row but needs adjusting for non-CY(Should just need adjustment in Exclusion Summary)</t>
        </is>
      </c>
      <c r="B65" s="64" t="inlineStr">
        <is>
          <t>MFP</t>
        </is>
      </c>
      <c r="D65" s="133" t="n">
        <v>0</v>
      </c>
      <c r="E65" s="134" t="n">
        <v>0</v>
      </c>
      <c r="F65" s="134" t="n">
        <v>0</v>
      </c>
      <c r="G65" s="134" t="n">
        <v>0</v>
      </c>
      <c r="H65" s="135" t="n">
        <v>0</v>
      </c>
      <c r="J65" s="133" t="n">
        <v>0</v>
      </c>
      <c r="K65" s="134" t="n">
        <v>0</v>
      </c>
      <c r="L65" s="134" t="n">
        <v>0</v>
      </c>
      <c r="M65" s="134" t="n">
        <v>0</v>
      </c>
      <c r="N65" s="135" t="n">
        <v>0</v>
      </c>
      <c r="P65" s="133" t="n">
        <v>0</v>
      </c>
      <c r="Q65" s="134" t="n">
        <v>0</v>
      </c>
      <c r="R65" s="134" t="n">
        <v>0</v>
      </c>
      <c r="S65" s="134" t="n">
        <v>0</v>
      </c>
      <c r="T65" s="135" t="n">
        <v>0</v>
      </c>
      <c r="V65" s="133" t="n">
        <v>0</v>
      </c>
      <c r="W65" s="134" t="n">
        <v>0</v>
      </c>
      <c r="X65" s="134" t="n">
        <v>0</v>
      </c>
      <c r="Y65" s="134" t="n">
        <v>0</v>
      </c>
      <c r="Z65" s="135" t="n">
        <v>0</v>
      </c>
      <c r="AE65" s="121" t="n">
        <v>17</v>
      </c>
      <c r="AF65" t="inlineStr">
        <is>
          <t>INHALED CORTICOSTEROIDS (ICS)</t>
        </is>
      </c>
      <c r="AG65" s="122" t="n">
        <v>171892.2082174071</v>
      </c>
      <c r="AH65" s="56" t="n">
        <v>1141.312861451523</v>
      </c>
    </row>
    <row r="66">
      <c r="A66" s="99" t="n"/>
      <c r="B66" s="100" t="inlineStr">
        <is>
          <t>ENTER DESC</t>
        </is>
      </c>
      <c r="D66" s="133" t="n">
        <v>0</v>
      </c>
      <c r="E66" s="134" t="n">
        <v>0</v>
      </c>
      <c r="F66" s="134" t="n">
        <v>0</v>
      </c>
      <c r="G66" s="134" t="n">
        <v>0</v>
      </c>
      <c r="H66" s="135" t="n">
        <v>0</v>
      </c>
      <c r="J66" s="133" t="n">
        <v>0</v>
      </c>
      <c r="K66" s="134" t="n">
        <v>0</v>
      </c>
      <c r="L66" s="134" t="n">
        <v>0</v>
      </c>
      <c r="M66" s="134" t="n">
        <v>0</v>
      </c>
      <c r="N66" s="135" t="n">
        <v>0</v>
      </c>
      <c r="P66" s="133" t="n">
        <v>0</v>
      </c>
      <c r="Q66" s="134" t="n">
        <v>0</v>
      </c>
      <c r="R66" s="134" t="n">
        <v>0</v>
      </c>
      <c r="S66" s="134" t="n">
        <v>0</v>
      </c>
      <c r="T66" s="135" t="n">
        <v>0</v>
      </c>
      <c r="V66" s="133" t="n">
        <v>0</v>
      </c>
      <c r="W66" s="134" t="n">
        <v>0</v>
      </c>
      <c r="X66" s="134" t="n">
        <v>0</v>
      </c>
      <c r="Y66" s="134" t="n">
        <v>0</v>
      </c>
      <c r="Z66" s="135" t="n">
        <v>0</v>
      </c>
      <c r="AE66" s="121" t="n">
        <v>18</v>
      </c>
      <c r="AF66" t="inlineStr">
        <is>
          <t>LAMA/ACH</t>
        </is>
      </c>
      <c r="AG66" s="122" t="n">
        <v>138146.4661893948</v>
      </c>
      <c r="AH66" s="56" t="n">
        <v>348.5481008847171</v>
      </c>
    </row>
    <row r="67" ht="15" customHeight="1" thickBot="1">
      <c r="B67" s="59" t="inlineStr">
        <is>
          <t>Non-Rebatable</t>
        </is>
      </c>
      <c r="D67" s="136" t="n">
        <v>0</v>
      </c>
      <c r="E67" s="137" t="n">
        <v>0</v>
      </c>
      <c r="F67" s="137" t="n">
        <v>0</v>
      </c>
      <c r="G67" s="137" t="n">
        <v>0</v>
      </c>
      <c r="H67" s="138" t="n">
        <v>0</v>
      </c>
      <c r="J67" s="139" t="n">
        <v>0</v>
      </c>
      <c r="K67" s="140" t="n">
        <v>0</v>
      </c>
      <c r="L67" s="140" t="n">
        <v>0</v>
      </c>
      <c r="M67" s="140" t="n">
        <v>0</v>
      </c>
      <c r="N67" s="141" t="n">
        <v>0</v>
      </c>
      <c r="P67" s="139" t="n">
        <v>0</v>
      </c>
      <c r="Q67" s="140" t="n">
        <v>0</v>
      </c>
      <c r="R67" s="140" t="n">
        <v>0</v>
      </c>
      <c r="S67" s="140" t="n">
        <v>0</v>
      </c>
      <c r="T67" s="141" t="n">
        <v>0</v>
      </c>
      <c r="V67" s="139" t="n">
        <v>0</v>
      </c>
      <c r="W67" s="140" t="n">
        <v>0</v>
      </c>
      <c r="X67" s="140" t="n">
        <v>0</v>
      </c>
      <c r="Y67" s="140" t="n">
        <v>0</v>
      </c>
      <c r="Z67" s="141" t="n">
        <v>0</v>
      </c>
      <c r="AE67" s="121" t="n">
        <v>19</v>
      </c>
      <c r="AF67" t="inlineStr">
        <is>
          <t>NON-STEROIDAL MINERALOCORTICOID RECEPTOR ANTAGONISTS</t>
        </is>
      </c>
      <c r="AG67" s="122" t="n">
        <v>132900.7821718605</v>
      </c>
      <c r="AH67" s="56" t="n">
        <v>231.7730980651838</v>
      </c>
    </row>
    <row r="68" ht="15.6" customHeight="1" thickBot="1" thickTop="1">
      <c r="B68" s="69" t="inlineStr">
        <is>
          <t>Total</t>
        </is>
      </c>
      <c r="D68" s="142" t="n">
        <v>26563</v>
      </c>
      <c r="E68" s="143" t="n">
        <v>12818</v>
      </c>
      <c r="F68" s="143" t="n">
        <v>3726</v>
      </c>
      <c r="G68" s="143" t="n">
        <v>8752</v>
      </c>
      <c r="H68" s="144" t="n">
        <v>60611</v>
      </c>
      <c r="J68" s="142" t="n">
        <v>29867.87656926751</v>
      </c>
      <c r="K68" s="143" t="n">
        <v>13645.46272515257</v>
      </c>
      <c r="L68" s="143" t="n">
        <v>4185.404026611183</v>
      </c>
      <c r="M68" s="143" t="n">
        <v>11319.80813218343</v>
      </c>
      <c r="N68" s="144" t="n">
        <v>69977.99808268294</v>
      </c>
      <c r="P68" s="142" t="n">
        <v>31325.89477915731</v>
      </c>
      <c r="Q68" s="143" t="n">
        <v>14156.50565444037</v>
      </c>
      <c r="R68" s="143" t="n">
        <v>4522.561975938523</v>
      </c>
      <c r="S68" s="143" t="n">
        <v>12711.55782330638</v>
      </c>
      <c r="T68" s="144" t="n">
        <v>75036.73042073625</v>
      </c>
      <c r="V68" s="142" t="n">
        <v>33281.72950672972</v>
      </c>
      <c r="W68" s="143" t="n">
        <v>14861.92795547624</v>
      </c>
      <c r="X68" s="143" t="n">
        <v>4977.901177068295</v>
      </c>
      <c r="Y68" s="143" t="n">
        <v>14198.2935037223</v>
      </c>
      <c r="Z68" s="144" t="n">
        <v>81093.91498928308</v>
      </c>
      <c r="AE68" s="124" t="n">
        <v>20</v>
      </c>
      <c r="AF68" s="82" t="inlineStr">
        <is>
          <t>VAGINAL ESTROGENS</t>
        </is>
      </c>
      <c r="AG68" s="125" t="n">
        <v>108436.894998139</v>
      </c>
      <c r="AH68" s="84" t="n">
        <v>350.0774866281456</v>
      </c>
    </row>
    <row r="69" ht="15" customHeight="1" thickBot="1">
      <c r="D69" s="145" t="n"/>
      <c r="E69" s="145" t="n"/>
      <c r="F69" s="145" t="n"/>
      <c r="G69" s="145" t="n"/>
      <c r="H69" s="145" t="n"/>
      <c r="J69" s="145" t="n"/>
      <c r="K69" s="145" t="n"/>
      <c r="L69" s="145" t="n"/>
      <c r="M69" s="145" t="n"/>
      <c r="N69" s="145" t="n"/>
      <c r="P69" s="145" t="n"/>
      <c r="Q69" s="145" t="n"/>
      <c r="R69" s="145" t="n"/>
      <c r="S69" s="145" t="n"/>
      <c r="T69" s="145" t="n"/>
      <c r="V69" s="145" t="n"/>
      <c r="W69" s="145" t="n"/>
      <c r="X69" s="145" t="n"/>
      <c r="Y69" s="145" t="n"/>
      <c r="Z69" s="145" t="n"/>
    </row>
    <row r="70" ht="15" customHeight="1" thickBot="1">
      <c r="B70" s="27" t="inlineStr">
        <is>
          <t>Excl - Generic</t>
        </is>
      </c>
      <c r="D70" s="28" t="inlineStr">
        <is>
          <t>R30</t>
        </is>
      </c>
      <c r="E70" s="29" t="inlineStr">
        <is>
          <t>R90</t>
        </is>
      </c>
      <c r="F70" s="29" t="inlineStr">
        <is>
          <t>Mail</t>
        </is>
      </c>
      <c r="G70" s="29" t="inlineStr">
        <is>
          <t>Specialty</t>
        </is>
      </c>
      <c r="H70" s="30" t="inlineStr">
        <is>
          <t>Total</t>
        </is>
      </c>
      <c r="J70" s="28" t="inlineStr">
        <is>
          <t>R30</t>
        </is>
      </c>
      <c r="K70" s="29" t="inlineStr">
        <is>
          <t>R90</t>
        </is>
      </c>
      <c r="L70" s="29" t="inlineStr">
        <is>
          <t>Mail</t>
        </is>
      </c>
      <c r="M70" s="29" t="inlineStr">
        <is>
          <t>Specialty</t>
        </is>
      </c>
      <c r="N70" s="30" t="inlineStr">
        <is>
          <t>Total</t>
        </is>
      </c>
      <c r="P70" s="28" t="inlineStr">
        <is>
          <t>R30</t>
        </is>
      </c>
      <c r="Q70" s="29" t="inlineStr">
        <is>
          <t>R90</t>
        </is>
      </c>
      <c r="R70" s="29" t="inlineStr">
        <is>
          <t>Mail</t>
        </is>
      </c>
      <c r="S70" s="29" t="inlineStr">
        <is>
          <t>Specialty</t>
        </is>
      </c>
      <c r="T70" s="30" t="inlineStr">
        <is>
          <t>Total</t>
        </is>
      </c>
      <c r="V70" s="28" t="inlineStr">
        <is>
          <t>R30</t>
        </is>
      </c>
      <c r="W70" s="29" t="inlineStr">
        <is>
          <t>R90</t>
        </is>
      </c>
      <c r="X70" s="29" t="inlineStr">
        <is>
          <t>Mail</t>
        </is>
      </c>
      <c r="Y70" s="29" t="inlineStr">
        <is>
          <t>Specialty</t>
        </is>
      </c>
      <c r="Z70" s="30" t="inlineStr">
        <is>
          <t>Total</t>
        </is>
      </c>
    </row>
    <row r="71">
      <c r="B71" s="38" t="inlineStr">
        <is>
          <t>OTCs</t>
        </is>
      </c>
      <c r="D71" s="127" t="n">
        <v>0</v>
      </c>
      <c r="E71" s="128" t="n">
        <v>0</v>
      </c>
      <c r="F71" s="128" t="n">
        <v>0</v>
      </c>
      <c r="G71" s="128" t="n">
        <v>0</v>
      </c>
      <c r="H71" s="129" t="n">
        <v>0</v>
      </c>
      <c r="J71" s="127" t="n">
        <v>0</v>
      </c>
      <c r="K71" s="128" t="n">
        <v>0</v>
      </c>
      <c r="L71" s="128" t="n">
        <v>0</v>
      </c>
      <c r="M71" s="128" t="n">
        <v>0</v>
      </c>
      <c r="N71" s="129" t="n">
        <v>0</v>
      </c>
      <c r="P71" s="127" t="n">
        <v>0</v>
      </c>
      <c r="Q71" s="128" t="n">
        <v>0</v>
      </c>
      <c r="R71" s="128" t="n">
        <v>0</v>
      </c>
      <c r="S71" s="128" t="n">
        <v>0</v>
      </c>
      <c r="T71" s="129" t="n">
        <v>0</v>
      </c>
      <c r="V71" s="127" t="n">
        <v>0</v>
      </c>
      <c r="W71" s="128" t="n">
        <v>0</v>
      </c>
      <c r="X71" s="128" t="n">
        <v>0</v>
      </c>
      <c r="Y71" s="128" t="n">
        <v>0</v>
      </c>
      <c r="Z71" s="129" t="n">
        <v>0</v>
      </c>
    </row>
    <row r="72">
      <c r="B72" s="49" t="inlineStr">
        <is>
          <t>Devices</t>
        </is>
      </c>
      <c r="D72" s="130" t="n">
        <v>73</v>
      </c>
      <c r="E72" s="131" t="n">
        <v>26</v>
      </c>
      <c r="F72" s="131" t="n">
        <v>17</v>
      </c>
      <c r="G72" s="131" t="n">
        <v>0</v>
      </c>
      <c r="H72" s="132" t="n">
        <v>116</v>
      </c>
      <c r="J72" s="130" t="n">
        <v>69.01858238494688</v>
      </c>
      <c r="K72" s="131" t="n">
        <v>22.70834769763457</v>
      </c>
      <c r="L72" s="131" t="n">
        <v>16.37397393724526</v>
      </c>
      <c r="M72" s="131" t="n">
        <v>0</v>
      </c>
      <c r="N72" s="132" t="n">
        <v>108.1009040198267</v>
      </c>
      <c r="P72" s="130" t="n">
        <v>67.26960684559775</v>
      </c>
      <c r="Q72" s="131" t="n">
        <v>21.24549193093657</v>
      </c>
      <c r="R72" s="131" t="n">
        <v>16.0808141856643</v>
      </c>
      <c r="S72" s="131" t="n">
        <v>0</v>
      </c>
      <c r="T72" s="132" t="n">
        <v>104.5959129621986</v>
      </c>
      <c r="V72" s="130" t="n">
        <v>65.38541881000025</v>
      </c>
      <c r="W72" s="131" t="n">
        <v>19.67051356648309</v>
      </c>
      <c r="X72" s="131" t="n">
        <v>15.81494240849202</v>
      </c>
      <c r="Y72" s="131" t="n">
        <v>0</v>
      </c>
      <c r="Z72" s="132" t="n">
        <v>100.8708747849754</v>
      </c>
    </row>
    <row r="73">
      <c r="B73" s="64" t="inlineStr">
        <is>
          <t>Vaccines</t>
        </is>
      </c>
      <c r="D73" s="130" t="n">
        <v>0</v>
      </c>
      <c r="E73" s="131" t="n">
        <v>0</v>
      </c>
      <c r="F73" s="131" t="n">
        <v>0</v>
      </c>
      <c r="G73" s="131" t="n">
        <v>0</v>
      </c>
      <c r="H73" s="132" t="n">
        <v>0</v>
      </c>
      <c r="J73" s="130" t="n">
        <v>0</v>
      </c>
      <c r="K73" s="131" t="n">
        <v>0</v>
      </c>
      <c r="L73" s="131" t="n">
        <v>0</v>
      </c>
      <c r="M73" s="131" t="n">
        <v>0</v>
      </c>
      <c r="N73" s="132" t="n">
        <v>0</v>
      </c>
      <c r="P73" s="130" t="n">
        <v>0</v>
      </c>
      <c r="Q73" s="131" t="n">
        <v>0</v>
      </c>
      <c r="R73" s="131" t="n">
        <v>0</v>
      </c>
      <c r="S73" s="131" t="n">
        <v>0</v>
      </c>
      <c r="T73" s="132" t="n">
        <v>0</v>
      </c>
      <c r="V73" s="130" t="n">
        <v>0</v>
      </c>
      <c r="W73" s="131" t="n">
        <v>0</v>
      </c>
      <c r="X73" s="131" t="n">
        <v>0</v>
      </c>
      <c r="Y73" s="131" t="n">
        <v>0</v>
      </c>
      <c r="Z73" s="132" t="n">
        <v>0</v>
      </c>
    </row>
    <row r="74">
      <c r="B74" s="64" t="inlineStr">
        <is>
          <t>Repackaged</t>
        </is>
      </c>
      <c r="D74" s="130" t="n">
        <v>152</v>
      </c>
      <c r="E74" s="131" t="n">
        <v>24</v>
      </c>
      <c r="F74" s="131" t="n">
        <v>0</v>
      </c>
      <c r="G74" s="131" t="n">
        <v>0</v>
      </c>
      <c r="H74" s="132" t="n">
        <v>176</v>
      </c>
      <c r="J74" s="130" t="n">
        <v>164.7833881081905</v>
      </c>
      <c r="K74" s="131" t="n">
        <v>20.95725026267809</v>
      </c>
      <c r="L74" s="131" t="n">
        <v>0</v>
      </c>
      <c r="M74" s="131" t="n">
        <v>0</v>
      </c>
      <c r="N74" s="132" t="n">
        <v>185.7406383708686</v>
      </c>
      <c r="P74" s="130" t="n">
        <v>169.5008126353945</v>
      </c>
      <c r="Q74" s="131" t="n">
        <v>19.56966227642805</v>
      </c>
      <c r="R74" s="131" t="n">
        <v>0</v>
      </c>
      <c r="S74" s="131" t="n">
        <v>0</v>
      </c>
      <c r="T74" s="132" t="n">
        <v>189.0704749118225</v>
      </c>
      <c r="V74" s="130" t="n">
        <v>173.5383571587055</v>
      </c>
      <c r="W74" s="131" t="n">
        <v>18.06876143018086</v>
      </c>
      <c r="X74" s="131" t="n">
        <v>0</v>
      </c>
      <c r="Y74" s="131" t="n">
        <v>0</v>
      </c>
      <c r="Z74" s="132" t="n">
        <v>191.6071185888864</v>
      </c>
    </row>
    <row r="75">
      <c r="B75" s="64" t="inlineStr">
        <is>
          <t>MSBs</t>
        </is>
      </c>
      <c r="D75" s="130" t="n">
        <v>0</v>
      </c>
      <c r="E75" s="131" t="n">
        <v>0</v>
      </c>
      <c r="F75" s="131" t="n">
        <v>0</v>
      </c>
      <c r="G75" s="131" t="n">
        <v>0</v>
      </c>
      <c r="H75" s="132" t="n">
        <v>0</v>
      </c>
      <c r="J75" s="130" t="n">
        <v>0</v>
      </c>
      <c r="K75" s="131" t="n">
        <v>0</v>
      </c>
      <c r="L75" s="131" t="n">
        <v>0</v>
      </c>
      <c r="M75" s="131" t="n">
        <v>0</v>
      </c>
      <c r="N75" s="132" t="n">
        <v>0</v>
      </c>
      <c r="P75" s="130" t="n">
        <v>0</v>
      </c>
      <c r="Q75" s="131" t="n">
        <v>0</v>
      </c>
      <c r="R75" s="131" t="n">
        <v>0</v>
      </c>
      <c r="S75" s="131" t="n">
        <v>0</v>
      </c>
      <c r="T75" s="132" t="n">
        <v>0</v>
      </c>
      <c r="V75" s="130" t="n">
        <v>0</v>
      </c>
      <c r="W75" s="131" t="n">
        <v>0</v>
      </c>
      <c r="X75" s="131" t="n">
        <v>0</v>
      </c>
      <c r="Y75" s="131" t="n">
        <v>0</v>
      </c>
      <c r="Z75" s="132" t="n">
        <v>0</v>
      </c>
    </row>
    <row r="76">
      <c r="B76" s="64" t="inlineStr">
        <is>
          <t>Non FDA Approved</t>
        </is>
      </c>
      <c r="D76" s="130" t="n">
        <v>117</v>
      </c>
      <c r="E76" s="131" t="n">
        <v>39</v>
      </c>
      <c r="F76" s="131" t="n">
        <v>11</v>
      </c>
      <c r="G76" s="131" t="n">
        <v>0</v>
      </c>
      <c r="H76" s="132" t="n">
        <v>167</v>
      </c>
      <c r="J76" s="130" t="n">
        <v>122.3822971540443</v>
      </c>
      <c r="K76" s="131" t="n">
        <v>37.7773142495707</v>
      </c>
      <c r="L76" s="131" t="n">
        <v>11.60596537795776</v>
      </c>
      <c r="M76" s="131" t="n">
        <v>0</v>
      </c>
      <c r="N76" s="132" t="n">
        <v>171.7655767815727</v>
      </c>
      <c r="P76" s="130" t="n">
        <v>123.1272380371703</v>
      </c>
      <c r="Q76" s="131" t="n">
        <v>36.51372739275096</v>
      </c>
      <c r="R76" s="131" t="n">
        <v>11.72091330433456</v>
      </c>
      <c r="S76" s="131" t="n">
        <v>0</v>
      </c>
      <c r="T76" s="132" t="n">
        <v>171.3618787342559</v>
      </c>
      <c r="V76" s="130" t="n">
        <v>122.8818745096389</v>
      </c>
      <c r="W76" s="131" t="n">
        <v>34.74240472365685</v>
      </c>
      <c r="X76" s="131" t="n">
        <v>11.79202707057827</v>
      </c>
      <c r="Y76" s="131" t="n">
        <v>0</v>
      </c>
      <c r="Z76" s="132" t="n">
        <v>169.416306303874</v>
      </c>
    </row>
    <row r="77">
      <c r="B77" s="64" t="inlineStr">
        <is>
          <t>LDD</t>
        </is>
      </c>
      <c r="D77" s="130" t="n">
        <v>0</v>
      </c>
      <c r="E77" s="131" t="n">
        <v>0</v>
      </c>
      <c r="F77" s="131" t="n">
        <v>0</v>
      </c>
      <c r="G77" s="131" t="n">
        <v>0</v>
      </c>
      <c r="H77" s="132" t="n">
        <v>0</v>
      </c>
      <c r="J77" s="130" t="n">
        <v>0</v>
      </c>
      <c r="K77" s="131" t="n">
        <v>0</v>
      </c>
      <c r="L77" s="131" t="n">
        <v>0</v>
      </c>
      <c r="M77" s="131" t="n">
        <v>0</v>
      </c>
      <c r="N77" s="132" t="n">
        <v>0</v>
      </c>
      <c r="P77" s="130" t="n">
        <v>0</v>
      </c>
      <c r="Q77" s="131" t="n">
        <v>0</v>
      </c>
      <c r="R77" s="131" t="n">
        <v>0</v>
      </c>
      <c r="S77" s="131" t="n">
        <v>0</v>
      </c>
      <c r="T77" s="132" t="n">
        <v>0</v>
      </c>
      <c r="V77" s="130" t="n">
        <v>0</v>
      </c>
      <c r="W77" s="131" t="n">
        <v>0</v>
      </c>
      <c r="X77" s="131" t="n">
        <v>0</v>
      </c>
      <c r="Y77" s="131" t="n">
        <v>0</v>
      </c>
      <c r="Z77" s="132" t="n">
        <v>0</v>
      </c>
    </row>
    <row r="78">
      <c r="B78" s="64" t="inlineStr">
        <is>
          <t>Institutional NDCs</t>
        </is>
      </c>
      <c r="D78" s="130" t="n">
        <v>0</v>
      </c>
      <c r="E78" s="131" t="n">
        <v>0</v>
      </c>
      <c r="F78" s="131" t="n">
        <v>0</v>
      </c>
      <c r="G78" s="131" t="n">
        <v>0</v>
      </c>
      <c r="H78" s="132" t="n">
        <v>0</v>
      </c>
      <c r="J78" s="130" t="n">
        <v>0</v>
      </c>
      <c r="K78" s="131" t="n">
        <v>0</v>
      </c>
      <c r="L78" s="131" t="n">
        <v>0</v>
      </c>
      <c r="M78" s="131" t="n">
        <v>0</v>
      </c>
      <c r="N78" s="132" t="n">
        <v>0</v>
      </c>
      <c r="P78" s="130" t="n">
        <v>0</v>
      </c>
      <c r="Q78" s="131" t="n">
        <v>0</v>
      </c>
      <c r="R78" s="131" t="n">
        <v>0</v>
      </c>
      <c r="S78" s="131" t="n">
        <v>0</v>
      </c>
      <c r="T78" s="132" t="n">
        <v>0</v>
      </c>
      <c r="V78" s="130" t="n">
        <v>0</v>
      </c>
      <c r="W78" s="131" t="n">
        <v>0</v>
      </c>
      <c r="X78" s="131" t="n">
        <v>0</v>
      </c>
      <c r="Y78" s="131" t="n">
        <v>0</v>
      </c>
      <c r="Z78" s="132" t="n">
        <v>0</v>
      </c>
    </row>
    <row r="79" ht="15" customHeight="1">
      <c r="B79" s="64" t="inlineStr">
        <is>
          <t>Formulary Exclusions</t>
        </is>
      </c>
      <c r="D79" s="130" t="n">
        <v>0</v>
      </c>
      <c r="E79" s="131" t="n">
        <v>0</v>
      </c>
      <c r="F79" s="131" t="n">
        <v>0</v>
      </c>
      <c r="G79" s="131" t="n">
        <v>0</v>
      </c>
      <c r="H79" s="132" t="n">
        <v>0</v>
      </c>
      <c r="J79" s="130" t="n">
        <v>0</v>
      </c>
      <c r="K79" s="131" t="n">
        <v>0</v>
      </c>
      <c r="L79" s="131" t="n">
        <v>0</v>
      </c>
      <c r="M79" s="131" t="n">
        <v>0</v>
      </c>
      <c r="N79" s="132" t="n">
        <v>0</v>
      </c>
      <c r="P79" s="130" t="n">
        <v>0</v>
      </c>
      <c r="Q79" s="131" t="n">
        <v>0</v>
      </c>
      <c r="R79" s="131" t="n">
        <v>0</v>
      </c>
      <c r="S79" s="131" t="n">
        <v>0</v>
      </c>
      <c r="T79" s="132" t="n">
        <v>0</v>
      </c>
      <c r="V79" s="130" t="n">
        <v>0</v>
      </c>
      <c r="W79" s="131" t="n">
        <v>0</v>
      </c>
      <c r="X79" s="131" t="n">
        <v>0</v>
      </c>
      <c r="Y79" s="131" t="n">
        <v>0</v>
      </c>
      <c r="Z79" s="132" t="n">
        <v>0</v>
      </c>
    </row>
    <row r="80">
      <c r="B80" s="64" t="inlineStr">
        <is>
          <t>Synthroid</t>
        </is>
      </c>
      <c r="D80" s="130" t="n">
        <v>0</v>
      </c>
      <c r="E80" s="131" t="n">
        <v>0</v>
      </c>
      <c r="F80" s="131" t="n">
        <v>0</v>
      </c>
      <c r="G80" s="131" t="n">
        <v>0</v>
      </c>
      <c r="H80" s="132" t="n">
        <v>0</v>
      </c>
      <c r="J80" s="130" t="n">
        <v>0</v>
      </c>
      <c r="K80" s="131" t="n">
        <v>0</v>
      </c>
      <c r="L80" s="131" t="n">
        <v>0</v>
      </c>
      <c r="M80" s="131" t="n">
        <v>0</v>
      </c>
      <c r="N80" s="132" t="n">
        <v>0</v>
      </c>
      <c r="P80" s="130" t="n">
        <v>0</v>
      </c>
      <c r="Q80" s="131" t="n">
        <v>0</v>
      </c>
      <c r="R80" s="131" t="n">
        <v>0</v>
      </c>
      <c r="S80" s="131" t="n">
        <v>0</v>
      </c>
      <c r="T80" s="132" t="n">
        <v>0</v>
      </c>
      <c r="V80" s="130" t="n">
        <v>0</v>
      </c>
      <c r="W80" s="131" t="n">
        <v>0</v>
      </c>
      <c r="X80" s="131" t="n">
        <v>0</v>
      </c>
      <c r="Y80" s="131" t="n">
        <v>0</v>
      </c>
      <c r="Z80" s="132" t="n">
        <v>0</v>
      </c>
    </row>
    <row r="81">
      <c r="B81" s="64" t="inlineStr">
        <is>
          <t>Misc</t>
        </is>
      </c>
      <c r="D81" s="130" t="n">
        <v>582</v>
      </c>
      <c r="E81" s="131" t="n">
        <v>110</v>
      </c>
      <c r="F81" s="131" t="n">
        <v>63</v>
      </c>
      <c r="G81" s="131" t="n">
        <v>1762</v>
      </c>
      <c r="H81" s="132" t="n">
        <v>2517</v>
      </c>
      <c r="J81" s="130" t="n">
        <v>989.973014341453</v>
      </c>
      <c r="K81" s="131" t="n">
        <v>145.811543771265</v>
      </c>
      <c r="L81" s="131" t="n">
        <v>189.157341959662</v>
      </c>
      <c r="M81" s="131" t="n">
        <v>1401.038557839927</v>
      </c>
      <c r="N81" s="132" t="n">
        <v>2725.980457912307</v>
      </c>
      <c r="P81" s="130" t="n">
        <v>1019.468935925487</v>
      </c>
      <c r="Q81" s="131" t="n">
        <v>142.2295474412893</v>
      </c>
      <c r="R81" s="131" t="n">
        <v>205.8152764337533</v>
      </c>
      <c r="S81" s="131" t="n">
        <v>1501.955551633306</v>
      </c>
      <c r="T81" s="132" t="n">
        <v>2869.469311433836</v>
      </c>
      <c r="V81" s="130" t="n">
        <v>1049.895692388802</v>
      </c>
      <c r="W81" s="131" t="n">
        <v>137.4499899511355</v>
      </c>
      <c r="X81" s="131" t="n">
        <v>238.5549502791338</v>
      </c>
      <c r="Y81" s="131" t="n">
        <v>1656.838757595253</v>
      </c>
      <c r="Z81" s="132" t="n">
        <v>3082.739390214324</v>
      </c>
    </row>
    <row r="82">
      <c r="B82" s="64" t="inlineStr">
        <is>
          <t>Specialty</t>
        </is>
      </c>
      <c r="D82" s="133" t="n">
        <v>0</v>
      </c>
      <c r="E82" s="134" t="n">
        <v>0</v>
      </c>
      <c r="F82" s="134" t="n">
        <v>0</v>
      </c>
      <c r="G82" s="134" t="n">
        <v>1762</v>
      </c>
      <c r="H82" s="135" t="n">
        <v>1762</v>
      </c>
      <c r="J82" s="133" t="n">
        <v>0</v>
      </c>
      <c r="K82" s="134" t="n">
        <v>0</v>
      </c>
      <c r="L82" s="134" t="n">
        <v>0</v>
      </c>
      <c r="M82" s="134" t="n">
        <v>1401.038557839927</v>
      </c>
      <c r="N82" s="135" t="n">
        <v>1401.038557839927</v>
      </c>
      <c r="P82" s="133" t="n">
        <v>0</v>
      </c>
      <c r="Q82" s="134" t="n">
        <v>0</v>
      </c>
      <c r="R82" s="134" t="n">
        <v>0</v>
      </c>
      <c r="S82" s="134" t="n">
        <v>1501.955551633306</v>
      </c>
      <c r="T82" s="135" t="n">
        <v>1501.955551633306</v>
      </c>
      <c r="V82" s="133" t="n">
        <v>0</v>
      </c>
      <c r="W82" s="134" t="n">
        <v>0</v>
      </c>
      <c r="X82" s="134" t="n">
        <v>0</v>
      </c>
      <c r="Y82" s="134" t="n">
        <v>1656.838757595253</v>
      </c>
      <c r="Z82" s="135" t="n">
        <v>1656.838757595253</v>
      </c>
    </row>
    <row r="83">
      <c r="A83" s="98" t="inlineStr">
        <is>
          <t>Added MFP row but needs adjusting for non-CY</t>
        </is>
      </c>
      <c r="B83" s="64" t="inlineStr">
        <is>
          <t>MFP</t>
        </is>
      </c>
      <c r="D83" s="133" t="n">
        <v>0</v>
      </c>
      <c r="E83" s="134" t="n">
        <v>0</v>
      </c>
      <c r="F83" s="134" t="n">
        <v>0</v>
      </c>
      <c r="G83" s="134" t="n">
        <v>0</v>
      </c>
      <c r="H83" s="135" t="n">
        <v>0</v>
      </c>
      <c r="J83" s="133" t="n">
        <v>0</v>
      </c>
      <c r="K83" s="134" t="n">
        <v>0</v>
      </c>
      <c r="L83" s="134" t="n">
        <v>0</v>
      </c>
      <c r="M83" s="134" t="n">
        <v>0</v>
      </c>
      <c r="N83" s="135" t="n">
        <v>0</v>
      </c>
      <c r="P83" s="133" t="n">
        <v>0</v>
      </c>
      <c r="Q83" s="134" t="n">
        <v>0</v>
      </c>
      <c r="R83" s="134" t="n">
        <v>0</v>
      </c>
      <c r="S83" s="134" t="n">
        <v>0</v>
      </c>
      <c r="T83" s="135" t="n">
        <v>0</v>
      </c>
      <c r="V83" s="133" t="n">
        <v>0</v>
      </c>
      <c r="W83" s="134" t="n">
        <v>0</v>
      </c>
      <c r="X83" s="134" t="n">
        <v>0</v>
      </c>
      <c r="Y83" s="134" t="n">
        <v>0</v>
      </c>
      <c r="Z83" s="135" t="n">
        <v>0</v>
      </c>
    </row>
    <row r="84">
      <c r="B84" s="100">
        <f>$B$66</f>
        <v/>
      </c>
      <c r="D84" s="133" t="n">
        <v>0</v>
      </c>
      <c r="E84" s="134" t="n">
        <v>0</v>
      </c>
      <c r="F84" s="134" t="n">
        <v>0</v>
      </c>
      <c r="G84" s="134" t="n">
        <v>0</v>
      </c>
      <c r="H84" s="135" t="n">
        <v>0</v>
      </c>
      <c r="J84" s="133" t="n">
        <v>0</v>
      </c>
      <c r="K84" s="134" t="n">
        <v>0</v>
      </c>
      <c r="L84" s="134" t="n">
        <v>0</v>
      </c>
      <c r="M84" s="134" t="n">
        <v>0</v>
      </c>
      <c r="N84" s="135" t="n">
        <v>0</v>
      </c>
      <c r="P84" s="133" t="n">
        <v>0</v>
      </c>
      <c r="Q84" s="134" t="n">
        <v>0</v>
      </c>
      <c r="R84" s="134" t="n">
        <v>0</v>
      </c>
      <c r="S84" s="134" t="n">
        <v>0</v>
      </c>
      <c r="T84" s="135" t="n">
        <v>0</v>
      </c>
      <c r="V84" s="133" t="n">
        <v>0</v>
      </c>
      <c r="W84" s="134" t="n">
        <v>0</v>
      </c>
      <c r="X84" s="134" t="n">
        <v>0</v>
      </c>
      <c r="Y84" s="134" t="n">
        <v>0</v>
      </c>
      <c r="Z84" s="135" t="n">
        <v>0</v>
      </c>
    </row>
    <row r="85" ht="15" customHeight="1" thickBot="1">
      <c r="B85" s="59" t="inlineStr">
        <is>
          <t>Non-Rebatable</t>
        </is>
      </c>
      <c r="D85" s="136" t="n">
        <v>0</v>
      </c>
      <c r="E85" s="137" t="n">
        <v>0</v>
      </c>
      <c r="F85" s="137" t="n">
        <v>0</v>
      </c>
      <c r="G85" s="137" t="n">
        <v>0</v>
      </c>
      <c r="H85" s="138" t="n">
        <v>0</v>
      </c>
      <c r="J85" s="139" t="n">
        <v>0</v>
      </c>
      <c r="K85" s="140" t="n">
        <v>0</v>
      </c>
      <c r="L85" s="140" t="n">
        <v>0</v>
      </c>
      <c r="M85" s="140" t="n">
        <v>0</v>
      </c>
      <c r="N85" s="141" t="n">
        <v>0</v>
      </c>
      <c r="P85" s="139" t="n">
        <v>0</v>
      </c>
      <c r="Q85" s="140" t="n">
        <v>0</v>
      </c>
      <c r="R85" s="140" t="n">
        <v>0</v>
      </c>
      <c r="S85" s="140" t="n">
        <v>0</v>
      </c>
      <c r="T85" s="141" t="n">
        <v>0</v>
      </c>
      <c r="V85" s="139" t="n">
        <v>0</v>
      </c>
      <c r="W85" s="140" t="n">
        <v>0</v>
      </c>
      <c r="X85" s="140" t="n">
        <v>0</v>
      </c>
      <c r="Y85" s="140" t="n">
        <v>0</v>
      </c>
      <c r="Z85" s="141" t="n">
        <v>0</v>
      </c>
    </row>
    <row r="86" ht="15.6" customHeight="1" thickBot="1" thickTop="1">
      <c r="B86" s="69" t="inlineStr">
        <is>
          <t>Total</t>
        </is>
      </c>
      <c r="D86" s="142" t="n">
        <v>924</v>
      </c>
      <c r="E86" s="143" t="n">
        <v>199</v>
      </c>
      <c r="F86" s="143" t="n">
        <v>91</v>
      </c>
      <c r="G86" s="143" t="n">
        <v>1762</v>
      </c>
      <c r="H86" s="144" t="n">
        <v>4738</v>
      </c>
      <c r="J86" s="142" t="n">
        <v>1346.157281988635</v>
      </c>
      <c r="K86" s="143" t="n">
        <v>227.2544559811484</v>
      </c>
      <c r="L86" s="143" t="n">
        <v>217.137281274865</v>
      </c>
      <c r="M86" s="143" t="n">
        <v>1401.038557839927</v>
      </c>
      <c r="N86" s="144" t="n">
        <v>4592.626134924503</v>
      </c>
      <c r="P86" s="142" t="n">
        <v>1379.36659344365</v>
      </c>
      <c r="Q86" s="143" t="n">
        <v>219.5584290414048</v>
      </c>
      <c r="R86" s="143" t="n">
        <v>233.6170039237521</v>
      </c>
      <c r="S86" s="143" t="n">
        <v>1501.955551633306</v>
      </c>
      <c r="T86" s="144" t="n">
        <v>4836.453129675419</v>
      </c>
      <c r="V86" s="142" t="n">
        <v>1411.701342867147</v>
      </c>
      <c r="W86" s="143" t="n">
        <v>209.9316696714563</v>
      </c>
      <c r="X86" s="143" t="n">
        <v>266.1619197582041</v>
      </c>
      <c r="Y86" s="143" t="n">
        <v>1656.838757595253</v>
      </c>
      <c r="Z86" s="144" t="n">
        <v>5201.472447487313</v>
      </c>
    </row>
    <row r="87" ht="15" customHeight="1" thickBot="1">
      <c r="D87" s="145" t="n"/>
      <c r="E87" s="145" t="n"/>
      <c r="F87" s="145" t="n"/>
      <c r="G87" s="145" t="n"/>
      <c r="H87" s="145" t="n"/>
      <c r="J87" s="145" t="n"/>
      <c r="K87" s="145" t="n"/>
      <c r="L87" s="145" t="n"/>
      <c r="M87" s="145" t="n"/>
      <c r="N87" s="145" t="n"/>
      <c r="P87" s="145" t="n"/>
      <c r="Q87" s="145" t="n"/>
      <c r="R87" s="145" t="n"/>
      <c r="S87" s="145" t="n"/>
      <c r="T87" s="145" t="n"/>
      <c r="V87" s="145" t="n"/>
      <c r="W87" s="145" t="n"/>
      <c r="X87" s="145" t="n"/>
      <c r="Y87" s="145" t="n"/>
      <c r="Z87" s="145" t="n"/>
    </row>
    <row r="88" ht="15" customHeight="1" thickBot="1">
      <c r="B88" s="27" t="inlineStr">
        <is>
          <t>Excl - Total</t>
        </is>
      </c>
      <c r="D88" s="28" t="inlineStr">
        <is>
          <t>R30</t>
        </is>
      </c>
      <c r="E88" s="29" t="inlineStr">
        <is>
          <t>R90</t>
        </is>
      </c>
      <c r="F88" s="29" t="inlineStr">
        <is>
          <t>Mail</t>
        </is>
      </c>
      <c r="G88" s="29" t="inlineStr">
        <is>
          <t>Specialty</t>
        </is>
      </c>
      <c r="H88" s="30" t="inlineStr">
        <is>
          <t>Total</t>
        </is>
      </c>
      <c r="J88" s="28" t="inlineStr">
        <is>
          <t>R30</t>
        </is>
      </c>
      <c r="K88" s="29" t="inlineStr">
        <is>
          <t>R90</t>
        </is>
      </c>
      <c r="L88" s="29" t="inlineStr">
        <is>
          <t>Mail</t>
        </is>
      </c>
      <c r="M88" s="29" t="inlineStr">
        <is>
          <t>Specialty</t>
        </is>
      </c>
      <c r="N88" s="30" t="inlineStr">
        <is>
          <t>Total</t>
        </is>
      </c>
      <c r="P88" s="28" t="inlineStr">
        <is>
          <t>R30</t>
        </is>
      </c>
      <c r="Q88" s="29" t="inlineStr">
        <is>
          <t>R90</t>
        </is>
      </c>
      <c r="R88" s="29" t="inlineStr">
        <is>
          <t>Mail</t>
        </is>
      </c>
      <c r="S88" s="29" t="inlineStr">
        <is>
          <t>Specialty</t>
        </is>
      </c>
      <c r="T88" s="30" t="inlineStr">
        <is>
          <t>Total</t>
        </is>
      </c>
      <c r="V88" s="28" t="inlineStr">
        <is>
          <t>R30</t>
        </is>
      </c>
      <c r="W88" s="29" t="inlineStr">
        <is>
          <t>R90</t>
        </is>
      </c>
      <c r="X88" s="29" t="inlineStr">
        <is>
          <t>Mail</t>
        </is>
      </c>
      <c r="Y88" s="29" t="inlineStr">
        <is>
          <t>Specialty</t>
        </is>
      </c>
      <c r="Z88" s="30" t="inlineStr">
        <is>
          <t>Total</t>
        </is>
      </c>
    </row>
    <row r="89">
      <c r="B89" s="38" t="inlineStr">
        <is>
          <t>OTCs</t>
        </is>
      </c>
      <c r="D89" s="127" t="n">
        <v>0</v>
      </c>
      <c r="E89" s="128" t="n">
        <v>0</v>
      </c>
      <c r="F89" s="128" t="n">
        <v>0</v>
      </c>
      <c r="G89" s="128" t="n">
        <v>0</v>
      </c>
      <c r="H89" s="129" t="n">
        <v>0</v>
      </c>
      <c r="J89" s="127" t="n">
        <v>0</v>
      </c>
      <c r="K89" s="128" t="n">
        <v>0</v>
      </c>
      <c r="L89" s="128" t="n">
        <v>0</v>
      </c>
      <c r="M89" s="128" t="n">
        <v>0</v>
      </c>
      <c r="N89" s="129" t="n">
        <v>0</v>
      </c>
      <c r="P89" s="127" t="n">
        <v>0</v>
      </c>
      <c r="Q89" s="128" t="n">
        <v>0</v>
      </c>
      <c r="R89" s="128" t="n">
        <v>0</v>
      </c>
      <c r="S89" s="128" t="n">
        <v>0</v>
      </c>
      <c r="T89" s="129" t="n">
        <v>0</v>
      </c>
      <c r="V89" s="127" t="n">
        <v>0</v>
      </c>
      <c r="W89" s="128" t="n">
        <v>0</v>
      </c>
      <c r="X89" s="128" t="n">
        <v>0</v>
      </c>
      <c r="Y89" s="128" t="n">
        <v>0</v>
      </c>
      <c r="Z89" s="129" t="n">
        <v>0</v>
      </c>
    </row>
    <row r="90">
      <c r="B90" s="49" t="inlineStr">
        <is>
          <t>Devices</t>
        </is>
      </c>
      <c r="D90" s="130" t="n">
        <v>19072</v>
      </c>
      <c r="E90" s="131" t="n">
        <v>10343</v>
      </c>
      <c r="F90" s="131" t="n">
        <v>2702</v>
      </c>
      <c r="G90" s="131" t="n">
        <v>0</v>
      </c>
      <c r="H90" s="132" t="n">
        <v>32117</v>
      </c>
      <c r="J90" s="130" t="n">
        <v>20547.29912017629</v>
      </c>
      <c r="K90" s="131" t="n">
        <v>10925.88047912943</v>
      </c>
      <c r="L90" s="131" t="n">
        <v>3117.667613380235</v>
      </c>
      <c r="M90" s="131" t="n">
        <v>0</v>
      </c>
      <c r="N90" s="132" t="n">
        <v>34590.84721268596</v>
      </c>
      <c r="P90" s="130" t="n">
        <v>21730.70092040511</v>
      </c>
      <c r="Q90" s="131" t="n">
        <v>11399.37976868465</v>
      </c>
      <c r="R90" s="131" t="n">
        <v>3439.142351661753</v>
      </c>
      <c r="S90" s="131" t="n">
        <v>0</v>
      </c>
      <c r="T90" s="132" t="n">
        <v>36569.22304075151</v>
      </c>
      <c r="V90" s="130" t="n">
        <v>23395.18963672238</v>
      </c>
      <c r="W90" s="131" t="n">
        <v>12055.76891148182</v>
      </c>
      <c r="X90" s="131" t="n">
        <v>3892.891414950148</v>
      </c>
      <c r="Y90" s="131" t="n">
        <v>0</v>
      </c>
      <c r="Z90" s="132" t="n">
        <v>39343.84996315435</v>
      </c>
    </row>
    <row r="91">
      <c r="B91" s="64" t="inlineStr">
        <is>
          <t>Vaccines</t>
        </is>
      </c>
      <c r="D91" s="130" t="n">
        <v>0</v>
      </c>
      <c r="E91" s="131" t="n">
        <v>0</v>
      </c>
      <c r="F91" s="131" t="n">
        <v>0</v>
      </c>
      <c r="G91" s="131" t="n">
        <v>0</v>
      </c>
      <c r="H91" s="132" t="n">
        <v>0</v>
      </c>
      <c r="J91" s="130" t="n">
        <v>0</v>
      </c>
      <c r="K91" s="131" t="n">
        <v>0</v>
      </c>
      <c r="L91" s="131" t="n">
        <v>0</v>
      </c>
      <c r="M91" s="131" t="n">
        <v>0</v>
      </c>
      <c r="N91" s="132" t="n">
        <v>0</v>
      </c>
      <c r="P91" s="130" t="n">
        <v>0</v>
      </c>
      <c r="Q91" s="131" t="n">
        <v>0</v>
      </c>
      <c r="R91" s="131" t="n">
        <v>0</v>
      </c>
      <c r="S91" s="131" t="n">
        <v>0</v>
      </c>
      <c r="T91" s="132" t="n">
        <v>0</v>
      </c>
      <c r="V91" s="130" t="n">
        <v>0</v>
      </c>
      <c r="W91" s="131" t="n">
        <v>0</v>
      </c>
      <c r="X91" s="131" t="n">
        <v>0</v>
      </c>
      <c r="Y91" s="131" t="n">
        <v>0</v>
      </c>
      <c r="Z91" s="132" t="n">
        <v>0</v>
      </c>
    </row>
    <row r="92">
      <c r="B92" s="64" t="inlineStr">
        <is>
          <t>Repackaged</t>
        </is>
      </c>
      <c r="D92" s="130" t="n">
        <v>152</v>
      </c>
      <c r="E92" s="131" t="n">
        <v>24</v>
      </c>
      <c r="F92" s="131" t="n">
        <v>0</v>
      </c>
      <c r="G92" s="131" t="n">
        <v>0</v>
      </c>
      <c r="H92" s="132" t="n">
        <v>176</v>
      </c>
      <c r="J92" s="130" t="n">
        <v>164.7833881081905</v>
      </c>
      <c r="K92" s="131" t="n">
        <v>20.95725026267809</v>
      </c>
      <c r="L92" s="131" t="n">
        <v>0</v>
      </c>
      <c r="M92" s="131" t="n">
        <v>0</v>
      </c>
      <c r="N92" s="132" t="n">
        <v>185.7406383708686</v>
      </c>
      <c r="P92" s="130" t="n">
        <v>169.5008126353945</v>
      </c>
      <c r="Q92" s="131" t="n">
        <v>19.56966227642805</v>
      </c>
      <c r="R92" s="131" t="n">
        <v>0</v>
      </c>
      <c r="S92" s="131" t="n">
        <v>0</v>
      </c>
      <c r="T92" s="132" t="n">
        <v>189.0704749118225</v>
      </c>
      <c r="V92" s="130" t="n">
        <v>173.5383571587055</v>
      </c>
      <c r="W92" s="131" t="n">
        <v>18.06876143018086</v>
      </c>
      <c r="X92" s="131" t="n">
        <v>0</v>
      </c>
      <c r="Y92" s="131" t="n">
        <v>0</v>
      </c>
      <c r="Z92" s="132" t="n">
        <v>191.6071185888864</v>
      </c>
    </row>
    <row r="93">
      <c r="B93" s="64" t="inlineStr">
        <is>
          <t>MSBs</t>
        </is>
      </c>
      <c r="D93" s="130" t="n">
        <v>0</v>
      </c>
      <c r="E93" s="131" t="n">
        <v>0</v>
      </c>
      <c r="F93" s="131" t="n">
        <v>0</v>
      </c>
      <c r="G93" s="131" t="n">
        <v>0</v>
      </c>
      <c r="H93" s="132" t="n">
        <v>0</v>
      </c>
      <c r="J93" s="130" t="n">
        <v>0</v>
      </c>
      <c r="K93" s="131" t="n">
        <v>0</v>
      </c>
      <c r="L93" s="131" t="n">
        <v>0</v>
      </c>
      <c r="M93" s="131" t="n">
        <v>0</v>
      </c>
      <c r="N93" s="132" t="n">
        <v>0</v>
      </c>
      <c r="P93" s="130" t="n">
        <v>0</v>
      </c>
      <c r="Q93" s="131" t="n">
        <v>0</v>
      </c>
      <c r="R93" s="131" t="n">
        <v>0</v>
      </c>
      <c r="S93" s="131" t="n">
        <v>0</v>
      </c>
      <c r="T93" s="132" t="n">
        <v>0</v>
      </c>
      <c r="V93" s="130" t="n">
        <v>0</v>
      </c>
      <c r="W93" s="131" t="n">
        <v>0</v>
      </c>
      <c r="X93" s="131" t="n">
        <v>0</v>
      </c>
      <c r="Y93" s="131" t="n">
        <v>0</v>
      </c>
      <c r="Z93" s="132" t="n">
        <v>0</v>
      </c>
    </row>
    <row r="94">
      <c r="B94" s="64" t="inlineStr">
        <is>
          <t>Non FDA Approved</t>
        </is>
      </c>
      <c r="D94" s="130" t="n">
        <v>2868</v>
      </c>
      <c r="E94" s="131" t="n">
        <v>1094</v>
      </c>
      <c r="F94" s="131" t="n">
        <v>289</v>
      </c>
      <c r="G94" s="131" t="n">
        <v>0</v>
      </c>
      <c r="H94" s="132" t="n">
        <v>4251</v>
      </c>
      <c r="J94" s="130" t="n">
        <v>2717.018167265442</v>
      </c>
      <c r="K94" s="131" t="n">
        <v>1022.959796220281</v>
      </c>
      <c r="L94" s="131" t="n">
        <v>267.5297157888751</v>
      </c>
      <c r="M94" s="131" t="n">
        <v>0</v>
      </c>
      <c r="N94" s="132" t="n">
        <v>4007.507679274599</v>
      </c>
      <c r="P94" s="130" t="n">
        <v>2647.540383956738</v>
      </c>
      <c r="Q94" s="131" t="n">
        <v>992.0443454756097</v>
      </c>
      <c r="R94" s="131" t="n">
        <v>261.0952552878589</v>
      </c>
      <c r="S94" s="131" t="n">
        <v>0</v>
      </c>
      <c r="T94" s="132" t="n">
        <v>3900.679984720206</v>
      </c>
      <c r="V94" s="130" t="n">
        <v>2572.041063568346</v>
      </c>
      <c r="W94" s="131" t="n">
        <v>958.7679881682462</v>
      </c>
      <c r="X94" s="131" t="n">
        <v>254.137596261045</v>
      </c>
      <c r="Y94" s="131" t="n">
        <v>0</v>
      </c>
      <c r="Z94" s="132" t="n">
        <v>3784.946647997637</v>
      </c>
    </row>
    <row r="95">
      <c r="B95" s="64" t="inlineStr">
        <is>
          <t>LDD</t>
        </is>
      </c>
      <c r="D95" s="130" t="n">
        <v>0</v>
      </c>
      <c r="E95" s="131" t="n">
        <v>0</v>
      </c>
      <c r="F95" s="131" t="n">
        <v>0</v>
      </c>
      <c r="G95" s="131" t="n">
        <v>0</v>
      </c>
      <c r="H95" s="132" t="n">
        <v>0</v>
      </c>
      <c r="J95" s="130" t="n">
        <v>0</v>
      </c>
      <c r="K95" s="131" t="n">
        <v>0</v>
      </c>
      <c r="L95" s="131" t="n">
        <v>0</v>
      </c>
      <c r="M95" s="131" t="n">
        <v>0</v>
      </c>
      <c r="N95" s="132" t="n">
        <v>0</v>
      </c>
      <c r="P95" s="130" t="n">
        <v>0</v>
      </c>
      <c r="Q95" s="131" t="n">
        <v>0</v>
      </c>
      <c r="R95" s="131" t="n">
        <v>0</v>
      </c>
      <c r="S95" s="131" t="n">
        <v>0</v>
      </c>
      <c r="T95" s="132" t="n">
        <v>0</v>
      </c>
      <c r="V95" s="130" t="n">
        <v>0</v>
      </c>
      <c r="W95" s="131" t="n">
        <v>0</v>
      </c>
      <c r="X95" s="131" t="n">
        <v>0</v>
      </c>
      <c r="Y95" s="131" t="n">
        <v>0</v>
      </c>
      <c r="Z95" s="132" t="n">
        <v>0</v>
      </c>
    </row>
    <row r="96">
      <c r="B96" s="64" t="inlineStr">
        <is>
          <t>Institutional NDCs</t>
        </is>
      </c>
      <c r="D96" s="130" t="n">
        <v>0</v>
      </c>
      <c r="E96" s="131" t="n">
        <v>0</v>
      </c>
      <c r="F96" s="131" t="n">
        <v>0</v>
      </c>
      <c r="G96" s="131" t="n">
        <v>0</v>
      </c>
      <c r="H96" s="132" t="n">
        <v>0</v>
      </c>
      <c r="J96" s="130" t="n">
        <v>0</v>
      </c>
      <c r="K96" s="131" t="n">
        <v>0</v>
      </c>
      <c r="L96" s="131" t="n">
        <v>0</v>
      </c>
      <c r="M96" s="131" t="n">
        <v>0</v>
      </c>
      <c r="N96" s="132" t="n">
        <v>0</v>
      </c>
      <c r="P96" s="130" t="n">
        <v>0</v>
      </c>
      <c r="Q96" s="131" t="n">
        <v>0</v>
      </c>
      <c r="R96" s="131" t="n">
        <v>0</v>
      </c>
      <c r="S96" s="131" t="n">
        <v>0</v>
      </c>
      <c r="T96" s="132" t="n">
        <v>0</v>
      </c>
      <c r="V96" s="130" t="n">
        <v>0</v>
      </c>
      <c r="W96" s="131" t="n">
        <v>0</v>
      </c>
      <c r="X96" s="131" t="n">
        <v>0</v>
      </c>
      <c r="Y96" s="131" t="n">
        <v>0</v>
      </c>
      <c r="Z96" s="132" t="n">
        <v>0</v>
      </c>
    </row>
    <row r="97">
      <c r="B97" s="64" t="inlineStr">
        <is>
          <t>Formulary Exclusions</t>
        </is>
      </c>
      <c r="D97" s="130" t="n">
        <v>0</v>
      </c>
      <c r="E97" s="131" t="n">
        <v>0</v>
      </c>
      <c r="F97" s="131" t="n">
        <v>0</v>
      </c>
      <c r="G97" s="131" t="n">
        <v>0</v>
      </c>
      <c r="H97" s="132" t="n">
        <v>0</v>
      </c>
      <c r="J97" s="130" t="n">
        <v>0</v>
      </c>
      <c r="K97" s="131" t="n">
        <v>0</v>
      </c>
      <c r="L97" s="131" t="n">
        <v>0</v>
      </c>
      <c r="M97" s="131" t="n">
        <v>0</v>
      </c>
      <c r="N97" s="132" t="n">
        <v>0</v>
      </c>
      <c r="P97" s="130" t="n">
        <v>0</v>
      </c>
      <c r="Q97" s="131" t="n">
        <v>0</v>
      </c>
      <c r="R97" s="131" t="n">
        <v>0</v>
      </c>
      <c r="S97" s="131" t="n">
        <v>0</v>
      </c>
      <c r="T97" s="132" t="n">
        <v>0</v>
      </c>
      <c r="V97" s="130" t="n">
        <v>0</v>
      </c>
      <c r="W97" s="131" t="n">
        <v>0</v>
      </c>
      <c r="X97" s="131" t="n">
        <v>0</v>
      </c>
      <c r="Y97" s="131" t="n">
        <v>0</v>
      </c>
      <c r="Z97" s="132" t="n">
        <v>0</v>
      </c>
    </row>
    <row r="98">
      <c r="B98" s="64" t="inlineStr">
        <is>
          <t>Synthroid</t>
        </is>
      </c>
      <c r="D98" s="130" t="n">
        <v>207</v>
      </c>
      <c r="E98" s="131" t="n">
        <v>123</v>
      </c>
      <c r="F98" s="131" t="n">
        <v>20</v>
      </c>
      <c r="G98" s="131" t="n">
        <v>0</v>
      </c>
      <c r="H98" s="132" t="n">
        <v>350</v>
      </c>
      <c r="J98" s="130" t="n">
        <v>54.4696088644549</v>
      </c>
      <c r="K98" s="131" t="n">
        <v>32.36359794898544</v>
      </c>
      <c r="L98" s="131" t="n">
        <v>5.262829051296938</v>
      </c>
      <c r="M98" s="131" t="n">
        <v>0</v>
      </c>
      <c r="N98" s="132" t="n">
        <v>92.09603586473727</v>
      </c>
      <c r="P98" s="130" t="n">
        <v>52.77809362185538</v>
      </c>
      <c r="Q98" s="131" t="n">
        <v>31.3575465869679</v>
      </c>
      <c r="R98" s="131" t="n">
        <v>5.099435374751683</v>
      </c>
      <c r="S98" s="131" t="n">
        <v>0</v>
      </c>
      <c r="T98" s="132" t="n">
        <v>89.23507558357497</v>
      </c>
      <c r="V98" s="130" t="n">
        <v>50.98411491443656</v>
      </c>
      <c r="W98" s="131" t="n">
        <v>30.29072691069982</v>
      </c>
      <c r="X98" s="131" t="n">
        <v>4.926206273947774</v>
      </c>
      <c r="Y98" s="131" t="n">
        <v>0</v>
      </c>
      <c r="Z98" s="132" t="n">
        <v>86.20104809908415</v>
      </c>
    </row>
    <row r="99">
      <c r="B99" s="64" t="inlineStr">
        <is>
          <t>Misc</t>
        </is>
      </c>
      <c r="D99" s="130" t="n">
        <v>5188</v>
      </c>
      <c r="E99" s="131" t="n">
        <v>1433</v>
      </c>
      <c r="F99" s="131" t="n">
        <v>806</v>
      </c>
      <c r="G99" s="131" t="n">
        <v>10514</v>
      </c>
      <c r="H99" s="132" t="n">
        <v>17941</v>
      </c>
      <c r="J99" s="130" t="n">
        <v>7730.463566841761</v>
      </c>
      <c r="K99" s="131" t="n">
        <v>1870.556057572343</v>
      </c>
      <c r="L99" s="131" t="n">
        <v>1012.081149665641</v>
      </c>
      <c r="M99" s="131" t="n">
        <v>12720.84669002336</v>
      </c>
      <c r="N99" s="132" t="n">
        <v>23333.9474641031</v>
      </c>
      <c r="P99" s="130" t="n">
        <v>8104.74116198187</v>
      </c>
      <c r="Q99" s="131" t="n">
        <v>1933.712760458116</v>
      </c>
      <c r="R99" s="131" t="n">
        <v>1050.841937537911</v>
      </c>
      <c r="S99" s="131" t="n">
        <v>14213.51337493969</v>
      </c>
      <c r="T99" s="132" t="n">
        <v>25302.80923491759</v>
      </c>
      <c r="V99" s="130" t="n">
        <v>8501.677677232994</v>
      </c>
      <c r="W99" s="131" t="n">
        <v>2008.963237156753</v>
      </c>
      <c r="X99" s="131" t="n">
        <v>1092.107879341357</v>
      </c>
      <c r="Y99" s="131" t="n">
        <v>15855.13226131755</v>
      </c>
      <c r="Z99" s="132" t="n">
        <v>27457.88105504866</v>
      </c>
    </row>
    <row r="100">
      <c r="B100" s="64" t="inlineStr">
        <is>
          <t>Specialty</t>
        </is>
      </c>
      <c r="D100" s="133" t="n">
        <v>0</v>
      </c>
      <c r="E100" s="134" t="n">
        <v>0</v>
      </c>
      <c r="F100" s="134" t="n">
        <v>0</v>
      </c>
      <c r="G100" s="134" t="n">
        <v>10514</v>
      </c>
      <c r="H100" s="135" t="n">
        <v>10514</v>
      </c>
      <c r="J100" s="133" t="n">
        <v>0</v>
      </c>
      <c r="K100" s="134" t="n">
        <v>0</v>
      </c>
      <c r="L100" s="134" t="n">
        <v>0</v>
      </c>
      <c r="M100" s="134" t="n">
        <v>12360.48518730818</v>
      </c>
      <c r="N100" s="135" t="n">
        <v>12360.48518730818</v>
      </c>
      <c r="P100" s="133" t="n">
        <v>0</v>
      </c>
      <c r="Q100" s="134" t="n">
        <v>0</v>
      </c>
      <c r="R100" s="134" t="n">
        <v>0</v>
      </c>
      <c r="S100" s="134" t="n">
        <v>13822.16573952697</v>
      </c>
      <c r="T100" s="135" t="n">
        <v>13822.16573952697</v>
      </c>
      <c r="V100" s="133" t="n">
        <v>0</v>
      </c>
      <c r="W100" s="134" t="n">
        <v>0</v>
      </c>
      <c r="X100" s="134" t="n">
        <v>0</v>
      </c>
      <c r="Y100" s="134" t="n">
        <v>15430.90160388177</v>
      </c>
      <c r="Z100" s="135" t="n">
        <v>15430.90160388177</v>
      </c>
    </row>
    <row r="101">
      <c r="A101" s="98" t="inlineStr">
        <is>
          <t>Added MFP row but needs adjusting for non-CY</t>
        </is>
      </c>
      <c r="B101" s="64" t="inlineStr">
        <is>
          <t>MFP</t>
        </is>
      </c>
      <c r="D101" s="133" t="n">
        <v>0</v>
      </c>
      <c r="E101" s="134" t="n">
        <v>0</v>
      </c>
      <c r="F101" s="134" t="n">
        <v>0</v>
      </c>
      <c r="G101" s="134" t="n">
        <v>0</v>
      </c>
      <c r="H101" s="135" t="n">
        <v>0</v>
      </c>
      <c r="J101" s="133" t="n">
        <v>0</v>
      </c>
      <c r="K101" s="134" t="n">
        <v>0</v>
      </c>
      <c r="L101" s="134" t="n">
        <v>0</v>
      </c>
      <c r="M101" s="134" t="n">
        <v>0</v>
      </c>
      <c r="N101" s="135" t="n">
        <v>0</v>
      </c>
      <c r="P101" s="133" t="n">
        <v>0</v>
      </c>
      <c r="Q101" s="134" t="n">
        <v>0</v>
      </c>
      <c r="R101" s="134" t="n">
        <v>0</v>
      </c>
      <c r="S101" s="134" t="n">
        <v>0</v>
      </c>
      <c r="T101" s="135" t="n">
        <v>0</v>
      </c>
      <c r="V101" s="133" t="n">
        <v>0</v>
      </c>
      <c r="W101" s="134" t="n">
        <v>0</v>
      </c>
      <c r="X101" s="134" t="n">
        <v>0</v>
      </c>
      <c r="Y101" s="134" t="n">
        <v>0</v>
      </c>
      <c r="Z101" s="135" t="n">
        <v>0</v>
      </c>
    </row>
    <row r="102">
      <c r="B102" s="100">
        <f>$B$66</f>
        <v/>
      </c>
      <c r="D102" s="133" t="n">
        <v>0</v>
      </c>
      <c r="E102" s="134" t="n">
        <v>0</v>
      </c>
      <c r="F102" s="134" t="n">
        <v>0</v>
      </c>
      <c r="G102" s="134" t="n">
        <v>0</v>
      </c>
      <c r="H102" s="135" t="n">
        <v>0</v>
      </c>
      <c r="J102" s="133" t="n">
        <v>0</v>
      </c>
      <c r="K102" s="134" t="n">
        <v>0</v>
      </c>
      <c r="L102" s="134" t="n">
        <v>0</v>
      </c>
      <c r="M102" s="134" t="n">
        <v>0</v>
      </c>
      <c r="N102" s="135" t="n">
        <v>0</v>
      </c>
      <c r="P102" s="133" t="n">
        <v>0</v>
      </c>
      <c r="Q102" s="134" t="n">
        <v>0</v>
      </c>
      <c r="R102" s="134" t="n">
        <v>0</v>
      </c>
      <c r="S102" s="134" t="n">
        <v>0</v>
      </c>
      <c r="T102" s="135" t="n">
        <v>0</v>
      </c>
      <c r="V102" s="133" t="n">
        <v>0</v>
      </c>
      <c r="W102" s="134" t="n">
        <v>0</v>
      </c>
      <c r="X102" s="134" t="n">
        <v>0</v>
      </c>
      <c r="Y102" s="134" t="n">
        <v>0</v>
      </c>
      <c r="Z102" s="135" t="n">
        <v>0</v>
      </c>
    </row>
    <row r="103" ht="15" customHeight="1" thickBot="1">
      <c r="B103" s="59" t="inlineStr">
        <is>
          <t>Non-Rebatable</t>
        </is>
      </c>
      <c r="D103" s="136" t="n">
        <v>0</v>
      </c>
      <c r="E103" s="137" t="n">
        <v>0</v>
      </c>
      <c r="F103" s="137" t="n">
        <v>0</v>
      </c>
      <c r="G103" s="137" t="n">
        <v>0</v>
      </c>
      <c r="H103" s="138" t="n">
        <v>0</v>
      </c>
      <c r="J103" s="139" t="n">
        <v>0</v>
      </c>
      <c r="K103" s="140" t="n">
        <v>0</v>
      </c>
      <c r="L103" s="140" t="n">
        <v>0</v>
      </c>
      <c r="M103" s="140" t="n">
        <v>0</v>
      </c>
      <c r="N103" s="141" t="n">
        <v>0</v>
      </c>
      <c r="P103" s="139" t="n">
        <v>0</v>
      </c>
      <c r="Q103" s="140" t="n">
        <v>0</v>
      </c>
      <c r="R103" s="140" t="n">
        <v>0</v>
      </c>
      <c r="S103" s="140" t="n">
        <v>0</v>
      </c>
      <c r="T103" s="141" t="n">
        <v>0</v>
      </c>
      <c r="V103" s="139" t="n">
        <v>0</v>
      </c>
      <c r="W103" s="140" t="n">
        <v>0</v>
      </c>
      <c r="X103" s="140" t="n">
        <v>0</v>
      </c>
      <c r="Y103" s="140" t="n">
        <v>0</v>
      </c>
      <c r="Z103" s="141" t="n">
        <v>0</v>
      </c>
    </row>
    <row r="104" ht="15.6" customHeight="1" thickBot="1" thickTop="1">
      <c r="B104" s="69" t="inlineStr">
        <is>
          <t>Total</t>
        </is>
      </c>
      <c r="D104" s="142" t="n">
        <v>27487</v>
      </c>
      <c r="E104" s="143" t="n">
        <v>13017</v>
      </c>
      <c r="F104" s="143" t="n">
        <v>3817</v>
      </c>
      <c r="G104" s="143" t="n">
        <v>10514</v>
      </c>
      <c r="H104" s="144" t="n">
        <v>65349</v>
      </c>
      <c r="J104" s="142" t="n">
        <v>31214.03385125614</v>
      </c>
      <c r="K104" s="143" t="n">
        <v>13872.71718113372</v>
      </c>
      <c r="L104" s="143" t="n">
        <v>4402.541307886048</v>
      </c>
      <c r="M104" s="143" t="n">
        <v>12720.84669002336</v>
      </c>
      <c r="N104" s="144" t="n">
        <v>74570.62421760743</v>
      </c>
      <c r="P104" s="142" t="n">
        <v>32705.26137260096</v>
      </c>
      <c r="Q104" s="143" t="n">
        <v>14376.06408348177</v>
      </c>
      <c r="R104" s="143" t="n">
        <v>4756.178979862275</v>
      </c>
      <c r="S104" s="143" t="n">
        <v>14213.51337493969</v>
      </c>
      <c r="T104" s="144" t="n">
        <v>79873.18355041166</v>
      </c>
      <c r="V104" s="142" t="n">
        <v>34693.43084959687</v>
      </c>
      <c r="W104" s="143" t="n">
        <v>15071.8596251477</v>
      </c>
      <c r="X104" s="143" t="n">
        <v>5244.063096826499</v>
      </c>
      <c r="Y104" s="143" t="n">
        <v>15855.13226131755</v>
      </c>
      <c r="Z104" s="144" t="n">
        <v>86295.38743677041</v>
      </c>
    </row>
    <row r="105" ht="30.3" customHeight="1" thickBot="1"/>
    <row r="106" ht="15" customHeight="1" thickBot="1">
      <c r="B106" s="110" t="inlineStr">
        <is>
          <t>Removed Claims</t>
        </is>
      </c>
      <c r="H106" s="111" t="n">
        <v>0</v>
      </c>
    </row>
    <row r="107" ht="15" customHeight="1" thickBot="1"/>
    <row r="108" ht="15" customHeight="1" thickBot="1">
      <c r="B108" s="112" t="inlineStr">
        <is>
          <t>Total</t>
        </is>
      </c>
      <c r="H108" s="113" t="n">
        <v>1587196</v>
      </c>
    </row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/>
    <row r="128"/>
    <row r="129" ht="30.3" customHeight="1"/>
    <row r="130"/>
    <row r="131"/>
    <row r="132"/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 ht="30.3" customHeight="1"/>
    <row r="154">
      <c r="AM154" s="117" t="n"/>
      <c r="AN154" s="117" t="n"/>
    </row>
    <row r="155">
      <c r="AM155" s="117" t="n"/>
      <c r="AN155" s="117" t="n"/>
    </row>
    <row r="156">
      <c r="AM156" s="117" t="n"/>
      <c r="AN156" s="117" t="n"/>
    </row>
    <row r="157">
      <c r="AM157" s="117" t="n"/>
      <c r="AN157" s="117" t="n"/>
    </row>
    <row r="158">
      <c r="AM158" s="117" t="n"/>
      <c r="AN158" s="117" t="n"/>
    </row>
    <row r="159">
      <c r="AM159" s="117" t="n"/>
      <c r="AN159" s="117" t="n"/>
    </row>
    <row r="160">
      <c r="AM160" s="117" t="n"/>
      <c r="AN160" s="117" t="n"/>
    </row>
    <row r="161">
      <c r="AM161" s="117" t="n"/>
      <c r="AN161" s="117" t="n"/>
    </row>
    <row r="162">
      <c r="AM162" s="117" t="n"/>
      <c r="AN162" s="117" t="n"/>
    </row>
    <row r="163">
      <c r="AM163" s="117" t="n"/>
      <c r="AN163" s="117" t="n"/>
    </row>
    <row r="164">
      <c r="AM164" s="117" t="n"/>
      <c r="AN164" s="117" t="n"/>
    </row>
    <row r="165">
      <c r="AM165" s="117" t="n"/>
      <c r="AN165" s="117" t="n"/>
    </row>
    <row r="166">
      <c r="AM166" s="117" t="n"/>
      <c r="AN166" s="117" t="n"/>
    </row>
    <row r="167">
      <c r="AM167" s="117" t="n"/>
      <c r="AN167" s="117" t="n"/>
    </row>
    <row r="168">
      <c r="AM168" s="117" t="n"/>
      <c r="AN168" s="117" t="n"/>
    </row>
    <row r="169">
      <c r="AM169" s="117" t="n"/>
      <c r="AN169" s="117" t="n"/>
    </row>
    <row r="170">
      <c r="AM170" s="117" t="n"/>
      <c r="AN170" s="117" t="n"/>
    </row>
    <row r="171">
      <c r="AM171" s="117" t="n"/>
      <c r="AN171" s="117" t="n"/>
    </row>
    <row r="172">
      <c r="AM172" s="117" t="n"/>
      <c r="AN172" s="117" t="n"/>
    </row>
    <row r="173">
      <c r="AM173" s="117" t="n"/>
      <c r="AN173" s="117" t="n"/>
    </row>
    <row r="174">
      <c r="AM174" s="117" t="n"/>
      <c r="AN174" s="117" t="n"/>
    </row>
    <row r="175">
      <c r="AM175" s="117" t="n"/>
      <c r="AN175" s="117" t="n"/>
    </row>
    <row r="176">
      <c r="AM176" s="117" t="n"/>
      <c r="AN176" s="117" t="n"/>
    </row>
    <row r="177">
      <c r="AM177" s="117" t="n"/>
      <c r="AN177" s="117" t="n"/>
    </row>
    <row r="178">
      <c r="AM178" s="117" t="n"/>
      <c r="AN178" s="117" t="n"/>
    </row>
    <row r="179">
      <c r="AM179" s="117" t="n"/>
      <c r="AN179" s="117" t="n"/>
    </row>
    <row r="180">
      <c r="AM180" s="117" t="n"/>
      <c r="AN180" s="117" t="n"/>
    </row>
    <row r="181">
      <c r="AM181" s="117" t="n"/>
      <c r="AN181" s="117" t="n"/>
    </row>
    <row r="182">
      <c r="AM182" s="117" t="n"/>
      <c r="AN182" s="117" t="n"/>
    </row>
    <row r="183">
      <c r="AM183" s="117" t="n"/>
      <c r="AN183" s="117" t="n"/>
    </row>
    <row r="184">
      <c r="AM184" s="117" t="n"/>
      <c r="AN184" s="117" t="n"/>
    </row>
    <row r="185">
      <c r="AM185" s="117" t="n"/>
      <c r="AN185" s="117" t="n"/>
    </row>
    <row r="186">
      <c r="AM186" s="117" t="n"/>
      <c r="AN186" s="117" t="n"/>
    </row>
    <row r="187">
      <c r="AM187" s="117" t="n"/>
      <c r="AN187" s="117" t="n"/>
    </row>
    <row r="188">
      <c r="AM188" s="117" t="n"/>
      <c r="AN188" s="117" t="n"/>
    </row>
    <row r="189">
      <c r="AM189" s="117" t="n"/>
      <c r="AN189" s="117" t="n"/>
    </row>
    <row r="190">
      <c r="AM190" s="117" t="n"/>
      <c r="AN190" s="117" t="n"/>
    </row>
    <row r="191">
      <c r="AM191" s="117" t="n"/>
      <c r="AN191" s="117" t="n"/>
    </row>
    <row r="192">
      <c r="AM192" s="117" t="n"/>
      <c r="AN192" s="117" t="n"/>
    </row>
    <row r="193">
      <c r="AM193" s="117" t="n"/>
      <c r="AN193" s="117" t="n"/>
    </row>
    <row r="194">
      <c r="AM194" s="117" t="n"/>
      <c r="AN194" s="117" t="n"/>
    </row>
    <row r="195">
      <c r="AM195" s="117" t="n"/>
      <c r="AN195" s="117" t="n"/>
    </row>
    <row r="196">
      <c r="AM196" s="117" t="n"/>
      <c r="AN196" s="117" t="n"/>
    </row>
    <row r="197">
      <c r="AM197" s="117" t="n"/>
      <c r="AN197" s="117" t="n"/>
    </row>
    <row r="198">
      <c r="AM198" s="117" t="n"/>
      <c r="AN198" s="117" t="n"/>
    </row>
    <row r="199">
      <c r="AM199" s="117" t="n"/>
      <c r="AN199" s="117" t="n"/>
    </row>
    <row r="200">
      <c r="AM200" s="117" t="n"/>
      <c r="AN200" s="117" t="n"/>
    </row>
    <row r="201">
      <c r="AM201" s="117" t="n"/>
      <c r="AN201" s="117" t="n"/>
    </row>
    <row r="202">
      <c r="AM202" s="117" t="n"/>
      <c r="AN202" s="117" t="n"/>
    </row>
    <row r="203">
      <c r="AM203" s="117" t="n"/>
      <c r="AN203" s="117" t="n"/>
    </row>
    <row r="204">
      <c r="AM204" s="117" t="n"/>
      <c r="AN204" s="117" t="n"/>
    </row>
    <row r="205">
      <c r="AM205" s="117" t="n"/>
      <c r="AN205" s="117" t="n"/>
    </row>
    <row r="206">
      <c r="AM206" s="117" t="n"/>
      <c r="AN206" s="117" t="n"/>
    </row>
    <row r="207">
      <c r="AM207" s="117" t="n"/>
      <c r="AN207" s="117" t="n"/>
    </row>
    <row r="208">
      <c r="AM208" s="117" t="n"/>
      <c r="AN208" s="117" t="n"/>
    </row>
    <row r="209">
      <c r="AM209" s="117" t="n"/>
      <c r="AN209" s="117" t="n"/>
    </row>
    <row r="210">
      <c r="AM210" s="117" t="n"/>
      <c r="AN210" s="117" t="n"/>
    </row>
    <row r="211">
      <c r="AM211" s="117" t="n"/>
      <c r="AN211" s="117" t="n"/>
    </row>
    <row r="212">
      <c r="AM212" s="117" t="n"/>
      <c r="AN212" s="117" t="n"/>
    </row>
    <row r="213">
      <c r="AM213" s="117" t="n"/>
      <c r="AN213" s="117" t="n"/>
    </row>
    <row r="214">
      <c r="AM214" s="117" t="n"/>
      <c r="AN214" s="117" t="n"/>
    </row>
    <row r="215">
      <c r="AM215" s="117" t="n"/>
      <c r="AN215" s="117" t="n"/>
    </row>
    <row r="216">
      <c r="AM216" s="117" t="n"/>
      <c r="AN216" s="117" t="n"/>
    </row>
    <row r="217">
      <c r="AM217" s="117" t="n"/>
      <c r="AN217" s="117" t="n"/>
    </row>
    <row r="218">
      <c r="AM218" s="117" t="n"/>
      <c r="AN218" s="117" t="n"/>
    </row>
    <row r="219">
      <c r="AM219" s="117" t="n"/>
      <c r="AN219" s="117" t="n"/>
    </row>
    <row r="220">
      <c r="AM220" s="117" t="n"/>
      <c r="AN220" s="117" t="n"/>
    </row>
    <row r="221">
      <c r="AM221" s="117" t="n"/>
      <c r="AN221" s="117" t="n"/>
    </row>
    <row r="222">
      <c r="AM222" s="117" t="n"/>
      <c r="AN222" s="117" t="n"/>
    </row>
    <row r="223">
      <c r="AM223" s="117" t="n"/>
      <c r="AN223" s="117" t="n"/>
    </row>
    <row r="224">
      <c r="AM224" s="117" t="n"/>
      <c r="AN224" s="117" t="n"/>
    </row>
    <row r="225">
      <c r="AM225" s="117" t="n"/>
      <c r="AN225" s="117" t="n"/>
    </row>
    <row r="226">
      <c r="AM226" s="117" t="n"/>
      <c r="AN226" s="117" t="n"/>
    </row>
    <row r="227">
      <c r="AM227" s="117" t="n"/>
      <c r="AN227" s="117" t="n"/>
    </row>
    <row r="228">
      <c r="AM228" s="117" t="n"/>
      <c r="AN228" s="117" t="n"/>
    </row>
    <row r="229">
      <c r="AM229" s="117" t="n"/>
      <c r="AN229" s="117" t="n"/>
    </row>
    <row r="230">
      <c r="AM230" s="117" t="n"/>
      <c r="AN230" s="117" t="n"/>
    </row>
    <row r="231">
      <c r="AM231" s="117" t="n"/>
      <c r="AN231" s="117" t="n"/>
    </row>
    <row r="232">
      <c r="AM232" s="117" t="n"/>
      <c r="AN232" s="117" t="n"/>
    </row>
    <row r="233">
      <c r="AM233" s="117" t="n"/>
      <c r="AN233" s="117" t="n"/>
    </row>
    <row r="234">
      <c r="AM234" s="117" t="n"/>
      <c r="AN234" s="117" t="n"/>
    </row>
    <row r="235">
      <c r="AM235" s="117" t="n"/>
      <c r="AN235" s="117" t="n"/>
    </row>
    <row r="236">
      <c r="AM236" s="117" t="n"/>
      <c r="AN236" s="117" t="n"/>
    </row>
    <row r="237">
      <c r="AM237" s="117" t="n"/>
      <c r="AN237" s="117" t="n"/>
    </row>
    <row r="238">
      <c r="AM238" s="117" t="n"/>
      <c r="AN238" s="117" t="n"/>
    </row>
    <row r="239">
      <c r="AM239" s="117" t="n"/>
      <c r="AN239" s="117" t="n"/>
    </row>
    <row r="240">
      <c r="AM240" s="117" t="n"/>
      <c r="AN240" s="117" t="n"/>
    </row>
    <row r="241">
      <c r="AM241" s="117" t="n"/>
      <c r="AN241" s="117" t="n"/>
    </row>
    <row r="242">
      <c r="AM242" s="117" t="n"/>
      <c r="AN242" s="117" t="n"/>
    </row>
    <row r="243">
      <c r="AM243" s="117" t="n"/>
      <c r="AN243" s="117" t="n"/>
    </row>
    <row r="244">
      <c r="AM244" s="117" t="n"/>
      <c r="AN244" s="117" t="n"/>
    </row>
    <row r="245">
      <c r="AM245" s="117" t="n"/>
      <c r="AN245" s="117" t="n"/>
    </row>
    <row r="246">
      <c r="AM246" s="117" t="n"/>
      <c r="AN246" s="117" t="n"/>
    </row>
    <row r="247">
      <c r="AM247" s="117" t="n"/>
      <c r="AN247" s="117" t="n"/>
    </row>
    <row r="248">
      <c r="AM248" s="117" t="n"/>
      <c r="AN248" s="117" t="n"/>
    </row>
    <row r="249">
      <c r="AM249" s="117" t="n"/>
      <c r="AN249" s="117" t="n"/>
    </row>
    <row r="250">
      <c r="AM250" s="117" t="n"/>
      <c r="AN250" s="117" t="n"/>
    </row>
    <row r="251">
      <c r="AM251" s="117" t="n"/>
      <c r="AN251" s="117" t="n"/>
    </row>
    <row r="252">
      <c r="AM252" s="117" t="n"/>
      <c r="AN252" s="117" t="n"/>
    </row>
    <row r="253">
      <c r="AM253" s="117" t="n"/>
      <c r="AN253" s="117" t="n"/>
    </row>
    <row r="254">
      <c r="AM254" s="117" t="n"/>
      <c r="AN254" s="117" t="n"/>
    </row>
    <row r="255">
      <c r="AM255" s="117" t="n"/>
      <c r="AN255" s="117" t="n"/>
    </row>
    <row r="256">
      <c r="AM256" s="117" t="n"/>
      <c r="AN256" s="117" t="n"/>
    </row>
    <row r="257">
      <c r="AM257" s="117" t="n"/>
      <c r="AN257" s="117" t="n"/>
    </row>
    <row r="258">
      <c r="AM258" s="117" t="n"/>
      <c r="AN258" s="117" t="n"/>
    </row>
    <row r="259">
      <c r="AM259" s="117" t="n"/>
      <c r="AN259" s="117" t="n"/>
    </row>
    <row r="260">
      <c r="AM260" s="117" t="n"/>
      <c r="AN260" s="117" t="n"/>
    </row>
    <row r="261">
      <c r="AM261" s="117" t="n"/>
      <c r="AN261" s="117" t="n"/>
    </row>
    <row r="262">
      <c r="AM262" s="117" t="n"/>
      <c r="AN262" s="117" t="n"/>
    </row>
    <row r="263">
      <c r="AM263" s="117" t="n"/>
      <c r="AN263" s="117" t="n"/>
    </row>
    <row r="264">
      <c r="AM264" s="117" t="n"/>
      <c r="AN264" s="117" t="n"/>
    </row>
    <row r="265">
      <c r="AM265" s="117" t="n"/>
      <c r="AN265" s="117" t="n"/>
    </row>
    <row r="266">
      <c r="AM266" s="117" t="n"/>
      <c r="AN266" s="117" t="n"/>
    </row>
    <row r="267">
      <c r="AM267" s="117" t="n"/>
      <c r="AN267" s="117" t="n"/>
    </row>
    <row r="268">
      <c r="AM268" s="117" t="n"/>
      <c r="AN268" s="117" t="n"/>
    </row>
    <row r="269">
      <c r="AM269" s="117" t="n"/>
      <c r="AN269" s="117" t="n"/>
    </row>
    <row r="270">
      <c r="AM270" s="117" t="n"/>
      <c r="AN270" s="117" t="n"/>
    </row>
    <row r="271">
      <c r="AM271" s="117" t="n"/>
      <c r="AN271" s="117" t="n"/>
    </row>
    <row r="272">
      <c r="AM272" s="117" t="n"/>
      <c r="AN272" s="117" t="n"/>
    </row>
    <row r="273">
      <c r="AM273" s="117" t="n"/>
      <c r="AN273" s="117" t="n"/>
    </row>
    <row r="274">
      <c r="AM274" s="117" t="n"/>
      <c r="AN274" s="117" t="n"/>
    </row>
    <row r="275">
      <c r="AM275" s="117" t="n"/>
      <c r="AN275" s="117" t="n"/>
    </row>
    <row r="276">
      <c r="AM276" s="117" t="n"/>
      <c r="AN276" s="117" t="n"/>
    </row>
    <row r="277">
      <c r="AM277" s="117" t="n"/>
      <c r="AN277" s="117" t="n"/>
    </row>
    <row r="278">
      <c r="AM278" s="117" t="n"/>
      <c r="AN278" s="117" t="n"/>
    </row>
    <row r="279">
      <c r="AM279" s="117" t="n"/>
      <c r="AN279" s="117" t="n"/>
    </row>
    <row r="280">
      <c r="AM280" s="117" t="n"/>
      <c r="AN280" s="117" t="n"/>
    </row>
    <row r="281">
      <c r="AM281" s="117" t="n"/>
      <c r="AN281" s="117" t="n"/>
    </row>
    <row r="282">
      <c r="AM282" s="117" t="n"/>
      <c r="AN282" s="117" t="n"/>
    </row>
    <row r="283">
      <c r="AM283" s="117" t="n"/>
      <c r="AN283" s="117" t="n"/>
    </row>
    <row r="284">
      <c r="AM284" s="117" t="n"/>
      <c r="AN284" s="117" t="n"/>
    </row>
    <row r="285">
      <c r="AM285" s="117" t="n"/>
      <c r="AN285" s="117" t="n"/>
    </row>
    <row r="286">
      <c r="AM286" s="117" t="n"/>
      <c r="AN286" s="117" t="n"/>
    </row>
    <row r="287">
      <c r="AM287" s="117" t="n"/>
      <c r="AN287" s="117" t="n"/>
    </row>
    <row r="288">
      <c r="AM288" s="117" t="n"/>
      <c r="AN288" s="117" t="n"/>
    </row>
    <row r="289">
      <c r="AM289" s="117" t="n"/>
      <c r="AN289" s="117" t="n"/>
    </row>
    <row r="290">
      <c r="AM290" s="117" t="n"/>
      <c r="AN290" s="117" t="n"/>
    </row>
    <row r="291">
      <c r="AM291" s="117" t="n"/>
      <c r="AN291" s="117" t="n"/>
    </row>
    <row r="292">
      <c r="AM292" s="117" t="n"/>
      <c r="AN292" s="117" t="n"/>
    </row>
    <row r="293">
      <c r="AM293" s="117" t="n"/>
      <c r="AN293" s="117" t="n"/>
    </row>
    <row r="294">
      <c r="AM294" s="117" t="n"/>
      <c r="AN294" s="117" t="n"/>
    </row>
    <row r="295">
      <c r="AM295" s="117" t="n"/>
      <c r="AN295" s="117" t="n"/>
    </row>
    <row r="296">
      <c r="AM296" s="117" t="n"/>
      <c r="AN296" s="117" t="n"/>
    </row>
    <row r="297">
      <c r="AM297" s="117" t="n"/>
      <c r="AN297" s="117" t="n"/>
    </row>
    <row r="298">
      <c r="AM298" s="117" t="n"/>
      <c r="AN298" s="117" t="n"/>
    </row>
    <row r="299">
      <c r="AM299" s="117" t="n"/>
      <c r="AN299" s="117" t="n"/>
    </row>
    <row r="300">
      <c r="AM300" s="117" t="n"/>
      <c r="AN300" s="117" t="n"/>
    </row>
    <row r="301">
      <c r="AM301" s="117" t="n"/>
      <c r="AN301" s="117" t="n"/>
    </row>
    <row r="302">
      <c r="AM302" s="117" t="n"/>
      <c r="AN302" s="117" t="n"/>
    </row>
    <row r="303">
      <c r="AM303" s="117" t="n"/>
      <c r="AN303" s="117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Kumar, Nikhil</dc:creator>
  <dcterms:created xsi:type="dcterms:W3CDTF">2026-02-06T09:21:35Z</dcterms:created>
  <dcterms:modified xsi:type="dcterms:W3CDTF">2026-06-05T10:37:29Z</dcterms:modified>
  <cp:lastModifiedBy>Chilukuri, Navyasri</cp:lastModifiedBy>
</cp:coreProperties>
</file>