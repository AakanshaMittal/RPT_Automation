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bookViews>
    <workbookView visibility="visible" minimized="0" showHorizontalScroll="1" showVerticalScroll="1" showSheetTabs="1" xWindow="-108" yWindow="-108" windowWidth="23256" windowHeight="13896" tabRatio="600" firstSheet="0" activeTab="0" autoFilterDateGrouping="1"/>
  </bookViews>
  <sheets>
    <sheet xmlns:r="http://schemas.openxmlformats.org/officeDocument/2006/relationships" name="Detailed_stat_external-2027" sheetId="1" state="visible" r:id="rId1"/>
    <sheet xmlns:r="http://schemas.openxmlformats.org/officeDocument/2006/relationships" name="Detailed_stat_external-2028" sheetId="2" state="visible" r:id="rId2"/>
    <sheet xmlns:r="http://schemas.openxmlformats.org/officeDocument/2006/relationships" name="Detailed_stat_external-2029" sheetId="3" state="visible" r:id="rId3"/>
    <sheet xmlns:r="http://schemas.openxmlformats.org/officeDocument/2006/relationships" name="Detailed_stat_external-2030" sheetId="4" state="visible" r:id="rId4"/>
    <sheet xmlns:r="http://schemas.openxmlformats.org/officeDocument/2006/relationships" name="Detailed_stat_external-2031" sheetId="5" state="visible" r:id="rId5"/>
  </sheets>
  <definedNames/>
  <calcPr calcId="191029" fullCalcOnLoad="1"/>
</workbook>
</file>

<file path=xl/styles.xml><?xml version="1.0" encoding="utf-8"?>
<styleSheet xmlns="http://schemas.openxmlformats.org/spreadsheetml/2006/main">
  <numFmts count="3">
    <numFmt numFmtId="164" formatCode="mm/dd/yy;@"/>
    <numFmt numFmtId="165" formatCode="&quot;$&quot;#,##0_);[Red]\(&quot;$&quot;#,##0\)"/>
    <numFmt numFmtId="166" formatCode="#,##0.0"/>
  </numFmts>
  <fonts count="11">
    <font>
      <name val="Calibri"/>
      <family val="2"/>
      <color theme="1"/>
      <sz val="11"/>
      <scheme val="minor"/>
    </font>
    <font>
      <name val="Calibri"/>
      <family val="2"/>
      <b val="1"/>
      <sz val="14"/>
      <scheme val="minor"/>
    </font>
    <font>
      <name val="Calibri"/>
      <family val="2"/>
      <b val="1"/>
      <color theme="1"/>
      <sz val="11"/>
      <scheme val="minor"/>
    </font>
    <font>
      <name val="Arial"/>
      <family val="2"/>
      <b val="1"/>
      <sz val="11"/>
    </font>
    <font>
      <name val="Arial"/>
      <family val="2"/>
      <sz val="10"/>
    </font>
    <font>
      <name val="Arial"/>
      <family val="2"/>
      <b val="1"/>
      <sz val="10"/>
    </font>
    <font>
      <name val="Calibri"/>
      <family val="2"/>
      <b val="1"/>
      <color theme="0"/>
      <sz val="11"/>
      <scheme val="minor"/>
    </font>
    <font>
      <name val="Calibri"/>
      <family val="2"/>
      <b val="1"/>
      <color rgb="FFC00000"/>
      <sz val="11"/>
      <scheme val="minor"/>
    </font>
    <font>
      <name val="Calibri"/>
      <family val="2"/>
      <b val="1"/>
      <color rgb="FFC00000"/>
      <sz val="11"/>
      <u val="single"/>
      <scheme val="minor"/>
    </font>
    <font>
      <name val="Calibri"/>
      <family val="2"/>
      <color theme="1"/>
      <sz val="11"/>
      <u val="single"/>
      <scheme val="minor"/>
    </font>
    <font>
      <name val="Calibri"/>
      <family val="2"/>
      <color rgb="FFFF0000"/>
      <sz val="11"/>
      <scheme val="minor"/>
    </font>
  </fonts>
  <fills count="10">
    <fill>
      <patternFill/>
    </fill>
    <fill>
      <patternFill patternType="gray125"/>
    </fill>
    <fill>
      <patternFill patternType="solid">
        <fgColor theme="2" tint="-0.249977111117893"/>
        <bgColor indexed="64"/>
      </patternFill>
    </fill>
    <fill>
      <patternFill patternType="solid">
        <fgColor rgb="FFE6D6D9"/>
        <bgColor indexed="64"/>
      </patternFill>
    </fill>
    <fill>
      <patternFill patternType="solid">
        <fgColor theme="0"/>
        <bgColor indexed="64"/>
      </patternFill>
    </fill>
    <fill>
      <patternFill patternType="solid">
        <fgColor rgb="FF5A8696"/>
        <bgColor indexed="64"/>
      </patternFill>
    </fill>
    <fill>
      <patternFill patternType="solid">
        <fgColor theme="9" tint="0.5999938962981048"/>
        <bgColor indexed="64"/>
      </patternFill>
    </fill>
    <fill>
      <patternFill patternType="solid">
        <fgColor rgb="FFFFFF00"/>
        <bgColor indexed="64"/>
      </patternFill>
    </fill>
    <fill>
      <patternFill patternType="solid">
        <fgColor theme="0" tint="-0.1499984740745262"/>
        <bgColor indexed="64"/>
      </patternFill>
    </fill>
    <fill>
      <patternFill patternType="solid">
        <fgColor rgb="FFE0CACE"/>
        <bgColor indexed="64"/>
      </patternFill>
    </fill>
  </fills>
  <borders count="68">
    <border>
      <left/>
      <right/>
      <top/>
      <bottom/>
      <diagonal/>
    </border>
    <border>
      <left style="medium">
        <color theme="9" tint="-0.249946592608417"/>
      </left>
      <right/>
      <top style="medium">
        <color theme="9" tint="-0.249946592608417"/>
      </top>
      <bottom style="medium">
        <color theme="9" tint="-0.249946592608417"/>
      </bottom>
      <diagonal/>
    </border>
    <border>
      <left/>
      <right/>
      <top style="medium">
        <color theme="9" tint="-0.249946592608417"/>
      </top>
      <bottom style="medium">
        <color theme="9" tint="-0.249946592608417"/>
      </bottom>
      <diagonal/>
    </border>
    <border>
      <left/>
      <right style="medium">
        <color theme="9" tint="-0.249946592608417"/>
      </right>
      <top style="medium">
        <color theme="9" tint="-0.249946592608417"/>
      </top>
      <bottom style="medium">
        <color theme="9" tint="-0.249946592608417"/>
      </bottom>
      <diagonal/>
    </border>
    <border>
      <left style="medium">
        <color rgb="FFD45D00"/>
      </left>
      <right style="medium">
        <color rgb="FFFABF8F"/>
      </right>
      <top style="medium">
        <color rgb="FFD45D00"/>
      </top>
      <bottom/>
      <diagonal/>
    </border>
    <border>
      <left style="medium">
        <color rgb="FFD45D00"/>
      </left>
      <right style="medium">
        <color rgb="FFFABF8F"/>
      </right>
      <top style="medium">
        <color rgb="FFD45D00"/>
      </top>
      <bottom style="medium">
        <color rgb="FFFCD5B4"/>
      </bottom>
      <diagonal/>
    </border>
    <border>
      <left style="medium">
        <color rgb="FFD45D00"/>
      </left>
      <right style="medium">
        <color rgb="FFFABF8F"/>
      </right>
      <top/>
      <bottom/>
      <diagonal/>
    </border>
    <border>
      <left style="medium">
        <color rgb="FFD45D00"/>
      </left>
      <right style="medium">
        <color rgb="FFFABF8F"/>
      </right>
      <top/>
      <bottom style="medium">
        <color rgb="FFFABF8F"/>
      </bottom>
      <diagonal/>
    </border>
    <border>
      <left style="medium">
        <color rgb="FFD45D00"/>
      </left>
      <right/>
      <top style="medium">
        <color rgb="FFD45D00"/>
      </top>
      <bottom style="medium">
        <color rgb="FFD45D00"/>
      </bottom>
      <diagonal/>
    </border>
    <border>
      <left/>
      <right/>
      <top style="medium">
        <color rgb="FFD45D00"/>
      </top>
      <bottom style="medium">
        <color rgb="FFD45D00"/>
      </bottom>
      <diagonal/>
    </border>
    <border>
      <left/>
      <right style="medium">
        <color rgb="FFD45D00"/>
      </right>
      <top style="medium">
        <color rgb="FFD45D00"/>
      </top>
      <bottom style="medium">
        <color rgb="FFD45D00"/>
      </bottom>
      <diagonal/>
    </border>
    <border>
      <left style="medium">
        <color theme="9" tint="-0.249946592608417"/>
      </left>
      <right/>
      <top/>
      <bottom style="medium">
        <color rgb="FFD45D00"/>
      </bottom>
      <diagonal/>
    </border>
    <border>
      <left/>
      <right/>
      <top/>
      <bottom style="medium">
        <color rgb="FFD45D00"/>
      </bottom>
      <diagonal/>
    </border>
    <border>
      <left/>
      <right style="medium">
        <color theme="9" tint="-0.249946592608417"/>
      </right>
      <top/>
      <bottom style="medium">
        <color rgb="FFD45D00"/>
      </bottom>
      <diagonal/>
    </border>
    <border>
      <left style="medium">
        <color rgb="FFE87722"/>
      </left>
      <right style="medium">
        <color rgb="FFE87722"/>
      </right>
      <top style="medium">
        <color rgb="FFE87722"/>
      </top>
      <bottom/>
      <diagonal/>
    </border>
    <border>
      <left style="medium">
        <color rgb="FFD45D00"/>
      </left>
      <right style="dotted">
        <color rgb="FFD45D00"/>
      </right>
      <top style="medium">
        <color rgb="FFD45D00"/>
      </top>
      <bottom style="dotted">
        <color rgb="FFD45D00"/>
      </bottom>
      <diagonal/>
    </border>
    <border>
      <left/>
      <right style="dotted">
        <color rgb="FFD45D00"/>
      </right>
      <top style="medium">
        <color rgb="FFD45D00"/>
      </top>
      <bottom style="dotted">
        <color rgb="FFD45D00"/>
      </bottom>
      <diagonal/>
    </border>
    <border>
      <left style="dotted">
        <color rgb="FFD45D00"/>
      </left>
      <right style="dotted">
        <color rgb="FFD45D00"/>
      </right>
      <top style="medium">
        <color rgb="FFD45D00"/>
      </top>
      <bottom style="dotted">
        <color rgb="FFD45D00"/>
      </bottom>
      <diagonal/>
    </border>
    <border>
      <left style="dotted">
        <color rgb="FFD45D00"/>
      </left>
      <right style="medium">
        <color rgb="FFD45D00"/>
      </right>
      <top style="medium">
        <color rgb="FFD45D00"/>
      </top>
      <bottom style="dotted">
        <color rgb="FFD45D00"/>
      </bottom>
      <diagonal/>
    </border>
    <border>
      <left style="medium">
        <color rgb="FFD45D00"/>
      </left>
      <right style="medium">
        <color rgb="FFD45D00"/>
      </right>
      <top style="medium">
        <color rgb="FFD45D00"/>
      </top>
      <bottom/>
      <diagonal/>
    </border>
    <border>
      <left/>
      <right/>
      <top style="medium">
        <color rgb="FFD45D00"/>
      </top>
      <bottom/>
      <diagonal/>
    </border>
    <border>
      <left/>
      <right style="medium">
        <color rgb="FFD45D00"/>
      </right>
      <top style="medium">
        <color rgb="FFD45D00"/>
      </top>
      <bottom/>
      <diagonal/>
    </border>
    <border>
      <left style="medium">
        <color theme="9" tint="-0.249946592608417"/>
      </left>
      <right style="medium">
        <color rgb="FFD45D00"/>
      </right>
      <top style="medium">
        <color rgb="FFD45D00"/>
      </top>
      <bottom/>
      <diagonal/>
    </border>
    <border>
      <left/>
      <right style="medium">
        <color theme="9" tint="-0.249946592608417"/>
      </right>
      <top style="medium">
        <color rgb="FFD45D00"/>
      </top>
      <bottom/>
      <diagonal/>
    </border>
    <border>
      <left style="medium">
        <color rgb="FFE87722"/>
      </left>
      <right style="medium">
        <color rgb="FFE87722"/>
      </right>
      <top style="thin">
        <color theme="0"/>
      </top>
      <bottom style="thin">
        <color theme="0"/>
      </bottom>
      <diagonal/>
    </border>
    <border>
      <left style="medium">
        <color rgb="FFD45D00"/>
      </left>
      <right style="dotted">
        <color rgb="FFD45D00"/>
      </right>
      <top style="dotted">
        <color rgb="FFD45D00"/>
      </top>
      <bottom style="dotted">
        <color rgb="FFD45D00"/>
      </bottom>
      <diagonal/>
    </border>
    <border>
      <left/>
      <right style="dotted">
        <color rgb="FFD45D00"/>
      </right>
      <top style="dotted">
        <color rgb="FFD45D00"/>
      </top>
      <bottom style="dotted">
        <color rgb="FFD45D00"/>
      </bottom>
      <diagonal/>
    </border>
    <border>
      <left style="dotted">
        <color rgb="FFD45D00"/>
      </left>
      <right style="dotted">
        <color rgb="FFD45D00"/>
      </right>
      <top style="dotted">
        <color rgb="FFD45D00"/>
      </top>
      <bottom style="dotted">
        <color rgb="FFD45D00"/>
      </bottom>
      <diagonal/>
    </border>
    <border>
      <left style="dotted">
        <color rgb="FFD45D00"/>
      </left>
      <right style="medium">
        <color rgb="FFD45D00"/>
      </right>
      <top style="dotted">
        <color rgb="FFD45D00"/>
      </top>
      <bottom style="dotted">
        <color rgb="FFD45D00"/>
      </bottom>
      <diagonal/>
    </border>
    <border>
      <left style="medium">
        <color rgb="FFD45D00"/>
      </left>
      <right style="medium">
        <color rgb="FFD45D00"/>
      </right>
      <top/>
      <bottom/>
      <diagonal/>
    </border>
    <border>
      <left/>
      <right style="medium">
        <color rgb="FFD45D00"/>
      </right>
      <top/>
      <bottom/>
      <diagonal/>
    </border>
    <border>
      <left style="medium">
        <color theme="9" tint="-0.249946592608417"/>
      </left>
      <right style="medium">
        <color rgb="FFD45D00"/>
      </right>
      <top/>
      <bottom/>
      <diagonal/>
    </border>
    <border>
      <left/>
      <right style="medium">
        <color theme="9" tint="-0.249946592608417"/>
      </right>
      <top/>
      <bottom/>
      <diagonal/>
    </border>
    <border>
      <left style="medium">
        <color rgb="FFE87722"/>
      </left>
      <right style="medium">
        <color rgb="FFE87722"/>
      </right>
      <top style="thin">
        <color theme="0"/>
      </top>
      <bottom style="double">
        <color theme="0"/>
      </bottom>
      <diagonal/>
    </border>
    <border>
      <left style="medium">
        <color rgb="FFD45D00"/>
      </left>
      <right style="dotted">
        <color rgb="FFD45D00"/>
      </right>
      <top style="dotted">
        <color rgb="FFD45D00"/>
      </top>
      <bottom style="double">
        <color rgb="FFD45D00"/>
      </bottom>
      <diagonal/>
    </border>
    <border>
      <left/>
      <right style="dotted">
        <color rgb="FFD45D00"/>
      </right>
      <top style="dotted">
        <color rgb="FFD45D00"/>
      </top>
      <bottom style="double">
        <color rgb="FFD45D00"/>
      </bottom>
      <diagonal/>
    </border>
    <border>
      <left style="dotted">
        <color rgb="FFD45D00"/>
      </left>
      <right style="dotted">
        <color rgb="FFD45D00"/>
      </right>
      <top style="dotted">
        <color rgb="FFD45D00"/>
      </top>
      <bottom style="double">
        <color rgb="FFD45D00"/>
      </bottom>
      <diagonal/>
    </border>
    <border>
      <left style="dotted">
        <color rgb="FFD45D00"/>
      </left>
      <right style="medium">
        <color rgb="FFD45D00"/>
      </right>
      <top style="dotted">
        <color rgb="FFD45D00"/>
      </top>
      <bottom style="double">
        <color rgb="FFD45D00"/>
      </bottom>
      <diagonal/>
    </border>
    <border>
      <left style="medium">
        <color rgb="FFE87722"/>
      </left>
      <right style="medium">
        <color rgb="FFE87722"/>
      </right>
      <top/>
      <bottom style="thin">
        <color theme="0"/>
      </bottom>
      <diagonal/>
    </border>
    <border>
      <left style="medium">
        <color rgb="FFD45D00"/>
      </left>
      <right style="dotted">
        <color rgb="FFD45D00"/>
      </right>
      <top/>
      <bottom style="dotted">
        <color rgb="FFD45D00"/>
      </bottom>
      <diagonal/>
    </border>
    <border>
      <left/>
      <right style="dotted">
        <color rgb="FFD45D00"/>
      </right>
      <top/>
      <bottom style="dotted">
        <color rgb="FFD45D00"/>
      </bottom>
      <diagonal/>
    </border>
    <border>
      <left style="dotted">
        <color rgb="FFD45D00"/>
      </left>
      <right style="dotted">
        <color rgb="FFD45D00"/>
      </right>
      <top/>
      <bottom style="dotted">
        <color rgb="FFD45D00"/>
      </bottom>
      <diagonal/>
    </border>
    <border>
      <left style="dotted">
        <color rgb="FFD45D00"/>
      </left>
      <right style="medium">
        <color rgb="FFD45D00"/>
      </right>
      <top/>
      <bottom style="dotted">
        <color rgb="FFD45D00"/>
      </bottom>
      <diagonal/>
    </border>
    <border>
      <left style="medium">
        <color rgb="FFE87722"/>
      </left>
      <right style="medium">
        <color rgb="FFE87722"/>
      </right>
      <top/>
      <bottom style="medium">
        <color rgb="FFE87722"/>
      </bottom>
      <diagonal/>
    </border>
    <border>
      <left style="medium">
        <color rgb="FFD45D00"/>
      </left>
      <right style="dotted">
        <color rgb="FFD45D00"/>
      </right>
      <top/>
      <bottom style="medium">
        <color rgb="FFD45D00"/>
      </bottom>
      <diagonal/>
    </border>
    <border>
      <left/>
      <right style="dotted">
        <color rgb="FFD45D00"/>
      </right>
      <top/>
      <bottom style="medium">
        <color rgb="FFD45D00"/>
      </bottom>
      <diagonal/>
    </border>
    <border>
      <left style="dotted">
        <color rgb="FFD45D00"/>
      </left>
      <right style="dotted">
        <color rgb="FFD45D00"/>
      </right>
      <top/>
      <bottom style="medium">
        <color rgb="FFD45D00"/>
      </bottom>
      <diagonal/>
    </border>
    <border>
      <left style="dotted">
        <color rgb="FFD45D00"/>
      </left>
      <right style="medium">
        <color rgb="FFD45D00"/>
      </right>
      <top/>
      <bottom style="medium">
        <color rgb="FFD45D00"/>
      </bottom>
      <diagonal/>
    </border>
    <border>
      <left style="medium">
        <color rgb="FFD45D00"/>
      </left>
      <right style="medium">
        <color rgb="FFD45D00"/>
      </right>
      <top/>
      <bottom style="medium">
        <color rgb="FFD45D00"/>
      </bottom>
      <diagonal/>
    </border>
    <border>
      <left/>
      <right style="medium">
        <color rgb="FFD45D00"/>
      </right>
      <top/>
      <bottom style="medium">
        <color rgb="FFD45D00"/>
      </bottom>
      <diagonal/>
    </border>
    <border>
      <left style="medium">
        <color theme="9" tint="-0.249946592608417"/>
      </left>
      <right style="medium">
        <color rgb="FFD45D00"/>
      </right>
      <top/>
      <bottom style="medium">
        <color theme="9" tint="-0.249946592608417"/>
      </bottom>
      <diagonal/>
    </border>
    <border>
      <left/>
      <right/>
      <top/>
      <bottom style="medium">
        <color theme="9" tint="-0.249946592608417"/>
      </bottom>
      <diagonal/>
    </border>
    <border>
      <left/>
      <right style="medium">
        <color theme="9" tint="-0.249946592608417"/>
      </right>
      <top/>
      <bottom style="medium">
        <color theme="9" tint="-0.249946592608417"/>
      </bottom>
      <diagonal/>
    </border>
    <border>
      <left/>
      <right/>
      <top/>
      <bottom style="double">
        <color rgb="FFD45D00"/>
      </bottom>
      <diagonal/>
    </border>
    <border>
      <left style="medium">
        <color rgb="FFD45D00"/>
      </left>
      <right/>
      <top style="medium">
        <color rgb="FFD45D00"/>
      </top>
      <bottom style="dotted">
        <color rgb="FFD45D00"/>
      </bottom>
      <diagonal/>
    </border>
    <border>
      <left/>
      <right style="medium">
        <color rgb="FFD45D00"/>
      </right>
      <top style="medium">
        <color rgb="FFD45D00"/>
      </top>
      <bottom style="dotted">
        <color rgb="FFD45D00"/>
      </bottom>
      <diagonal/>
    </border>
    <border>
      <left style="medium">
        <color rgb="FFD45D00"/>
      </left>
      <right/>
      <top style="dotted">
        <color rgb="FFD45D00"/>
      </top>
      <bottom style="dotted">
        <color rgb="FFD45D00"/>
      </bottom>
      <diagonal/>
    </border>
    <border>
      <left/>
      <right style="medium">
        <color rgb="FFD45D00"/>
      </right>
      <top style="dotted">
        <color rgb="FFD45D00"/>
      </top>
      <bottom style="dotted">
        <color rgb="FFD45D00"/>
      </bottom>
      <diagonal/>
    </border>
    <border>
      <left style="medium">
        <color rgb="FFD45D00"/>
      </left>
      <right/>
      <top style="dotted">
        <color rgb="FFD45D00"/>
      </top>
      <bottom/>
      <diagonal/>
    </border>
    <border>
      <left style="dotted">
        <color rgb="FFD45D00"/>
      </left>
      <right style="dotted">
        <color rgb="FFD45D00"/>
      </right>
      <top style="dotted">
        <color rgb="FFD45D00"/>
      </top>
      <bottom/>
      <diagonal/>
    </border>
    <border>
      <left/>
      <right style="medium">
        <color rgb="FFD45D00"/>
      </right>
      <top style="dotted">
        <color rgb="FFD45D00"/>
      </top>
      <bottom/>
      <diagonal/>
    </border>
    <border>
      <left style="medium">
        <color rgb="FFE87722"/>
      </left>
      <right style="medium">
        <color rgb="FFE87722"/>
      </right>
      <top/>
      <bottom/>
      <diagonal/>
    </border>
    <border>
      <left style="medium">
        <color rgb="FFD45D00"/>
      </left>
      <right/>
      <top style="dotted">
        <color rgb="FFD45D00"/>
      </top>
      <bottom style="double">
        <color rgb="FFD45D00"/>
      </bottom>
      <diagonal/>
    </border>
    <border>
      <left/>
      <right style="medium">
        <color rgb="FFD45D00"/>
      </right>
      <top style="dotted">
        <color rgb="FFD45D00"/>
      </top>
      <bottom style="double">
        <color rgb="FFD45D00"/>
      </bottom>
      <diagonal/>
    </border>
    <border>
      <left style="medium">
        <color rgb="FFD45D00"/>
      </left>
      <right/>
      <top/>
      <bottom style="medium">
        <color rgb="FFD45D00"/>
      </bottom>
      <diagonal/>
    </border>
    <border>
      <left style="medium">
        <color rgb="FFE87722"/>
      </left>
      <right style="medium">
        <color rgb="FFE87722"/>
      </right>
      <top style="medium">
        <color rgb="FFE87722"/>
      </top>
      <bottom style="medium">
        <color rgb="FFE87722"/>
      </bottom>
      <diagonal/>
    </border>
    <border>
      <left style="medium">
        <color rgb="FFD45D00"/>
      </left>
      <right style="medium">
        <color rgb="FFD45D00"/>
      </right>
      <top style="medium">
        <color rgb="FFD45D00"/>
      </top>
      <bottom style="medium">
        <color rgb="FFD45D00"/>
      </bottom>
      <diagonal/>
    </border>
    <border>
      <left style="medium">
        <color rgb="FFC00000"/>
      </left>
      <right style="medium">
        <color rgb="FFC00000"/>
      </right>
      <top style="medium">
        <color rgb="FFC00000"/>
      </top>
      <bottom style="medium">
        <color rgb="FFC00000"/>
      </bottom>
      <diagonal/>
    </border>
  </borders>
  <cellStyleXfs count="1">
    <xf numFmtId="0" fontId="0" fillId="0" borderId="0"/>
  </cellStyleXfs>
  <cellXfs count="146">
    <xf numFmtId="0" fontId="0" fillId="0" borderId="0" pivotButton="0" quotePrefix="0" xfId="0"/>
    <xf numFmtId="0" fontId="1" fillId="2" borderId="1" applyAlignment="1" pivotButton="0" quotePrefix="0" xfId="0">
      <alignment horizontal="centerContinuous"/>
    </xf>
    <xf numFmtId="0" fontId="1" fillId="2" borderId="2" applyAlignment="1" pivotButton="0" quotePrefix="0" xfId="0">
      <alignment horizontal="centerContinuous"/>
    </xf>
    <xf numFmtId="0" fontId="1" fillId="2" borderId="3" applyAlignment="1" pivotButton="0" quotePrefix="0" xfId="0">
      <alignment horizontal="centerContinuous"/>
    </xf>
    <xf numFmtId="0" fontId="2" fillId="0" borderId="0" applyAlignment="1" pivotButton="0" quotePrefix="0" xfId="0">
      <alignment horizontal="right"/>
    </xf>
    <xf numFmtId="164" fontId="3" fillId="3" borderId="4" pivotButton="0" quotePrefix="0" xfId="0"/>
    <xf numFmtId="0" fontId="3" fillId="3" borderId="5" applyAlignment="1" pivotButton="0" quotePrefix="0" xfId="0">
      <alignment horizontal="center" vertical="center"/>
    </xf>
    <xf numFmtId="164" fontId="3" fillId="3" borderId="6" pivotButton="0" quotePrefix="0" xfId="0"/>
    <xf numFmtId="165" fontId="0" fillId="0" borderId="0" pivotButton="0" quotePrefix="0" xfId="0"/>
    <xf numFmtId="3" fontId="3" fillId="3" borderId="7" pivotButton="0" quotePrefix="0" xfId="0"/>
    <xf numFmtId="0" fontId="0" fillId="4" borderId="0" applyAlignment="1" pivotButton="0" quotePrefix="0" xfId="0">
      <alignment vertical="top"/>
    </xf>
    <xf numFmtId="0" fontId="3" fillId="4" borderId="8" applyAlignment="1" pivotButton="0" quotePrefix="0" xfId="0">
      <alignment horizontal="centerContinuous" vertical="top"/>
    </xf>
    <xf numFmtId="0" fontId="3" fillId="4" borderId="9" applyAlignment="1" pivotButton="0" quotePrefix="0" xfId="0">
      <alignment horizontal="centerContinuous" vertical="top"/>
    </xf>
    <xf numFmtId="0" fontId="0" fillId="4" borderId="9" applyAlignment="1" pivotButton="0" quotePrefix="0" xfId="0">
      <alignment horizontal="centerContinuous" vertical="top"/>
    </xf>
    <xf numFmtId="0" fontId="4" fillId="4" borderId="10" applyAlignment="1" pivotButton="0" quotePrefix="0" xfId="0">
      <alignment horizontal="centerContinuous" vertical="center"/>
    </xf>
    <xf numFmtId="0" fontId="3" fillId="4" borderId="10" applyAlignment="1" pivotButton="0" quotePrefix="0" xfId="0">
      <alignment horizontal="centerContinuous" vertical="top"/>
    </xf>
    <xf numFmtId="0" fontId="3" fillId="4" borderId="0" applyAlignment="1" pivotButton="0" quotePrefix="0" xfId="0">
      <alignment horizontal="centerContinuous" vertical="top"/>
    </xf>
    <xf numFmtId="0" fontId="0" fillId="4" borderId="0" applyAlignment="1" pivotButton="0" quotePrefix="0" xfId="0">
      <alignment horizontal="centerContinuous" vertical="top"/>
    </xf>
    <xf numFmtId="0" fontId="4" fillId="4" borderId="0" applyAlignment="1" pivotButton="0" quotePrefix="0" xfId="0">
      <alignment horizontal="centerContinuous" vertical="center"/>
    </xf>
    <xf numFmtId="0" fontId="3" fillId="4" borderId="0" applyAlignment="1" pivotButton="0" quotePrefix="0" xfId="0">
      <alignment vertical="top"/>
    </xf>
    <xf numFmtId="0" fontId="5" fillId="2" borderId="8" applyAlignment="1" pivotButton="0" quotePrefix="0" xfId="0">
      <alignment horizontal="centerContinuous" vertical="top"/>
    </xf>
    <xf numFmtId="0" fontId="5" fillId="2" borderId="9" applyAlignment="1" pivotButton="0" quotePrefix="0" xfId="0">
      <alignment horizontal="centerContinuous" vertical="top"/>
    </xf>
    <xf numFmtId="0" fontId="5" fillId="2" borderId="10" applyAlignment="1" pivotButton="0" quotePrefix="0" xfId="0">
      <alignment horizontal="centerContinuous" vertical="center"/>
    </xf>
    <xf numFmtId="0" fontId="5" fillId="2" borderId="10" applyAlignment="1" pivotButton="0" quotePrefix="0" xfId="0">
      <alignment horizontal="centerContinuous" vertical="top"/>
    </xf>
    <xf numFmtId="0" fontId="2" fillId="2" borderId="1" applyAlignment="1" pivotButton="0" quotePrefix="0" xfId="0">
      <alignment horizontal="centerContinuous"/>
    </xf>
    <xf numFmtId="0" fontId="2" fillId="2" borderId="2" applyAlignment="1" pivotButton="0" quotePrefix="0" xfId="0">
      <alignment horizontal="centerContinuous"/>
    </xf>
    <xf numFmtId="0" fontId="2" fillId="2" borderId="3" applyAlignment="1" pivotButton="0" quotePrefix="0" xfId="0">
      <alignment horizontal="centerContinuous"/>
    </xf>
    <xf numFmtId="0" fontId="5" fillId="4" borderId="0" applyAlignment="1" pivotButton="0" quotePrefix="0" xfId="0">
      <alignment horizontal="center"/>
    </xf>
    <xf numFmtId="0" fontId="5" fillId="4" borderId="8" applyAlignment="1" pivotButton="0" quotePrefix="0" xfId="0">
      <alignment horizontal="center"/>
    </xf>
    <xf numFmtId="0" fontId="5" fillId="4" borderId="9" applyAlignment="1" pivotButton="0" quotePrefix="0" xfId="0">
      <alignment horizontal="center"/>
    </xf>
    <xf numFmtId="0" fontId="5" fillId="4" borderId="10" applyAlignment="1" pivotButton="0" quotePrefix="0" xfId="0">
      <alignment horizontal="center"/>
    </xf>
    <xf numFmtId="0" fontId="4" fillId="4" borderId="0" applyAlignment="1" pivotButton="0" quotePrefix="0" xfId="0">
      <alignment vertical="center"/>
    </xf>
    <xf numFmtId="0" fontId="5" fillId="4" borderId="8" applyAlignment="1" pivotButton="0" quotePrefix="0" xfId="0">
      <alignment horizontal="center" wrapText="1"/>
    </xf>
    <xf numFmtId="0" fontId="5" fillId="4" borderId="9" applyAlignment="1" pivotButton="0" quotePrefix="0" xfId="0">
      <alignment horizontal="center" wrapText="1"/>
    </xf>
    <xf numFmtId="0" fontId="5" fillId="4" borderId="10" applyAlignment="1" pivotButton="0" quotePrefix="0" xfId="0">
      <alignment horizontal="center" wrapText="1"/>
    </xf>
    <xf numFmtId="0" fontId="5" fillId="4" borderId="11" applyAlignment="1" pivotButton="0" quotePrefix="0" xfId="0">
      <alignment horizontal="center" wrapText="1"/>
    </xf>
    <xf numFmtId="0" fontId="5" fillId="4" borderId="12" applyAlignment="1" pivotButton="0" quotePrefix="0" xfId="0">
      <alignment horizontal="center" wrapText="1"/>
    </xf>
    <xf numFmtId="0" fontId="5" fillId="4" borderId="13" applyAlignment="1" pivotButton="0" quotePrefix="0" xfId="0">
      <alignment horizontal="center" wrapText="1"/>
    </xf>
    <xf numFmtId="0" fontId="6" fillId="5" borderId="14" pivotButton="0" quotePrefix="0" xfId="0"/>
    <xf numFmtId="3" fontId="0" fillId="4" borderId="15" applyAlignment="1" pivotButton="0" quotePrefix="0" xfId="0">
      <alignment vertical="top"/>
    </xf>
    <xf numFmtId="3" fontId="0" fillId="4" borderId="16" applyAlignment="1" pivotButton="0" quotePrefix="0" xfId="0">
      <alignment vertical="top"/>
    </xf>
    <xf numFmtId="166" fontId="0" fillId="4" borderId="17" applyAlignment="1" pivotButton="0" quotePrefix="0" xfId="0">
      <alignment vertical="top"/>
    </xf>
    <xf numFmtId="166" fontId="4" fillId="4" borderId="18" applyAlignment="1" pivotButton="0" quotePrefix="0" xfId="0">
      <alignment vertical="center"/>
    </xf>
    <xf numFmtId="0" fontId="7" fillId="0" borderId="19" applyAlignment="1" pivotButton="0" quotePrefix="0" xfId="0">
      <alignment horizontal="center"/>
    </xf>
    <xf numFmtId="0" fontId="0" fillId="0" borderId="20" pivotButton="0" quotePrefix="0" xfId="0"/>
    <xf numFmtId="165" fontId="0" fillId="4" borderId="20" pivotButton="0" quotePrefix="0" xfId="0"/>
    <xf numFmtId="3" fontId="0" fillId="4" borderId="21" pivotButton="0" quotePrefix="0" xfId="0"/>
    <xf numFmtId="0" fontId="7" fillId="0" borderId="22" applyAlignment="1" pivotButton="0" quotePrefix="0" xfId="0">
      <alignment horizontal="center"/>
    </xf>
    <xf numFmtId="3" fontId="0" fillId="0" borderId="23" pivotButton="0" quotePrefix="0" xfId="0"/>
    <xf numFmtId="0" fontId="6" fillId="5" borderId="24" pivotButton="0" quotePrefix="0" xfId="0"/>
    <xf numFmtId="3" fontId="0" fillId="4" borderId="25" applyAlignment="1" pivotButton="0" quotePrefix="0" xfId="0">
      <alignment vertical="top"/>
    </xf>
    <xf numFmtId="3" fontId="0" fillId="4" borderId="26" applyAlignment="1" pivotButton="0" quotePrefix="0" xfId="0">
      <alignment vertical="top"/>
    </xf>
    <xf numFmtId="166" fontId="0" fillId="4" borderId="27" applyAlignment="1" pivotButton="0" quotePrefix="0" xfId="0">
      <alignment vertical="top"/>
    </xf>
    <xf numFmtId="166" fontId="4" fillId="4" borderId="28" applyAlignment="1" pivotButton="0" quotePrefix="0" xfId="0">
      <alignment vertical="center"/>
    </xf>
    <xf numFmtId="0" fontId="7" fillId="0" borderId="29" applyAlignment="1" pivotButton="0" quotePrefix="0" xfId="0">
      <alignment horizontal="center"/>
    </xf>
    <xf numFmtId="165" fontId="0" fillId="4" borderId="0" pivotButton="0" quotePrefix="0" xfId="0"/>
    <xf numFmtId="3" fontId="0" fillId="4" borderId="30" pivotButton="0" quotePrefix="0" xfId="0"/>
    <xf numFmtId="0" fontId="7" fillId="0" borderId="31" applyAlignment="1" pivotButton="0" quotePrefix="0" xfId="0">
      <alignment horizontal="center"/>
    </xf>
    <xf numFmtId="3" fontId="0" fillId="0" borderId="32" pivotButton="0" quotePrefix="0" xfId="0"/>
    <xf numFmtId="0" fontId="6" fillId="5" borderId="33" pivotButton="0" quotePrefix="0" xfId="0"/>
    <xf numFmtId="3" fontId="0" fillId="4" borderId="34" applyAlignment="1" pivotButton="0" quotePrefix="0" xfId="0">
      <alignment vertical="top"/>
    </xf>
    <xf numFmtId="3" fontId="0" fillId="4" borderId="35" applyAlignment="1" pivotButton="0" quotePrefix="0" xfId="0">
      <alignment vertical="top"/>
    </xf>
    <xf numFmtId="166" fontId="0" fillId="4" borderId="36" applyAlignment="1" pivotButton="0" quotePrefix="0" xfId="0">
      <alignment vertical="top"/>
    </xf>
    <xf numFmtId="166" fontId="4" fillId="4" borderId="37" applyAlignment="1" pivotButton="0" quotePrefix="0" xfId="0">
      <alignment vertical="center"/>
    </xf>
    <xf numFmtId="0" fontId="6" fillId="5" borderId="38" pivotButton="0" quotePrefix="0" xfId="0"/>
    <xf numFmtId="3" fontId="0" fillId="4" borderId="39" applyAlignment="1" pivotButton="0" quotePrefix="0" xfId="0">
      <alignment vertical="top"/>
    </xf>
    <xf numFmtId="3" fontId="0" fillId="4" borderId="40" applyAlignment="1" pivotButton="0" quotePrefix="0" xfId="0">
      <alignment vertical="top"/>
    </xf>
    <xf numFmtId="166" fontId="0" fillId="4" borderId="41" applyAlignment="1" pivotButton="0" quotePrefix="0" xfId="0">
      <alignment vertical="top"/>
    </xf>
    <xf numFmtId="166" fontId="4" fillId="4" borderId="42" applyAlignment="1" pivotButton="0" quotePrefix="0" xfId="0">
      <alignment vertical="center"/>
    </xf>
    <xf numFmtId="0" fontId="6" fillId="5" borderId="43" pivotButton="0" quotePrefix="0" xfId="0"/>
    <xf numFmtId="3" fontId="0" fillId="6" borderId="44" applyAlignment="1" pivotButton="0" quotePrefix="0" xfId="0">
      <alignment vertical="top"/>
    </xf>
    <xf numFmtId="3" fontId="0" fillId="6" borderId="45" applyAlignment="1" pivotButton="0" quotePrefix="0" xfId="0">
      <alignment vertical="top"/>
    </xf>
    <xf numFmtId="166" fontId="0" fillId="6" borderId="46" applyAlignment="1" pivotButton="0" quotePrefix="0" xfId="0">
      <alignment vertical="top"/>
    </xf>
    <xf numFmtId="166" fontId="4" fillId="6" borderId="47" applyAlignment="1" pivotButton="0" quotePrefix="0" xfId="0">
      <alignment vertical="center"/>
    </xf>
    <xf numFmtId="3" fontId="0" fillId="4" borderId="0" applyAlignment="1" pivotButton="0" quotePrefix="0" xfId="0">
      <alignment vertical="top"/>
    </xf>
    <xf numFmtId="166" fontId="0" fillId="4" borderId="0" applyAlignment="1" pivotButton="0" quotePrefix="0" xfId="0">
      <alignment vertical="top"/>
    </xf>
    <xf numFmtId="166" fontId="4" fillId="4" borderId="0" applyAlignment="1" pivotButton="0" quotePrefix="0" xfId="0">
      <alignment vertical="center"/>
    </xf>
    <xf numFmtId="0" fontId="8" fillId="0" borderId="0" pivotButton="0" quotePrefix="0" xfId="0"/>
    <xf numFmtId="0" fontId="9" fillId="0" borderId="0" pivotButton="0" quotePrefix="0" xfId="0"/>
    <xf numFmtId="0" fontId="5" fillId="4" borderId="0" applyAlignment="1" pivotButton="0" quotePrefix="0" xfId="0">
      <alignment horizontal="center" vertical="top"/>
    </xf>
    <xf numFmtId="0" fontId="5" fillId="4" borderId="0" applyAlignment="1" pivotButton="0" quotePrefix="0" xfId="0">
      <alignment horizontal="center" vertical="center"/>
    </xf>
    <xf numFmtId="0" fontId="7" fillId="0" borderId="48" applyAlignment="1" pivotButton="0" quotePrefix="0" xfId="0">
      <alignment horizontal="center"/>
    </xf>
    <xf numFmtId="0" fontId="0" fillId="0" borderId="12" pivotButton="0" quotePrefix="0" xfId="0"/>
    <xf numFmtId="165" fontId="0" fillId="4" borderId="12" pivotButton="0" quotePrefix="0" xfId="0"/>
    <xf numFmtId="3" fontId="0" fillId="4" borderId="49" pivotButton="0" quotePrefix="0" xfId="0"/>
    <xf numFmtId="0" fontId="7" fillId="0" borderId="50" applyAlignment="1" pivotButton="0" quotePrefix="0" xfId="0">
      <alignment horizontal="center"/>
    </xf>
    <xf numFmtId="0" fontId="0" fillId="0" borderId="51" pivotButton="0" quotePrefix="0" xfId="0"/>
    <xf numFmtId="3" fontId="0" fillId="0" borderId="52" pivotButton="0" quotePrefix="0" xfId="0"/>
    <xf numFmtId="0" fontId="0" fillId="0" borderId="53" pivotButton="0" quotePrefix="0" xfId="0"/>
    <xf numFmtId="3" fontId="0" fillId="4" borderId="54" applyAlignment="1" pivotButton="0" quotePrefix="0" xfId="0">
      <alignment vertical="top"/>
    </xf>
    <xf numFmtId="3" fontId="0" fillId="4" borderId="17" applyAlignment="1" pivotButton="0" quotePrefix="0" xfId="0">
      <alignment vertical="top"/>
    </xf>
    <xf numFmtId="3" fontId="0" fillId="4" borderId="55" applyAlignment="1" pivotButton="0" quotePrefix="0" xfId="0">
      <alignment vertical="top"/>
    </xf>
    <xf numFmtId="3" fontId="0" fillId="4" borderId="56" applyAlignment="1" pivotButton="0" quotePrefix="0" xfId="0">
      <alignment vertical="top"/>
    </xf>
    <xf numFmtId="3" fontId="0" fillId="4" borderId="27" applyAlignment="1" pivotButton="0" quotePrefix="0" xfId="0">
      <alignment vertical="top"/>
    </xf>
    <xf numFmtId="3" fontId="0" fillId="4" borderId="57" applyAlignment="1" pivotButton="0" quotePrefix="0" xfId="0">
      <alignment vertical="top"/>
    </xf>
    <xf numFmtId="3" fontId="0" fillId="4" borderId="58" applyAlignment="1" pivotButton="0" quotePrefix="0" xfId="0">
      <alignment vertical="top"/>
    </xf>
    <xf numFmtId="3" fontId="0" fillId="4" borderId="59" applyAlignment="1" pivotButton="0" quotePrefix="0" xfId="0">
      <alignment vertical="top"/>
    </xf>
    <xf numFmtId="3" fontId="0" fillId="4" borderId="60" applyAlignment="1" pivotButton="0" quotePrefix="0" xfId="0">
      <alignment vertical="top"/>
    </xf>
    <xf numFmtId="0" fontId="10" fillId="7" borderId="0" pivotButton="0" quotePrefix="0" xfId="0"/>
    <xf numFmtId="0" fontId="0" fillId="4" borderId="0" pivotButton="0" quotePrefix="0" xfId="0"/>
    <xf numFmtId="0" fontId="6" fillId="5" borderId="61" pivotButton="0" quotePrefix="0" xfId="0"/>
    <xf numFmtId="3" fontId="0" fillId="8" borderId="62" applyAlignment="1" pivotButton="0" quotePrefix="0" xfId="0">
      <alignment horizontal="right" vertical="top"/>
    </xf>
    <xf numFmtId="3" fontId="0" fillId="8" borderId="36" applyAlignment="1" pivotButton="0" quotePrefix="0" xfId="0">
      <alignment horizontal="right" vertical="top"/>
    </xf>
    <xf numFmtId="3" fontId="0" fillId="8" borderId="63" applyAlignment="1" pivotButton="0" quotePrefix="0" xfId="0">
      <alignment horizontal="right" vertical="top"/>
    </xf>
    <xf numFmtId="3" fontId="0" fillId="4" borderId="62" applyAlignment="1" pivotButton="0" quotePrefix="0" xfId="0">
      <alignment vertical="top"/>
    </xf>
    <xf numFmtId="3" fontId="0" fillId="4" borderId="36" applyAlignment="1" pivotButton="0" quotePrefix="0" xfId="0">
      <alignment vertical="top"/>
    </xf>
    <xf numFmtId="3" fontId="0" fillId="4" borderId="63" applyAlignment="1" pivotButton="0" quotePrefix="0" xfId="0">
      <alignment vertical="top"/>
    </xf>
    <xf numFmtId="3" fontId="0" fillId="6" borderId="64" applyAlignment="1" pivotButton="0" quotePrefix="0" xfId="0">
      <alignment vertical="top"/>
    </xf>
    <xf numFmtId="3" fontId="0" fillId="6" borderId="46" applyAlignment="1" pivotButton="0" quotePrefix="0" xfId="0">
      <alignment vertical="top"/>
    </xf>
    <xf numFmtId="3" fontId="0" fillId="6" borderId="49" applyAlignment="1" pivotButton="0" quotePrefix="0" xfId="0">
      <alignment vertical="top"/>
    </xf>
    <xf numFmtId="0" fontId="6" fillId="5" borderId="65" pivotButton="0" quotePrefix="0" xfId="0"/>
    <xf numFmtId="3" fontId="0" fillId="4" borderId="66" applyAlignment="1" pivotButton="0" quotePrefix="0" xfId="0">
      <alignment vertical="top"/>
    </xf>
    <xf numFmtId="0" fontId="5" fillId="9" borderId="65" applyAlignment="1" pivotButton="0" quotePrefix="0" xfId="0">
      <alignment horizontal="center" vertical="top"/>
    </xf>
    <xf numFmtId="3" fontId="0" fillId="9" borderId="67" applyAlignment="1" pivotButton="0" quotePrefix="0" xfId="0">
      <alignment vertical="top"/>
    </xf>
    <xf numFmtId="0" fontId="1" fillId="2" borderId="2" applyAlignment="1" pivotButton="0" quotePrefix="0" xfId="0">
      <alignment horizontal="center" vertical="center"/>
    </xf>
    <xf numFmtId="164" fontId="3" fillId="3" borderId="4" pivotButton="0" quotePrefix="0" xfId="0"/>
    <xf numFmtId="164" fontId="3" fillId="3" borderId="6" pivotButton="0" quotePrefix="0" xfId="0"/>
    <xf numFmtId="165" fontId="0" fillId="0" borderId="0" pivotButton="0" quotePrefix="0" xfId="0"/>
    <xf numFmtId="3" fontId="7" fillId="0" borderId="19" applyAlignment="1" pivotButton="0" quotePrefix="0" xfId="0">
      <alignment horizontal="center"/>
    </xf>
    <xf numFmtId="4" fontId="0" fillId="4" borderId="20" pivotButton="0" quotePrefix="0" xfId="0"/>
    <xf numFmtId="3" fontId="7" fillId="0" borderId="22" applyAlignment="1" pivotButton="0" quotePrefix="0" xfId="0">
      <alignment horizontal="center"/>
    </xf>
    <xf numFmtId="3" fontId="7" fillId="0" borderId="29" applyAlignment="1" pivotButton="0" quotePrefix="0" xfId="0">
      <alignment horizontal="center"/>
    </xf>
    <xf numFmtId="4" fontId="0" fillId="4" borderId="0" pivotButton="0" quotePrefix="0" xfId="0"/>
    <xf numFmtId="3" fontId="7" fillId="0" borderId="31" applyAlignment="1" pivotButton="0" quotePrefix="0" xfId="0">
      <alignment horizontal="center"/>
    </xf>
    <xf numFmtId="3" fontId="7" fillId="0" borderId="48" applyAlignment="1" pivotButton="0" quotePrefix="0" xfId="0">
      <alignment horizontal="center"/>
    </xf>
    <xf numFmtId="4" fontId="0" fillId="4" borderId="12" pivotButton="0" quotePrefix="0" xfId="0"/>
    <xf numFmtId="3" fontId="7" fillId="0" borderId="50" applyAlignment="1" pivotButton="0" quotePrefix="0" xfId="0">
      <alignment horizontal="center"/>
    </xf>
    <xf numFmtId="4" fontId="0" fillId="4" borderId="54" applyAlignment="1" pivotButton="0" quotePrefix="0" xfId="0">
      <alignment vertical="top"/>
    </xf>
    <xf numFmtId="4" fontId="0" fillId="4" borderId="17" applyAlignment="1" pivotButton="0" quotePrefix="0" xfId="0">
      <alignment vertical="top"/>
    </xf>
    <xf numFmtId="4" fontId="0" fillId="4" borderId="55" applyAlignment="1" pivotButton="0" quotePrefix="0" xfId="0">
      <alignment vertical="top"/>
    </xf>
    <xf numFmtId="4" fontId="0" fillId="4" borderId="56" applyAlignment="1" pivotButton="0" quotePrefix="0" xfId="0">
      <alignment vertical="top"/>
    </xf>
    <xf numFmtId="4" fontId="0" fillId="4" borderId="27" applyAlignment="1" pivotButton="0" quotePrefix="0" xfId="0">
      <alignment vertical="top"/>
    </xf>
    <xf numFmtId="4" fontId="0" fillId="4" borderId="57" applyAlignment="1" pivotButton="0" quotePrefix="0" xfId="0">
      <alignment vertical="top"/>
    </xf>
    <xf numFmtId="4" fontId="0" fillId="4" borderId="58" applyAlignment="1" pivotButton="0" quotePrefix="0" xfId="0">
      <alignment vertical="top"/>
    </xf>
    <xf numFmtId="4" fontId="0" fillId="4" borderId="59" applyAlignment="1" pivotButton="0" quotePrefix="0" xfId="0">
      <alignment vertical="top"/>
    </xf>
    <xf numFmtId="4" fontId="0" fillId="4" borderId="60" applyAlignment="1" pivotButton="0" quotePrefix="0" xfId="0">
      <alignment vertical="top"/>
    </xf>
    <xf numFmtId="4" fontId="0" fillId="8" borderId="62" applyAlignment="1" pivotButton="0" quotePrefix="0" xfId="0">
      <alignment horizontal="right" vertical="top"/>
    </xf>
    <xf numFmtId="4" fontId="0" fillId="8" borderId="36" applyAlignment="1" pivotButton="0" quotePrefix="0" xfId="0">
      <alignment horizontal="right" vertical="top"/>
    </xf>
    <xf numFmtId="4" fontId="0" fillId="8" borderId="63" applyAlignment="1" pivotButton="0" quotePrefix="0" xfId="0">
      <alignment horizontal="right" vertical="top"/>
    </xf>
    <xf numFmtId="4" fontId="0" fillId="4" borderId="62" applyAlignment="1" pivotButton="0" quotePrefix="0" xfId="0">
      <alignment vertical="top"/>
    </xf>
    <xf numFmtId="4" fontId="0" fillId="4" borderId="36" applyAlignment="1" pivotButton="0" quotePrefix="0" xfId="0">
      <alignment vertical="top"/>
    </xf>
    <xf numFmtId="4" fontId="0" fillId="4" borderId="63" applyAlignment="1" pivotButton="0" quotePrefix="0" xfId="0">
      <alignment vertical="top"/>
    </xf>
    <xf numFmtId="4" fontId="0" fillId="6" borderId="64" applyAlignment="1" pivotButton="0" quotePrefix="0" xfId="0">
      <alignment vertical="top"/>
    </xf>
    <xf numFmtId="4" fontId="0" fillId="6" borderId="46" applyAlignment="1" pivotButton="0" quotePrefix="0" xfId="0">
      <alignment vertical="top"/>
    </xf>
    <xf numFmtId="4" fontId="0" fillId="6" borderId="49" applyAlignment="1" pivotButton="0" quotePrefix="0" xfId="0">
      <alignment vertical="top"/>
    </xf>
    <xf numFmtId="4" fontId="0" fillId="0" borderId="0" pivotButton="0" quotePrefix="0" xfId="0"/>
  </cellXfs>
  <cellStyles count="1">
    <cellStyle name="Normal" xfId="0" builtinId="0"/>
  </cellStyles>
  <tableStyles count="0" defaultTableStyle="TableStyleMedium2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worksheet" Target="/xl/worksheets/sheet2.xml" Id="rId2"/><Relationship Type="http://schemas.openxmlformats.org/officeDocument/2006/relationships/worksheet" Target="/xl/worksheets/sheet3.xml" Id="rId3"/><Relationship Type="http://schemas.openxmlformats.org/officeDocument/2006/relationships/worksheet" Target="/xl/worksheets/sheet4.xml" Id="rId4"/><Relationship Type="http://schemas.openxmlformats.org/officeDocument/2006/relationships/worksheet" Target="/xl/worksheets/sheet5.xml" Id="rId5"/><Relationship Type="http://schemas.openxmlformats.org/officeDocument/2006/relationships/styles" Target="styles.xml" Id="rId6"/><Relationship Type="http://schemas.openxmlformats.org/officeDocument/2006/relationships/theme" Target="theme/theme1.xml" Id="rId7"/></Relationships>
</file>

<file path=xl/theme/theme1.xml><?xml version="1.0" encoding="utf-8"?>
<a:theme xmlns:a="http://schemas.openxmlformats.org/drawingml/2006/main" name="Office Theme 2007 - 2010">
  <a:themeElements>
    <a:clrScheme name="Office 2007 - 2010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 2007 - 2010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 2007 - 2010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 codeName="wrk_DStats_EX1">
    <outlinePr summaryBelow="1" summaryRight="1"/>
    <pageSetUpPr/>
  </sheetPr>
  <dimension ref="A1:AZ303"/>
  <sheetViews>
    <sheetView showGridLines="0" tabSelected="1" zoomScale="80" zoomScaleNormal="80" workbookViewId="0">
      <pane ySplit="13" topLeftCell="A79" activePane="bottomLeft" state="frozen"/>
      <selection activeCell="H10" sqref="H10"/>
      <selection pane="bottomLeft" activeCell="B101" sqref="B101"/>
    </sheetView>
  </sheetViews>
  <sheetFormatPr baseColWidth="8" defaultColWidth="8.77734375" defaultRowHeight="14.4"/>
  <cols>
    <col width="20.6640625" customWidth="1" min="2" max="2"/>
    <col width="2.6640625" customWidth="1" min="3" max="3"/>
    <col width="15.6640625" customWidth="1" min="4" max="8"/>
    <col width="2.6640625" customWidth="1" min="9" max="9"/>
    <col width="15.6640625" customWidth="1" min="10" max="14"/>
    <col width="2.6640625" customWidth="1" min="15" max="15"/>
    <col width="15.6640625" customWidth="1" min="16" max="20"/>
    <col width="2.6640625" customWidth="1" min="21" max="21"/>
    <col width="15.6640625" customWidth="1" min="22" max="26"/>
    <col width="2.6640625" customWidth="1" min="27" max="27"/>
    <col width="8.6640625" customWidth="1" min="31" max="31"/>
    <col width="37.44140625" customWidth="1" min="32" max="32"/>
    <col width="46.6640625" bestFit="1" customWidth="1" min="33" max="33"/>
    <col width="15.6640625" customWidth="1" min="34" max="35"/>
    <col width="5.6640625" customWidth="1" min="36" max="36"/>
    <col width="8.6640625" customWidth="1" min="37" max="37"/>
    <col width="36.6640625" customWidth="1" min="38" max="38"/>
    <col width="46.6640625" customWidth="1" min="39" max="39"/>
    <col width="15.6640625" customWidth="1" min="40" max="40"/>
    <col width="5.6640625" customWidth="1" min="41" max="41"/>
    <col width="8.6640625" customWidth="1" min="42" max="42"/>
    <col width="30.6640625" customWidth="1" min="43" max="44"/>
    <col width="12.6640625" customWidth="1" min="45" max="47"/>
    <col width="15.6640625" customWidth="1" min="49" max="54"/>
  </cols>
  <sheetData>
    <row r="1" hidden="1"/>
    <row r="2" hidden="1"/>
    <row r="3" hidden="1"/>
    <row r="4" hidden="1"/>
    <row r="5" hidden="1"/>
    <row r="6" hidden="1"/>
    <row r="7" hidden="1"/>
    <row r="8" hidden="1"/>
    <row r="9" hidden="1"/>
    <row r="10" hidden="1"/>
    <row r="11" hidden="1"/>
    <row r="12" hidden="1"/>
    <row r="13" hidden="1"/>
    <row r="14" ht="15" customHeight="1" thickBot="1"/>
    <row r="15" ht="18.6" customHeight="1" thickBot="1">
      <c r="B15" s="1" t="n"/>
      <c r="C15" s="2" t="n"/>
      <c r="D15" s="114" t="inlineStr">
        <is>
          <t>RxAdvance HTA Groups Rebate1 - M003</t>
        </is>
      </c>
      <c r="E15" s="2" t="n"/>
      <c r="F15" s="2" t="n"/>
      <c r="G15" s="2" t="n"/>
      <c r="H15" s="2" t="n"/>
      <c r="I15" s="2" t="n"/>
      <c r="J15" s="2" t="n"/>
      <c r="K15" s="2" t="n"/>
      <c r="L15" s="2" t="n"/>
      <c r="M15" s="2" t="n"/>
      <c r="N15" s="2" t="n"/>
      <c r="O15" s="2" t="n"/>
      <c r="P15" s="2" t="n"/>
      <c r="Q15" s="2" t="n"/>
      <c r="R15" s="2" t="n"/>
      <c r="S15" s="2" t="n"/>
      <c r="T15" s="2" t="n"/>
      <c r="U15" s="2" t="n"/>
      <c r="V15" s="2" t="n"/>
      <c r="W15" s="2" t="n"/>
      <c r="X15" s="2" t="n"/>
      <c r="Y15" s="2" t="n"/>
      <c r="Z15" s="2" t="n"/>
      <c r="AA15" s="2" t="n"/>
      <c r="AB15" s="2" t="n"/>
      <c r="AC15" s="2" t="n"/>
      <c r="AD15" s="2" t="n"/>
      <c r="AE15" s="2" t="n"/>
      <c r="AF15" s="2" t="n"/>
      <c r="AG15" s="2" t="n"/>
      <c r="AH15" s="2" t="n"/>
      <c r="AI15" s="2" t="n"/>
      <c r="AJ15" s="2" t="n"/>
      <c r="AK15" s="2" t="n"/>
      <c r="AL15" s="2" t="n"/>
      <c r="AM15" s="2" t="n"/>
      <c r="AN15" s="3" t="n"/>
    </row>
    <row r="16" ht="15" customHeight="1" thickBot="1"/>
    <row r="17" ht="15" customHeight="1" thickBot="1">
      <c r="B17" s="4" t="n"/>
      <c r="C17" s="4" t="inlineStr">
        <is>
          <t>Start Date:</t>
        </is>
      </c>
      <c r="D17" s="115" t="inlineStr">
        <is>
          <t>01/01/2025</t>
        </is>
      </c>
      <c r="AD17" s="4" t="n"/>
      <c r="AE17" s="4" t="n"/>
      <c r="AF17" s="6" t="n">
        <v>2027</v>
      </c>
    </row>
    <row r="18">
      <c r="B18" s="4" t="n"/>
      <c r="C18" s="4" t="inlineStr">
        <is>
          <t>End Date:</t>
        </is>
      </c>
      <c r="D18" s="116" t="inlineStr">
        <is>
          <t>11/30/2025</t>
        </is>
      </c>
      <c r="AJ18" s="117" t="n"/>
    </row>
    <row r="19" ht="15" customHeight="1" thickBot="1">
      <c r="B19" s="4" t="n"/>
      <c r="C19" s="4" t="inlineStr">
        <is>
          <t>Total Months:</t>
        </is>
      </c>
      <c r="D19" s="9" t="n">
        <v>11</v>
      </c>
    </row>
    <row r="20" ht="15" customHeight="1" thickBot="1"/>
    <row r="21" ht="15" customHeight="1" thickBot="1">
      <c r="B21" s="10" t="n"/>
      <c r="C21" s="10" t="n"/>
      <c r="D21" s="11" t="inlineStr">
        <is>
          <t xml:space="preserve">Base Yr Claims </t>
        </is>
      </c>
      <c r="E21" s="12" t="n"/>
      <c r="F21" s="12" t="n"/>
      <c r="G21" s="13" t="n"/>
      <c r="H21" s="14" t="n"/>
      <c r="AE21" s="11" t="inlineStr">
        <is>
          <t>Forecast based on time period: 2027</t>
        </is>
      </c>
      <c r="AF21" s="12" t="n"/>
      <c r="AG21" s="12" t="n"/>
      <c r="AH21" s="12" t="n"/>
      <c r="AI21" s="12" t="n"/>
      <c r="AJ21" s="12" t="n"/>
      <c r="AK21" s="12" t="n"/>
      <c r="AL21" s="12" t="n"/>
      <c r="AM21" s="15" t="n"/>
      <c r="AN21" s="15" t="n"/>
    </row>
    <row r="22" ht="15" customHeight="1" thickBot="1">
      <c r="B22" s="10" t="n"/>
      <c r="C22" s="10" t="n"/>
      <c r="D22" s="16" t="n"/>
      <c r="E22" s="16" t="n"/>
      <c r="F22" s="16" t="n"/>
      <c r="G22" s="17" t="n"/>
      <c r="H22" s="18" t="n"/>
    </row>
    <row r="23" ht="15" customHeight="1" thickBot="1">
      <c r="B23" s="19" t="n"/>
      <c r="C23" s="10" t="n"/>
      <c r="D23" s="20" t="inlineStr">
        <is>
          <t>w Exclusions</t>
        </is>
      </c>
      <c r="E23" s="21" t="n"/>
      <c r="F23" s="21" t="n"/>
      <c r="G23" s="21" t="n"/>
      <c r="H23" s="22" t="n"/>
      <c r="AE23" s="20" t="inlineStr">
        <is>
          <t>Overall - Rebatable</t>
        </is>
      </c>
      <c r="AF23" s="21" t="n"/>
      <c r="AG23" s="21" t="n"/>
      <c r="AH23" s="23" t="n"/>
      <c r="AI23" s="23" t="n"/>
      <c r="AK23" s="24" t="inlineStr">
        <is>
          <t>Overall - Non Rebatable (Brand Only)</t>
        </is>
      </c>
      <c r="AL23" s="25" t="n"/>
      <c r="AM23" s="25" t="n"/>
      <c r="AN23" s="26" t="n"/>
    </row>
    <row r="24" ht="30.3" customHeight="1" thickBot="1">
      <c r="B24" s="27" t="inlineStr">
        <is>
          <t>Brand</t>
        </is>
      </c>
      <c r="C24" s="10" t="n"/>
      <c r="D24" s="28" t="inlineStr">
        <is>
          <t>Rx Count</t>
        </is>
      </c>
      <c r="E24" s="29" t="inlineStr">
        <is>
          <t>Quantity</t>
        </is>
      </c>
      <c r="F24" s="29" t="inlineStr">
        <is>
          <t>Days Supply</t>
        </is>
      </c>
      <c r="G24" s="29" t="inlineStr">
        <is>
          <t>Avg Qnty</t>
        </is>
      </c>
      <c r="H24" s="30" t="inlineStr">
        <is>
          <t>Avg DS</t>
        </is>
      </c>
      <c r="I24" s="31" t="n"/>
      <c r="J24" s="31" t="n"/>
      <c r="K24" s="31" t="n"/>
      <c r="L24" s="31" t="n"/>
      <c r="M24" s="31" t="n"/>
      <c r="N24" s="31" t="n"/>
      <c r="O24" s="31" t="n"/>
      <c r="P24" s="31" t="n"/>
      <c r="Q24" s="31" t="n"/>
      <c r="R24" s="31" t="n"/>
      <c r="S24" s="31" t="n"/>
      <c r="T24" s="31" t="n"/>
      <c r="U24" s="31" t="n"/>
      <c r="V24" s="31" t="n"/>
      <c r="W24" s="31" t="n"/>
      <c r="X24" s="31" t="n"/>
      <c r="Y24" s="31" t="n"/>
      <c r="Z24" s="31" t="n"/>
      <c r="AA24" s="31" t="n"/>
      <c r="AE24" s="32" t="inlineStr">
        <is>
          <t>Rank</t>
        </is>
      </c>
      <c r="AF24" s="33" t="inlineStr">
        <is>
          <t>Drug Name</t>
        </is>
      </c>
      <c r="AG24" s="33" t="inlineStr">
        <is>
          <t>Therapeutic Class</t>
        </is>
      </c>
      <c r="AH24" s="33" t="inlineStr">
        <is>
          <t>Total Rebates</t>
        </is>
      </c>
      <c r="AI24" s="34" t="inlineStr">
        <is>
          <t>Scripts</t>
        </is>
      </c>
      <c r="AK24" s="35" t="inlineStr">
        <is>
          <t>Rank</t>
        </is>
      </c>
      <c r="AL24" s="36" t="inlineStr">
        <is>
          <t>Drug Name</t>
        </is>
      </c>
      <c r="AM24" s="36" t="inlineStr">
        <is>
          <t>Therapeutic Class</t>
        </is>
      </c>
      <c r="AN24" s="37" t="inlineStr">
        <is>
          <t>Scripts</t>
        </is>
      </c>
    </row>
    <row r="25">
      <c r="B25" s="38" t="inlineStr">
        <is>
          <t>Retail 30</t>
        </is>
      </c>
      <c r="C25" s="10" t="n"/>
      <c r="D25" s="39" t="n">
        <v>44407</v>
      </c>
      <c r="E25" s="40" t="n">
        <v>1305880.3</v>
      </c>
      <c r="F25" s="40" t="n">
        <v>1071061</v>
      </c>
      <c r="G25" s="41" t="n">
        <v>29.40708221676763</v>
      </c>
      <c r="H25" s="42" t="n">
        <v>24.11919292003513</v>
      </c>
      <c r="I25" s="31" t="n"/>
      <c r="J25" s="31" t="n"/>
      <c r="K25" s="31" t="n"/>
      <c r="L25" s="31" t="n"/>
      <c r="M25" s="31" t="n"/>
      <c r="N25" s="31" t="n"/>
      <c r="O25" s="31" t="n"/>
      <c r="P25" s="31" t="n"/>
      <c r="Q25" s="31" t="n"/>
      <c r="R25" s="31" t="n"/>
      <c r="S25" s="31" t="n"/>
      <c r="T25" s="31" t="n"/>
      <c r="U25" s="31" t="n"/>
      <c r="V25" s="31" t="n"/>
      <c r="W25" s="31" t="n"/>
      <c r="X25" s="31" t="n"/>
      <c r="Y25" s="31" t="n"/>
      <c r="Z25" s="31" t="n"/>
      <c r="AA25" s="31" t="n"/>
      <c r="AE25" s="118" t="n">
        <v>1</v>
      </c>
      <c r="AF25" s="44" t="inlineStr">
        <is>
          <t>MOUNJARO</t>
        </is>
      </c>
      <c r="AG25" s="44" t="inlineStr">
        <is>
          <t>GLUCAGON-LIKE PEPTIDE-1 AGONISTS (GLP1)</t>
        </is>
      </c>
      <c r="AH25" s="119" t="n">
        <v>4892930.933363182</v>
      </c>
      <c r="AI25" s="46" t="n">
        <v>7094.223987863296</v>
      </c>
      <c r="AK25" s="120" t="n">
        <v>1</v>
      </c>
      <c r="AL25" s="44" t="inlineStr">
        <is>
          <t>ELIQUIS</t>
        </is>
      </c>
      <c r="AM25" s="44" t="inlineStr">
        <is>
          <t>ORAL ANTICOAGULANTS</t>
        </is>
      </c>
      <c r="AN25" s="48" t="n">
        <v>13754.41404899135</v>
      </c>
    </row>
    <row r="26">
      <c r="B26" s="49" t="inlineStr">
        <is>
          <t>Retail 90</t>
        </is>
      </c>
      <c r="C26" s="10" t="n"/>
      <c r="D26" s="50" t="n">
        <v>17744</v>
      </c>
      <c r="E26" s="51" t="n">
        <v>1740177.99</v>
      </c>
      <c r="F26" s="51" t="n">
        <v>1314049</v>
      </c>
      <c r="G26" s="52" t="n">
        <v>98.07134749774572</v>
      </c>
      <c r="H26" s="53" t="n">
        <v>74.05596257889991</v>
      </c>
      <c r="I26" s="31" t="n"/>
      <c r="J26" s="31" t="n"/>
      <c r="K26" s="31" t="n"/>
      <c r="L26" s="31" t="n"/>
      <c r="M26" s="31" t="n"/>
      <c r="N26" s="31" t="n"/>
      <c r="O26" s="31" t="n"/>
      <c r="P26" s="31" t="n"/>
      <c r="Q26" s="31" t="n"/>
      <c r="R26" s="31" t="n"/>
      <c r="S26" s="31" t="n"/>
      <c r="T26" s="31" t="n"/>
      <c r="U26" s="31" t="n"/>
      <c r="V26" s="31" t="n"/>
      <c r="W26" s="31" t="n"/>
      <c r="X26" s="31" t="n"/>
      <c r="Y26" s="31" t="n"/>
      <c r="Z26" s="31" t="n"/>
      <c r="AA26" s="31" t="n"/>
      <c r="AE26" s="121" t="n">
        <v>2</v>
      </c>
      <c r="AF26" t="inlineStr">
        <is>
          <t>BREZTRI AEROSPHERE</t>
        </is>
      </c>
      <c r="AG26" t="inlineStr">
        <is>
          <t>LABA LAMA COMBO</t>
        </is>
      </c>
      <c r="AH26" s="122" t="n">
        <v>652032.8396146006</v>
      </c>
      <c r="AI26" s="56" t="n">
        <v>1320.996003648514</v>
      </c>
      <c r="AK26" s="123" t="n">
        <v>2</v>
      </c>
      <c r="AL26" t="inlineStr">
        <is>
          <t>OZEMPIC</t>
        </is>
      </c>
      <c r="AM26" t="inlineStr">
        <is>
          <t>GLUCAGON-LIKE PEPTIDE-1 AGONISTS (GLP1)</t>
        </is>
      </c>
      <c r="AN26" s="58" t="n">
        <v>4178.80992727151</v>
      </c>
    </row>
    <row r="27" ht="15" customHeight="1" thickBot="1">
      <c r="B27" s="59" t="inlineStr">
        <is>
          <t>Mail</t>
        </is>
      </c>
      <c r="C27" s="10" t="n"/>
      <c r="D27" s="60" t="n">
        <v>304</v>
      </c>
      <c r="E27" s="61" t="n">
        <v>35974</v>
      </c>
      <c r="F27" s="61" t="n">
        <v>26733</v>
      </c>
      <c r="G27" s="62" t="n">
        <v>118.3355263157895</v>
      </c>
      <c r="H27" s="63" t="n">
        <v>87.9375</v>
      </c>
      <c r="I27" s="31" t="n"/>
      <c r="J27" s="31" t="n"/>
      <c r="K27" s="31" t="n"/>
      <c r="L27" s="31" t="n"/>
      <c r="M27" s="31" t="n"/>
      <c r="N27" s="31" t="n"/>
      <c r="O27" s="31" t="n"/>
      <c r="P27" s="31" t="n"/>
      <c r="Q27" s="31" t="n"/>
      <c r="R27" s="31" t="n"/>
      <c r="S27" s="31" t="n"/>
      <c r="T27" s="31" t="n"/>
      <c r="U27" s="31" t="n"/>
      <c r="V27" s="31" t="n"/>
      <c r="W27" s="31" t="n"/>
      <c r="X27" s="31" t="n"/>
      <c r="Y27" s="31" t="n"/>
      <c r="Z27" s="31" t="n"/>
      <c r="AA27" s="31" t="n"/>
      <c r="AE27" s="121" t="n">
        <v>3</v>
      </c>
      <c r="AF27" t="inlineStr">
        <is>
          <t>TRULICITY</t>
        </is>
      </c>
      <c r="AG27" t="inlineStr">
        <is>
          <t>GLUCAGON-LIKE PEPTIDE-1 AGONISTS (GLP1)</t>
        </is>
      </c>
      <c r="AH27" s="122" t="n">
        <v>556393.5809359541</v>
      </c>
      <c r="AI27" s="56" t="n">
        <v>827.1029214485163</v>
      </c>
      <c r="AK27" s="123" t="n">
        <v>3</v>
      </c>
      <c r="AL27" t="inlineStr">
        <is>
          <t>JARDIANCE</t>
        </is>
      </c>
      <c r="AM27" t="inlineStr">
        <is>
          <t>SGLT-2 INHIBITORS &amp; COMBOS</t>
        </is>
      </c>
      <c r="AN27" s="58" t="n">
        <v>5894.177911888911</v>
      </c>
    </row>
    <row r="28" ht="15" customHeight="1" thickTop="1">
      <c r="B28" s="64" t="inlineStr">
        <is>
          <t>Non-Specialty</t>
        </is>
      </c>
      <c r="C28" s="10" t="n"/>
      <c r="D28" s="65" t="n">
        <v>62455</v>
      </c>
      <c r="E28" s="66" t="n">
        <v>3082032.29</v>
      </c>
      <c r="F28" s="66" t="n">
        <v>2411843</v>
      </c>
      <c r="G28" s="67" t="n">
        <v>49.34804723400849</v>
      </c>
      <c r="H28" s="68" t="n">
        <v>38.61729245056441</v>
      </c>
      <c r="I28" s="31" t="n"/>
      <c r="J28" s="31" t="n"/>
      <c r="K28" s="31" t="n"/>
      <c r="L28" s="31" t="n"/>
      <c r="M28" s="31" t="n"/>
      <c r="N28" s="31" t="n"/>
      <c r="O28" s="31" t="n"/>
      <c r="P28" s="31" t="n"/>
      <c r="Q28" s="31" t="n"/>
      <c r="R28" s="31" t="n"/>
      <c r="S28" s="31" t="n"/>
      <c r="T28" s="31" t="n"/>
      <c r="U28" s="31" t="n"/>
      <c r="V28" s="31" t="n"/>
      <c r="W28" s="31" t="n"/>
      <c r="X28" s="31" t="n"/>
      <c r="Y28" s="31" t="n"/>
      <c r="Z28" s="31" t="n"/>
      <c r="AA28" s="31" t="n"/>
      <c r="AE28" s="121" t="n">
        <v>4</v>
      </c>
      <c r="AF28" t="inlineStr">
        <is>
          <t>GEMTESA</t>
        </is>
      </c>
      <c r="AG28" t="inlineStr">
        <is>
          <t>URINARY ANTISPASMODICS &amp; OAB DRUGS</t>
        </is>
      </c>
      <c r="AH28" s="122" t="n">
        <v>416982.3548995709</v>
      </c>
      <c r="AI28" s="56" t="n">
        <v>744.9370369136477</v>
      </c>
      <c r="AK28" s="123" t="n">
        <v>4</v>
      </c>
      <c r="AL28" t="inlineStr">
        <is>
          <t>TRELEGY ELLIPTA</t>
        </is>
      </c>
      <c r="AM28" t="inlineStr">
        <is>
          <t>LABA LAMA COMBO</t>
        </is>
      </c>
      <c r="AN28" s="58" t="n">
        <v>3060.609005713499</v>
      </c>
    </row>
    <row r="29" ht="15" customHeight="1" thickBot="1">
      <c r="B29" s="59" t="inlineStr">
        <is>
          <t>Specialty</t>
        </is>
      </c>
      <c r="C29" s="10" t="n"/>
      <c r="D29" s="60" t="n">
        <v>485</v>
      </c>
      <c r="E29" s="61" t="n">
        <v>18752</v>
      </c>
      <c r="F29" s="61" t="n">
        <v>16264</v>
      </c>
      <c r="G29" s="62" t="n">
        <v>38.66391752577319</v>
      </c>
      <c r="H29" s="63" t="n">
        <v>33.5340206185567</v>
      </c>
      <c r="I29" s="31" t="n"/>
      <c r="J29" s="31" t="n"/>
      <c r="K29" s="31" t="n"/>
      <c r="L29" s="31" t="n"/>
      <c r="M29" s="31" t="n"/>
      <c r="N29" s="31" t="n"/>
      <c r="O29" s="31" t="n"/>
      <c r="P29" s="31" t="n"/>
      <c r="Q29" s="31" t="n"/>
      <c r="R29" s="31" t="n"/>
      <c r="S29" s="31" t="n"/>
      <c r="T29" s="31" t="n"/>
      <c r="U29" s="31" t="n"/>
      <c r="V29" s="31" t="n"/>
      <c r="W29" s="31" t="n"/>
      <c r="X29" s="31" t="n"/>
      <c r="Y29" s="31" t="n"/>
      <c r="Z29" s="31" t="n"/>
      <c r="AA29" s="31" t="n"/>
      <c r="AE29" s="121" t="n">
        <v>5</v>
      </c>
      <c r="AF29" t="inlineStr">
        <is>
          <t>CREON</t>
        </is>
      </c>
      <c r="AG29" t="inlineStr">
        <is>
          <t>DIGESTIVE ENZYMES</t>
        </is>
      </c>
      <c r="AH29" s="122" t="n">
        <v>198669.400700446</v>
      </c>
      <c r="AI29" s="56" t="n">
        <v>199.9395963677785</v>
      </c>
      <c r="AK29" s="123" t="n">
        <v>5</v>
      </c>
      <c r="AL29" t="inlineStr">
        <is>
          <t>XARELTO</t>
        </is>
      </c>
      <c r="AM29" t="inlineStr">
        <is>
          <t>ORAL ANTICOAGULANTS</t>
        </is>
      </c>
      <c r="AN29" s="58" t="n">
        <v>2041.177649941906</v>
      </c>
    </row>
    <row r="30" ht="15.6" customHeight="1" thickBot="1" thickTop="1">
      <c r="B30" s="69" t="inlineStr">
        <is>
          <t>Total</t>
        </is>
      </c>
      <c r="C30" s="10" t="n"/>
      <c r="D30" s="70" t="n">
        <v>62939.99999999999</v>
      </c>
      <c r="E30" s="71" t="n">
        <v>3100784.29</v>
      </c>
      <c r="F30" s="71" t="n">
        <v>2428107</v>
      </c>
      <c r="G30" s="72" t="n">
        <v>49.26571798538291</v>
      </c>
      <c r="H30" s="73" t="n">
        <v>38.57812202097236</v>
      </c>
      <c r="I30" s="31" t="n"/>
      <c r="J30" s="31" t="n"/>
      <c r="K30" s="31" t="n"/>
      <c r="L30" s="31" t="n"/>
      <c r="M30" s="31" t="n"/>
      <c r="N30" s="31" t="n"/>
      <c r="O30" s="31" t="n"/>
      <c r="P30" s="31" t="n"/>
      <c r="Q30" s="31" t="n"/>
      <c r="R30" s="31" t="n"/>
      <c r="S30" s="31" t="n"/>
      <c r="T30" s="31" t="n"/>
      <c r="U30" s="31" t="n"/>
      <c r="V30" s="31" t="n"/>
      <c r="W30" s="31" t="n"/>
      <c r="X30" s="31" t="n"/>
      <c r="Y30" s="31" t="n"/>
      <c r="Z30" s="31" t="n"/>
      <c r="AA30" s="31" t="n"/>
      <c r="AE30" s="121" t="n">
        <v>6</v>
      </c>
      <c r="AF30" t="inlineStr">
        <is>
          <t>ANORO ELLIPTA</t>
        </is>
      </c>
      <c r="AG30" t="inlineStr">
        <is>
          <t>LABA LAMA COMBO</t>
        </is>
      </c>
      <c r="AH30" s="122" t="n">
        <v>179593.3050163231</v>
      </c>
      <c r="AI30" s="56" t="n">
        <v>509.6993712707739</v>
      </c>
      <c r="AK30" s="123" t="n">
        <v>6</v>
      </c>
      <c r="AL30" t="inlineStr">
        <is>
          <t>ENBREL SURECLICK</t>
        </is>
      </c>
      <c r="AM30" t="inlineStr">
        <is>
          <t>IMMUNOMODULATORS</t>
        </is>
      </c>
      <c r="AN30" s="58" t="n">
        <v>153.8489558770789</v>
      </c>
    </row>
    <row r="31">
      <c r="B31" s="10" t="n"/>
      <c r="C31" s="10" t="n"/>
      <c r="D31" s="74" t="n"/>
      <c r="E31" s="74" t="n"/>
      <c r="F31" s="74" t="n"/>
      <c r="G31" s="75" t="n"/>
      <c r="H31" s="76" t="n"/>
      <c r="I31" s="31" t="n"/>
      <c r="J31" s="31" t="n"/>
      <c r="K31" s="31" t="n"/>
      <c r="L31" s="31" t="n"/>
      <c r="M31" s="31" t="n"/>
      <c r="N31" s="31" t="n"/>
      <c r="O31" s="31" t="n"/>
      <c r="P31" s="31" t="n"/>
      <c r="Q31" s="31" t="n"/>
      <c r="R31" s="31" t="n"/>
      <c r="S31" s="31" t="n"/>
      <c r="T31" s="31" t="n"/>
      <c r="U31" s="31" t="n"/>
      <c r="V31" s="31" t="n"/>
      <c r="W31" s="31" t="n"/>
      <c r="X31" s="31" t="n"/>
      <c r="Y31" s="31" t="n"/>
      <c r="Z31" s="31" t="n"/>
      <c r="AA31" s="31" t="n"/>
      <c r="AE31" s="121" t="n">
        <v>7</v>
      </c>
      <c r="AF31" t="inlineStr">
        <is>
          <t>STIOLTO RESPIMAT</t>
        </is>
      </c>
      <c r="AG31" t="inlineStr">
        <is>
          <t>LABA LAMA COMBO</t>
        </is>
      </c>
      <c r="AH31" s="122" t="n">
        <v>163977.5353752311</v>
      </c>
      <c r="AI31" s="56" t="n">
        <v>423.4425545941813</v>
      </c>
      <c r="AK31" s="123" t="n">
        <v>7</v>
      </c>
      <c r="AL31" t="inlineStr">
        <is>
          <t>RYBELSUS</t>
        </is>
      </c>
      <c r="AM31" t="inlineStr">
        <is>
          <t>GLUCAGON-LIKE PEPTIDE-1 AGONISTS (GLP1)</t>
        </is>
      </c>
      <c r="AN31" s="58" t="n">
        <v>720.9506748454983</v>
      </c>
      <c r="AW31" s="77" t="n"/>
      <c r="AX31" s="78" t="n"/>
      <c r="AY31" s="78" t="n"/>
      <c r="AZ31" s="78" t="n"/>
    </row>
    <row r="32" ht="15" customHeight="1" thickBot="1">
      <c r="B32" s="27" t="inlineStr">
        <is>
          <t>Generic</t>
        </is>
      </c>
      <c r="C32" s="10" t="n"/>
      <c r="D32" s="79" t="n"/>
      <c r="E32" s="79" t="n"/>
      <c r="F32" s="79" t="n"/>
      <c r="G32" s="79" t="n"/>
      <c r="H32" s="80" t="n"/>
      <c r="I32" s="31" t="n"/>
      <c r="J32" s="31" t="n"/>
      <c r="K32" s="31" t="n"/>
      <c r="L32" s="31" t="n"/>
      <c r="M32" s="31" t="n"/>
      <c r="N32" s="31" t="n"/>
      <c r="O32" s="31" t="n"/>
      <c r="P32" s="31" t="n"/>
      <c r="Q32" s="31" t="n"/>
      <c r="R32" s="31" t="n"/>
      <c r="S32" s="31" t="n"/>
      <c r="T32" s="31" t="n"/>
      <c r="U32" s="31" t="n"/>
      <c r="V32" s="31" t="n"/>
      <c r="W32" s="31" t="n"/>
      <c r="X32" s="31" t="n"/>
      <c r="Y32" s="31" t="n"/>
      <c r="Z32" s="31" t="n"/>
      <c r="AA32" s="31" t="n"/>
      <c r="AE32" s="121" t="n">
        <v>8</v>
      </c>
      <c r="AF32" t="inlineStr">
        <is>
          <t>FREESTYLE LIBRE 3 PLUS/SENSOR/GLUCOSE MONITORING SYSTEM</t>
        </is>
      </c>
      <c r="AG32" t="inlineStr">
        <is>
          <t>DIABETES MONITORING AND TESTING SUPPLIES</t>
        </is>
      </c>
      <c r="AH32" s="122" t="n">
        <v>142728.4613732078</v>
      </c>
      <c r="AI32" s="56" t="n">
        <v>1938.318957923954</v>
      </c>
      <c r="AK32" s="123" t="n">
        <v>8</v>
      </c>
      <c r="AL32" t="inlineStr">
        <is>
          <t>XTANDI</t>
        </is>
      </c>
      <c r="AM32" t="inlineStr">
        <is>
          <t>ONCOLOGY</t>
        </is>
      </c>
      <c r="AN32" s="58" t="n">
        <v>56.79744994592417</v>
      </c>
    </row>
    <row r="33">
      <c r="B33" s="38" t="inlineStr">
        <is>
          <t>Retail 30</t>
        </is>
      </c>
      <c r="C33" s="10" t="n"/>
      <c r="D33" s="39" t="n">
        <v>214100</v>
      </c>
      <c r="E33" s="40" t="n">
        <v>11823157.497</v>
      </c>
      <c r="F33" s="40" t="n">
        <v>5157527</v>
      </c>
      <c r="G33" s="41" t="n">
        <v>55.22259456795889</v>
      </c>
      <c r="H33" s="42" t="n">
        <v>24.08933675852406</v>
      </c>
      <c r="I33" s="31" t="n"/>
      <c r="J33" s="31" t="n"/>
      <c r="K33" s="31" t="n"/>
      <c r="L33" s="31" t="n"/>
      <c r="M33" s="31" t="n"/>
      <c r="N33" s="31" t="n"/>
      <c r="O33" s="31" t="n"/>
      <c r="P33" s="31" t="n"/>
      <c r="Q33" s="31" t="n"/>
      <c r="R33" s="31" t="n"/>
      <c r="S33" s="31" t="n"/>
      <c r="T33" s="31" t="n"/>
      <c r="U33" s="31" t="n"/>
      <c r="V33" s="31" t="n"/>
      <c r="W33" s="31" t="n"/>
      <c r="X33" s="31" t="n"/>
      <c r="Y33" s="31" t="n"/>
      <c r="Z33" s="31" t="n"/>
      <c r="AA33" s="31" t="n"/>
      <c r="AE33" s="121" t="n">
        <v>9</v>
      </c>
      <c r="AF33" t="inlineStr">
        <is>
          <t>SPIRIVA RESPIMAT</t>
        </is>
      </c>
      <c r="AG33" t="inlineStr">
        <is>
          <t>LAMA/ACH</t>
        </is>
      </c>
      <c r="AH33" s="122" t="n">
        <v>122337.3954337064</v>
      </c>
      <c r="AI33" s="56" t="n">
        <v>358.4698264140782</v>
      </c>
      <c r="AK33" s="123" t="n">
        <v>9</v>
      </c>
      <c r="AL33" t="inlineStr">
        <is>
          <t>IBRANCE</t>
        </is>
      </c>
      <c r="AM33" t="inlineStr">
        <is>
          <t>ONCOLOGY</t>
        </is>
      </c>
      <c r="AN33" s="58" t="n">
        <v>44.81813433944819</v>
      </c>
    </row>
    <row r="34">
      <c r="B34" s="49" t="inlineStr">
        <is>
          <t>Retail 90</t>
        </is>
      </c>
      <c r="C34" s="10" t="n"/>
      <c r="D34" s="50" t="n">
        <v>222830</v>
      </c>
      <c r="E34" s="51" t="n">
        <v>23377403.918</v>
      </c>
      <c r="F34" s="51" t="n">
        <v>19385429</v>
      </c>
      <c r="G34" s="52" t="n">
        <v>104.911384993044</v>
      </c>
      <c r="H34" s="53" t="n">
        <v>86.99649508593996</v>
      </c>
      <c r="I34" s="31" t="n"/>
      <c r="J34" s="31" t="n"/>
      <c r="K34" s="31" t="n"/>
      <c r="L34" s="31" t="n"/>
      <c r="M34" s="31" t="n"/>
      <c r="N34" s="31" t="n"/>
      <c r="O34" s="31" t="n"/>
      <c r="P34" s="31" t="n"/>
      <c r="Q34" s="31" t="n"/>
      <c r="R34" s="31" t="n"/>
      <c r="S34" s="31" t="n"/>
      <c r="T34" s="31" t="n"/>
      <c r="U34" s="31" t="n"/>
      <c r="V34" s="31" t="n"/>
      <c r="W34" s="31" t="n"/>
      <c r="X34" s="31" t="n"/>
      <c r="Y34" s="31" t="n"/>
      <c r="Z34" s="31" t="n"/>
      <c r="AA34" s="31" t="n"/>
      <c r="AE34" s="121" t="n">
        <v>10</v>
      </c>
      <c r="AF34" t="inlineStr">
        <is>
          <t>ZENPEP</t>
        </is>
      </c>
      <c r="AG34" t="inlineStr">
        <is>
          <t>DIGESTIVE ENZYMES</t>
        </is>
      </c>
      <c r="AH34" s="122" t="n">
        <v>119720.1244139953</v>
      </c>
      <c r="AI34" s="56" t="n">
        <v>45.33514103688</v>
      </c>
      <c r="AK34" s="123" t="n">
        <v>10</v>
      </c>
      <c r="AL34" t="inlineStr">
        <is>
          <t>OTEZLA</t>
        </is>
      </c>
      <c r="AM34" t="inlineStr">
        <is>
          <t>IMMUNOMODULATORS</t>
        </is>
      </c>
      <c r="AN34" s="58" t="n">
        <v>80.91315457238962</v>
      </c>
    </row>
    <row r="35" ht="15" customHeight="1" thickBot="1">
      <c r="B35" s="59" t="inlineStr">
        <is>
          <t>Mail</t>
        </is>
      </c>
      <c r="C35" s="10" t="n"/>
      <c r="D35" s="60" t="n">
        <v>3478</v>
      </c>
      <c r="E35" s="61" t="n">
        <v>403509.3</v>
      </c>
      <c r="F35" s="61" t="n">
        <v>308442</v>
      </c>
      <c r="G35" s="62" t="n">
        <v>116.0176250718804</v>
      </c>
      <c r="H35" s="63" t="n">
        <v>88.68372627947096</v>
      </c>
      <c r="I35" s="31" t="n"/>
      <c r="J35" s="31" t="n"/>
      <c r="K35" s="31" t="n"/>
      <c r="L35" s="31" t="n"/>
      <c r="M35" s="31" t="n"/>
      <c r="N35" s="31" t="n"/>
      <c r="O35" s="31" t="n"/>
      <c r="P35" s="31" t="n"/>
      <c r="Q35" s="31" t="n"/>
      <c r="R35" s="31" t="n"/>
      <c r="S35" s="31" t="n"/>
      <c r="T35" s="31" t="n"/>
      <c r="U35" s="31" t="n"/>
      <c r="V35" s="31" t="n"/>
      <c r="W35" s="31" t="n"/>
      <c r="X35" s="31" t="n"/>
      <c r="Y35" s="31" t="n"/>
      <c r="Z35" s="31" t="n"/>
      <c r="AA35" s="31" t="n"/>
      <c r="AE35" s="121" t="n">
        <v>11</v>
      </c>
      <c r="AF35" t="inlineStr">
        <is>
          <t>PAXLOVID</t>
        </is>
      </c>
      <c r="AG35" t="inlineStr">
        <is>
          <t>MISC. ANTIVIRALS</t>
        </is>
      </c>
      <c r="AH35" s="122" t="n">
        <v>115468.7410627217</v>
      </c>
      <c r="AI35" s="56" t="n">
        <v>433.426257964504</v>
      </c>
      <c r="AK35" s="123" t="n">
        <v>11</v>
      </c>
      <c r="AL35" t="inlineStr">
        <is>
          <t>BREO ELLIPTA</t>
        </is>
      </c>
      <c r="AM35" t="inlineStr">
        <is>
          <t>LABA LAMA COMBO</t>
        </is>
      </c>
      <c r="AN35" s="58" t="n">
        <v>1156.04726226512</v>
      </c>
    </row>
    <row r="36" ht="15" customHeight="1" thickTop="1">
      <c r="B36" s="64" t="inlineStr">
        <is>
          <t>Non-Specialty</t>
        </is>
      </c>
      <c r="C36" s="10" t="n"/>
      <c r="D36" s="65" t="n">
        <v>440408</v>
      </c>
      <c r="E36" s="66" t="n">
        <v>35604070.715</v>
      </c>
      <c r="F36" s="66" t="n">
        <v>24851398</v>
      </c>
      <c r="G36" s="67" t="n">
        <v>80.84337867386604</v>
      </c>
      <c r="H36" s="68" t="n">
        <v>56.42812573795208</v>
      </c>
      <c r="I36" s="31" t="n"/>
      <c r="J36" s="31" t="n"/>
      <c r="K36" s="31" t="n"/>
      <c r="L36" s="31" t="n"/>
      <c r="M36" s="31" t="n"/>
      <c r="N36" s="31" t="n"/>
      <c r="O36" s="31" t="n"/>
      <c r="P36" s="31" t="n"/>
      <c r="Q36" s="31" t="n"/>
      <c r="R36" s="31" t="n"/>
      <c r="S36" s="31" t="n"/>
      <c r="T36" s="31" t="n"/>
      <c r="U36" s="31" t="n"/>
      <c r="V36" s="31" t="n"/>
      <c r="W36" s="31" t="n"/>
      <c r="X36" s="31" t="n"/>
      <c r="Y36" s="31" t="n"/>
      <c r="Z36" s="31" t="n"/>
      <c r="AA36" s="31" t="n"/>
      <c r="AE36" s="121" t="n">
        <v>12</v>
      </c>
      <c r="AF36" t="inlineStr">
        <is>
          <t>EMGALITY</t>
        </is>
      </c>
      <c r="AG36" t="inlineStr">
        <is>
          <t>MIGRAINE PRODUCTS</t>
        </is>
      </c>
      <c r="AH36" s="122" t="n">
        <v>105742.4301115444</v>
      </c>
      <c r="AI36" s="56" t="n">
        <v>222.5593240475558</v>
      </c>
      <c r="AK36" s="123" t="n">
        <v>12</v>
      </c>
      <c r="AL36" t="inlineStr">
        <is>
          <t>IMBRUVICA</t>
        </is>
      </c>
      <c r="AM36" t="inlineStr">
        <is>
          <t>ONCOLOGY</t>
        </is>
      </c>
      <c r="AN36" s="58" t="n">
        <v>55.08374052893073</v>
      </c>
    </row>
    <row r="37" ht="15" customHeight="1" thickBot="1">
      <c r="B37" s="59" t="inlineStr">
        <is>
          <t>Specialty</t>
        </is>
      </c>
      <c r="C37" s="10" t="n"/>
      <c r="D37" s="60" t="n">
        <v>0</v>
      </c>
      <c r="E37" s="61" t="n">
        <v>0</v>
      </c>
      <c r="F37" s="61" t="n">
        <v>0</v>
      </c>
      <c r="G37" s="62" t="n">
        <v>0</v>
      </c>
      <c r="H37" s="63" t="n">
        <v>0</v>
      </c>
      <c r="I37" s="31" t="n"/>
      <c r="J37" s="31" t="n"/>
      <c r="K37" s="31" t="n"/>
      <c r="L37" s="31" t="n"/>
      <c r="M37" s="31" t="n"/>
      <c r="N37" s="31" t="n"/>
      <c r="O37" s="31" t="n"/>
      <c r="P37" s="31" t="n"/>
      <c r="Q37" s="31" t="n"/>
      <c r="R37" s="31" t="n"/>
      <c r="S37" s="31" t="n"/>
      <c r="T37" s="31" t="n"/>
      <c r="U37" s="31" t="n"/>
      <c r="V37" s="31" t="n"/>
      <c r="W37" s="31" t="n"/>
      <c r="X37" s="31" t="n"/>
      <c r="Y37" s="31" t="n"/>
      <c r="Z37" s="31" t="n"/>
      <c r="AA37" s="31" t="n"/>
      <c r="AE37" s="121" t="n">
        <v>13</v>
      </c>
      <c r="AF37" t="inlineStr">
        <is>
          <t>ADVAIR HFA</t>
        </is>
      </c>
      <c r="AG37" t="inlineStr">
        <is>
          <t>LABA LAMA COMBO</t>
        </is>
      </c>
      <c r="AH37" s="122" t="n">
        <v>77252.6286851506</v>
      </c>
      <c r="AI37" s="56" t="n">
        <v>278.6758692628373</v>
      </c>
      <c r="AK37" s="123" t="n">
        <v>13</v>
      </c>
      <c r="AL37" t="inlineStr">
        <is>
          <t>OFEV</t>
        </is>
      </c>
      <c r="AM37" t="inlineStr">
        <is>
          <t>PULMONARY FIBROSIS AGENTS</t>
        </is>
      </c>
      <c r="AN37" s="58" t="n">
        <v>15.51721978029664</v>
      </c>
    </row>
    <row r="38" ht="15.6" customHeight="1" thickBot="1" thickTop="1">
      <c r="B38" s="69" t="inlineStr">
        <is>
          <t>Total</t>
        </is>
      </c>
      <c r="C38" s="10" t="n"/>
      <c r="D38" s="70" t="n">
        <v>440408</v>
      </c>
      <c r="E38" s="71" t="n">
        <v>35604070.715</v>
      </c>
      <c r="F38" s="71" t="n">
        <v>24851398</v>
      </c>
      <c r="G38" s="72" t="n">
        <v>80.84337867386606</v>
      </c>
      <c r="H38" s="73" t="n">
        <v>56.42812573795208</v>
      </c>
      <c r="I38" s="31" t="n"/>
      <c r="J38" s="31" t="n"/>
      <c r="K38" s="31" t="n"/>
      <c r="L38" s="31" t="n"/>
      <c r="M38" s="31" t="n"/>
      <c r="N38" s="31" t="n"/>
      <c r="O38" s="31" t="n"/>
      <c r="P38" s="31" t="n"/>
      <c r="Q38" s="31" t="n"/>
      <c r="R38" s="31" t="n"/>
      <c r="S38" s="31" t="n"/>
      <c r="T38" s="31" t="n"/>
      <c r="U38" s="31" t="n"/>
      <c r="V38" s="31" t="n"/>
      <c r="W38" s="31" t="n"/>
      <c r="X38" s="31" t="n"/>
      <c r="Y38" s="31" t="n"/>
      <c r="Z38" s="31" t="n"/>
      <c r="AA38" s="31" t="n"/>
      <c r="AE38" s="121" t="n">
        <v>14</v>
      </c>
      <c r="AF38" t="inlineStr">
        <is>
          <t>AIMOVIG</t>
        </is>
      </c>
      <c r="AG38" t="inlineStr">
        <is>
          <t>MIGRAINE PRODUCTS</t>
        </is>
      </c>
      <c r="AH38" s="122" t="n">
        <v>72598.02980465938</v>
      </c>
      <c r="AI38" s="56" t="n">
        <v>169.8140507183663</v>
      </c>
      <c r="AK38" s="123" t="n">
        <v>14</v>
      </c>
      <c r="AL38" t="inlineStr">
        <is>
          <t>FLUZONE HIGH-DOSE 2025-2026</t>
        </is>
      </c>
      <c r="AM38" t="inlineStr">
        <is>
          <t>VACCINES</t>
        </is>
      </c>
      <c r="AN38" s="58" t="n">
        <v>4454.0537564694</v>
      </c>
    </row>
    <row r="39">
      <c r="B39" s="10" t="n"/>
      <c r="C39" s="10" t="n"/>
      <c r="D39" s="74" t="n"/>
      <c r="E39" s="74" t="n"/>
      <c r="F39" s="74" t="n"/>
      <c r="G39" s="75" t="n"/>
      <c r="H39" s="76" t="n"/>
      <c r="I39" s="31" t="n"/>
      <c r="J39" s="31" t="n"/>
      <c r="K39" s="31" t="n"/>
      <c r="L39" s="31" t="n"/>
      <c r="M39" s="31" t="n"/>
      <c r="N39" s="31" t="n"/>
      <c r="O39" s="31" t="n"/>
      <c r="P39" s="31" t="n"/>
      <c r="Q39" s="31" t="n"/>
      <c r="R39" s="31" t="n"/>
      <c r="S39" s="31" t="n"/>
      <c r="T39" s="31" t="n"/>
      <c r="U39" s="31" t="n"/>
      <c r="V39" s="31" t="n"/>
      <c r="W39" s="31" t="n"/>
      <c r="X39" s="31" t="n"/>
      <c r="Y39" s="31" t="n"/>
      <c r="Z39" s="31" t="n"/>
      <c r="AA39" s="31" t="n"/>
      <c r="AE39" s="121" t="n">
        <v>15</v>
      </c>
      <c r="AF39" t="inlineStr">
        <is>
          <t>MULTAQ</t>
        </is>
      </c>
      <c r="AG39" t="inlineStr">
        <is>
          <t>ANTIARRHYTHMICS</t>
        </is>
      </c>
      <c r="AH39" s="122" t="n">
        <v>70460.76881978758</v>
      </c>
      <c r="AI39" s="56" t="n">
        <v>117.9723870114664</v>
      </c>
      <c r="AK39" s="123" t="n">
        <v>15</v>
      </c>
      <c r="AL39" t="inlineStr">
        <is>
          <t>SHINGRIX</t>
        </is>
      </c>
      <c r="AM39" t="inlineStr">
        <is>
          <t>VACCINES</t>
        </is>
      </c>
      <c r="AN39" s="58" t="n">
        <v>1342.75019113124</v>
      </c>
    </row>
    <row r="40" ht="15" customHeight="1" thickBot="1">
      <c r="B40" s="27" t="inlineStr">
        <is>
          <t>Total</t>
        </is>
      </c>
      <c r="C40" s="10" t="n"/>
      <c r="D40" s="79" t="n"/>
      <c r="E40" s="79" t="n"/>
      <c r="F40" s="79" t="n"/>
      <c r="G40" s="79" t="n"/>
      <c r="H40" s="80" t="n"/>
      <c r="I40" s="31" t="n"/>
      <c r="J40" s="31" t="n"/>
      <c r="K40" s="31" t="n"/>
      <c r="L40" s="31" t="n"/>
      <c r="M40" s="31" t="n"/>
      <c r="N40" s="31" t="n"/>
      <c r="O40" s="31" t="n"/>
      <c r="P40" s="31" t="n"/>
      <c r="Q40" s="31" t="n"/>
      <c r="R40" s="31" t="n"/>
      <c r="S40" s="31" t="n"/>
      <c r="T40" s="31" t="n"/>
      <c r="U40" s="31" t="n"/>
      <c r="V40" s="31" t="n"/>
      <c r="W40" s="31" t="n"/>
      <c r="X40" s="31" t="n"/>
      <c r="Y40" s="31" t="n"/>
      <c r="Z40" s="31" t="n"/>
      <c r="AA40" s="31" t="n"/>
      <c r="AE40" s="121" t="n">
        <v>16</v>
      </c>
      <c r="AF40" t="inlineStr">
        <is>
          <t>ROCKLATAN</t>
        </is>
      </c>
      <c r="AG40" t="inlineStr">
        <is>
          <t>OPHTHALMICS - RHO KINASE INHIBITOR &amp; COMBOS</t>
        </is>
      </c>
      <c r="AH40" s="122" t="n">
        <v>69746.80722920313</v>
      </c>
      <c r="AI40" s="56" t="n">
        <v>203.9703763401057</v>
      </c>
      <c r="AK40" s="123" t="n">
        <v>16</v>
      </c>
      <c r="AL40" t="inlineStr">
        <is>
          <t>AUSTEDO XR</t>
        </is>
      </c>
      <c r="AM40" t="inlineStr">
        <is>
          <t>MOVEMENT DISORDER DRUG THERAPY</t>
        </is>
      </c>
      <c r="AN40" s="58" t="n">
        <v>23.60535031448764</v>
      </c>
    </row>
    <row r="41">
      <c r="B41" s="38" t="inlineStr">
        <is>
          <t>Retail 30</t>
        </is>
      </c>
      <c r="C41" s="10" t="n"/>
      <c r="D41" s="39" t="n">
        <v>258507</v>
      </c>
      <c r="E41" s="40" t="n">
        <v>13129037.797</v>
      </c>
      <c r="F41" s="40" t="n">
        <v>6228588</v>
      </c>
      <c r="G41" s="41" t="n">
        <v>50.78793919313596</v>
      </c>
      <c r="H41" s="42" t="n">
        <v>24.09446552704569</v>
      </c>
      <c r="I41" s="31" t="n"/>
      <c r="J41" s="31" t="n"/>
      <c r="K41" s="31" t="n"/>
      <c r="L41" s="31" t="n"/>
      <c r="M41" s="31" t="n"/>
      <c r="N41" s="31" t="n"/>
      <c r="O41" s="31" t="n"/>
      <c r="P41" s="31" t="n"/>
      <c r="Q41" s="31" t="n"/>
      <c r="R41" s="31" t="n"/>
      <c r="S41" s="31" t="n"/>
      <c r="T41" s="31" t="n"/>
      <c r="U41" s="31" t="n"/>
      <c r="V41" s="31" t="n"/>
      <c r="W41" s="31" t="n"/>
      <c r="X41" s="31" t="n"/>
      <c r="Y41" s="31" t="n"/>
      <c r="Z41" s="31" t="n"/>
      <c r="AA41" s="31" t="n"/>
      <c r="AE41" s="121" t="n">
        <v>17</v>
      </c>
      <c r="AF41" t="inlineStr">
        <is>
          <t>XTAMPZA ER</t>
        </is>
      </c>
      <c r="AG41" t="inlineStr">
        <is>
          <t>OPIOID AGONISTS &amp; COMBOS</t>
        </is>
      </c>
      <c r="AH41" s="122" t="n">
        <v>69529.4815161007</v>
      </c>
      <c r="AI41" s="56" t="n">
        <v>199.0707660676643</v>
      </c>
      <c r="AK41" s="123" t="n">
        <v>17</v>
      </c>
      <c r="AL41" t="inlineStr">
        <is>
          <t>STELARA</t>
        </is>
      </c>
      <c r="AM41" t="inlineStr">
        <is>
          <t>IMMUNOMODULATORS</t>
        </is>
      </c>
      <c r="AN41" s="58" t="n">
        <v>14.815084640015</v>
      </c>
    </row>
    <row r="42">
      <c r="B42" s="49" t="inlineStr">
        <is>
          <t>Retail 90</t>
        </is>
      </c>
      <c r="C42" s="10" t="n"/>
      <c r="D42" s="50" t="n">
        <v>240574</v>
      </c>
      <c r="E42" s="51" t="n">
        <v>25117581.908</v>
      </c>
      <c r="F42" s="51" t="n">
        <v>20699478</v>
      </c>
      <c r="G42" s="52" t="n">
        <v>104.4068848171457</v>
      </c>
      <c r="H42" s="53" t="n">
        <v>86.04204111832534</v>
      </c>
      <c r="I42" s="31" t="n"/>
      <c r="J42" s="31" t="n"/>
      <c r="K42" s="31" t="n"/>
      <c r="L42" s="31" t="n"/>
      <c r="M42" s="31" t="n"/>
      <c r="N42" s="31" t="n"/>
      <c r="O42" s="31" t="n"/>
      <c r="P42" s="31" t="n"/>
      <c r="Q42" s="31" t="n"/>
      <c r="R42" s="31" t="n"/>
      <c r="S42" s="31" t="n"/>
      <c r="T42" s="31" t="n"/>
      <c r="U42" s="31" t="n"/>
      <c r="V42" s="31" t="n"/>
      <c r="W42" s="31" t="n"/>
      <c r="X42" s="31" t="n"/>
      <c r="Y42" s="31" t="n"/>
      <c r="Z42" s="31" t="n"/>
      <c r="AA42" s="31" t="n"/>
      <c r="AE42" s="121" t="n">
        <v>18</v>
      </c>
      <c r="AF42" t="inlineStr">
        <is>
          <t>BELSOMRA</t>
        </is>
      </c>
      <c r="AG42" t="inlineStr">
        <is>
          <t>SEDATIVE HYPNOTICS</t>
        </is>
      </c>
      <c r="AH42" s="122" t="n">
        <v>69517.67772777993</v>
      </c>
      <c r="AI42" s="56" t="n">
        <v>194.3574113273374</v>
      </c>
      <c r="AK42" s="123" t="n">
        <v>18</v>
      </c>
      <c r="AL42" t="inlineStr">
        <is>
          <t>CALQUENCE</t>
        </is>
      </c>
      <c r="AM42" t="inlineStr">
        <is>
          <t>ONCOLOGY</t>
        </is>
      </c>
      <c r="AN42" s="58" t="n">
        <v>18.77854790759002</v>
      </c>
    </row>
    <row r="43" ht="15" customHeight="1" thickBot="1">
      <c r="B43" s="59" t="inlineStr">
        <is>
          <t>Mail</t>
        </is>
      </c>
      <c r="C43" s="10" t="n"/>
      <c r="D43" s="60" t="n">
        <v>3782</v>
      </c>
      <c r="E43" s="61" t="n">
        <v>439483.3</v>
      </c>
      <c r="F43" s="61" t="n">
        <v>335175</v>
      </c>
      <c r="G43" s="62" t="n">
        <v>116.2039397144368</v>
      </c>
      <c r="H43" s="63" t="n">
        <v>88.62374405076679</v>
      </c>
      <c r="I43" s="31" t="n"/>
      <c r="J43" s="31" t="n"/>
      <c r="K43" s="31" t="n"/>
      <c r="L43" s="31" t="n"/>
      <c r="M43" s="31" t="n"/>
      <c r="N43" s="31" t="n"/>
      <c r="O43" s="31" t="n"/>
      <c r="P43" s="31" t="n"/>
      <c r="Q43" s="31" t="n"/>
      <c r="R43" s="31" t="n"/>
      <c r="S43" s="31" t="n"/>
      <c r="T43" s="31" t="n"/>
      <c r="U43" s="31" t="n"/>
      <c r="V43" s="31" t="n"/>
      <c r="W43" s="31" t="n"/>
      <c r="X43" s="31" t="n"/>
      <c r="Y43" s="31" t="n"/>
      <c r="Z43" s="31" t="n"/>
      <c r="AA43" s="31" t="n"/>
      <c r="AE43" s="121" t="n">
        <v>19</v>
      </c>
      <c r="AF43" t="inlineStr">
        <is>
          <t>TOUJEO SOLOSTAR</t>
        </is>
      </c>
      <c r="AG43" t="inlineStr">
        <is>
          <t>BASAL INSULIN</t>
        </is>
      </c>
      <c r="AH43" s="122" t="n">
        <v>68313.3992788762</v>
      </c>
      <c r="AI43" s="56" t="n">
        <v>121.6102718758442</v>
      </c>
      <c r="AK43" s="123" t="n">
        <v>19</v>
      </c>
      <c r="AL43" t="inlineStr">
        <is>
          <t>LINZESS</t>
        </is>
      </c>
      <c r="AM43" t="inlineStr">
        <is>
          <t>IRRITABLE BOWEL SYNDROME (IBS) AGENTS</t>
        </is>
      </c>
      <c r="AN43" s="58" t="n">
        <v>977.2389240894031</v>
      </c>
    </row>
    <row r="44" ht="15.6" customHeight="1" thickBot="1" thickTop="1">
      <c r="B44" s="64" t="inlineStr">
        <is>
          <t>Non-Specialty</t>
        </is>
      </c>
      <c r="C44" s="10" t="n"/>
      <c r="D44" s="65" t="n">
        <v>502863</v>
      </c>
      <c r="E44" s="66" t="n">
        <v>38686103.005</v>
      </c>
      <c r="F44" s="66" t="n">
        <v>27263241</v>
      </c>
      <c r="G44" s="67" t="n">
        <v>76.93169512372157</v>
      </c>
      <c r="H44" s="68" t="n">
        <v>54.21604094952303</v>
      </c>
      <c r="I44" s="31" t="n"/>
      <c r="J44" s="31" t="n"/>
      <c r="K44" s="31" t="n"/>
      <c r="L44" s="31" t="n"/>
      <c r="M44" s="31" t="n"/>
      <c r="N44" s="31" t="n"/>
      <c r="O44" s="31" t="n"/>
      <c r="P44" s="31" t="n"/>
      <c r="Q44" s="31" t="n"/>
      <c r="R44" s="31" t="n"/>
      <c r="S44" s="31" t="n"/>
      <c r="T44" s="31" t="n"/>
      <c r="U44" s="31" t="n"/>
      <c r="V44" s="31" t="n"/>
      <c r="W44" s="31" t="n"/>
      <c r="X44" s="31" t="n"/>
      <c r="Y44" s="31" t="n"/>
      <c r="Z44" s="31" t="n"/>
      <c r="AA44" s="31" t="n"/>
      <c r="AE44" s="124" t="n">
        <v>20</v>
      </c>
      <c r="AF44" s="82" t="inlineStr">
        <is>
          <t>TOUJEO MAX SOLOSTAR</t>
        </is>
      </c>
      <c r="AG44" s="82" t="inlineStr">
        <is>
          <t>BASAL INSULIN</t>
        </is>
      </c>
      <c r="AH44" s="125" t="n">
        <v>65717.04599821538</v>
      </c>
      <c r="AI44" s="84" t="n">
        <v>68.22039641815654</v>
      </c>
      <c r="AK44" s="126" t="n">
        <v>20</v>
      </c>
      <c r="AL44" s="86" t="inlineStr">
        <is>
          <t>ENBREL MINI</t>
        </is>
      </c>
      <c r="AM44" s="86" t="inlineStr">
        <is>
          <t>IMMUNOMODULATORS</t>
        </is>
      </c>
      <c r="AN44" s="87" t="n">
        <v>27.35092548925846</v>
      </c>
    </row>
    <row r="45" ht="15" customHeight="1" thickBot="1">
      <c r="B45" s="59" t="inlineStr">
        <is>
          <t>Specialty</t>
        </is>
      </c>
      <c r="C45" s="10" t="n"/>
      <c r="D45" s="60" t="n">
        <v>485</v>
      </c>
      <c r="E45" s="61" t="n">
        <v>18752</v>
      </c>
      <c r="F45" s="61" t="n">
        <v>16264</v>
      </c>
      <c r="G45" s="62" t="n">
        <v>38.66391752577319</v>
      </c>
      <c r="H45" s="63" t="n">
        <v>33.5340206185567</v>
      </c>
      <c r="I45" s="31" t="n"/>
      <c r="J45" s="31" t="n"/>
      <c r="K45" s="31" t="n"/>
      <c r="L45" s="31" t="n"/>
      <c r="M45" s="31" t="n"/>
      <c r="N45" s="31" t="n"/>
      <c r="O45" s="31" t="n"/>
      <c r="P45" s="31" t="n"/>
      <c r="Q45" s="31" t="n"/>
      <c r="R45" s="31" t="n"/>
      <c r="S45" s="31" t="n"/>
      <c r="T45" s="31" t="n"/>
      <c r="U45" s="31" t="n"/>
      <c r="V45" s="31" t="n"/>
      <c r="W45" s="31" t="n"/>
      <c r="X45" s="31" t="n"/>
      <c r="Y45" s="31" t="n"/>
      <c r="Z45" s="31" t="n"/>
      <c r="AA45" s="31" t="n"/>
    </row>
    <row r="46" ht="15.6" customHeight="1" thickBot="1" thickTop="1">
      <c r="B46" s="69" t="inlineStr">
        <is>
          <t>Total</t>
        </is>
      </c>
      <c r="C46" s="10" t="n"/>
      <c r="D46" s="70" t="n">
        <v>503348</v>
      </c>
      <c r="E46" s="71" t="n">
        <v>38704855.005</v>
      </c>
      <c r="F46" s="71" t="n">
        <v>27279505</v>
      </c>
      <c r="G46" s="72" t="n">
        <v>76.89482228001303</v>
      </c>
      <c r="H46" s="73" t="n">
        <v>54.19611282850036</v>
      </c>
      <c r="I46" s="31" t="n"/>
      <c r="J46" s="31" t="n"/>
      <c r="K46" s="31" t="n"/>
      <c r="L46" s="31" t="n"/>
      <c r="M46" s="31" t="n"/>
      <c r="N46" s="31" t="n"/>
      <c r="O46" s="31" t="n"/>
      <c r="P46" s="31" t="n"/>
      <c r="Q46" s="31" t="n"/>
      <c r="R46" s="31" t="n"/>
      <c r="S46" s="31" t="n"/>
      <c r="T46" s="31" t="n"/>
      <c r="U46" s="31" t="n"/>
      <c r="V46" s="31" t="n"/>
      <c r="W46" s="31" t="n"/>
      <c r="X46" s="31" t="n"/>
      <c r="Y46" s="31" t="n"/>
      <c r="Z46" s="31" t="n"/>
      <c r="AA46" s="31" t="n"/>
    </row>
    <row r="47" ht="15" customHeight="1" thickBot="1">
      <c r="AE47" s="20" t="inlineStr">
        <is>
          <t>Overall - Brand Only</t>
        </is>
      </c>
      <c r="AF47" s="21" t="n"/>
      <c r="AG47" s="23" t="n"/>
      <c r="AH47" s="23" t="n"/>
    </row>
    <row r="48" ht="34.95" customHeight="1" thickBot="1">
      <c r="B48" s="88" t="n"/>
      <c r="C48" s="88" t="n"/>
      <c r="D48" s="88" t="n"/>
      <c r="E48" s="88" t="n"/>
      <c r="F48" s="88" t="n"/>
      <c r="G48" s="88" t="n"/>
      <c r="H48" s="88" t="n"/>
      <c r="I48" s="88" t="n"/>
      <c r="J48" s="88" t="n"/>
      <c r="K48" s="88" t="n"/>
      <c r="L48" s="88" t="n"/>
      <c r="M48" s="88" t="n"/>
      <c r="N48" s="88" t="n"/>
      <c r="O48" s="88" t="n"/>
      <c r="P48" s="88" t="n"/>
      <c r="Q48" s="88" t="n"/>
      <c r="R48" s="88" t="n"/>
      <c r="S48" s="88" t="n"/>
      <c r="T48" s="88" t="n"/>
      <c r="U48" s="88" t="n"/>
      <c r="V48" s="88" t="n"/>
      <c r="W48" s="88" t="n"/>
      <c r="X48" s="88" t="n"/>
      <c r="Y48" s="88" t="n"/>
      <c r="Z48" s="88" t="n"/>
      <c r="AA48" s="88" t="n"/>
      <c r="AE48" s="32" t="inlineStr">
        <is>
          <t>Rank</t>
        </is>
      </c>
      <c r="AF48" s="33" t="inlineStr">
        <is>
          <t>Therapeutic Class</t>
        </is>
      </c>
      <c r="AG48" s="33" t="inlineStr">
        <is>
          <t>Total Rebates</t>
        </is>
      </c>
      <c r="AH48" s="34" t="inlineStr">
        <is>
          <t>Brand Scripts</t>
        </is>
      </c>
    </row>
    <row r="49" ht="15" customHeight="1" thickTop="1">
      <c r="AE49" s="118" t="n">
        <v>1</v>
      </c>
      <c r="AF49" s="44" t="inlineStr">
        <is>
          <t>GLUCAGON-LIKE PEPTIDE-1 AGONISTS (GLP1)</t>
        </is>
      </c>
      <c r="AG49" s="119" t="n">
        <v>5449324.514299135</v>
      </c>
      <c r="AH49" s="46" t="n">
        <v>12821.12275198584</v>
      </c>
    </row>
    <row r="50" ht="15" customHeight="1" thickBot="1">
      <c r="AE50" s="121" t="n">
        <v>2</v>
      </c>
      <c r="AF50" t="inlineStr">
        <is>
          <t>LABA LAMA COMBO</t>
        </is>
      </c>
      <c r="AG50" s="122" t="n">
        <v>1089329.570286722</v>
      </c>
      <c r="AH50" s="56" t="n">
        <v>6903.200315204283</v>
      </c>
    </row>
    <row r="51" ht="15" customHeight="1" thickBot="1">
      <c r="D51" s="11" t="inlineStr">
        <is>
          <t>Base Yr</t>
        </is>
      </c>
      <c r="E51" s="12" t="n"/>
      <c r="F51" s="12" t="n"/>
      <c r="G51" s="13" t="n"/>
      <c r="H51" s="14" t="n"/>
      <c r="J51" s="11" t="n">
        <v>2027</v>
      </c>
      <c r="K51" s="12" t="n"/>
      <c r="L51" s="12" t="n"/>
      <c r="M51" s="13" t="n"/>
      <c r="N51" s="14" t="n"/>
      <c r="P51" s="11" t="n">
        <v>2028</v>
      </c>
      <c r="Q51" s="12" t="n"/>
      <c r="R51" s="12" t="n"/>
      <c r="S51" s="13" t="n"/>
      <c r="T51" s="14" t="n"/>
      <c r="V51" s="11" t="n">
        <v>2029</v>
      </c>
      <c r="W51" s="12" t="n"/>
      <c r="X51" s="12" t="n"/>
      <c r="Y51" s="13" t="n"/>
      <c r="Z51" s="14" t="n"/>
      <c r="AE51" s="121" t="n">
        <v>3</v>
      </c>
      <c r="AF51" t="inlineStr">
        <is>
          <t>URINARY ANTISPASMODICS &amp; OAB DRUGS</t>
        </is>
      </c>
      <c r="AG51" s="122" t="n">
        <v>416982.3548995709</v>
      </c>
      <c r="AH51" s="56" t="n">
        <v>1014.382181566695</v>
      </c>
    </row>
    <row r="52" ht="15" customHeight="1" thickBot="1">
      <c r="B52" s="27" t="inlineStr">
        <is>
          <t>Excl - Brand</t>
        </is>
      </c>
      <c r="D52" s="28" t="inlineStr">
        <is>
          <t>R30</t>
        </is>
      </c>
      <c r="E52" s="29" t="inlineStr">
        <is>
          <t>R90</t>
        </is>
      </c>
      <c r="F52" s="29" t="inlineStr">
        <is>
          <t>Mail</t>
        </is>
      </c>
      <c r="G52" s="29" t="inlineStr">
        <is>
          <t>Specialty</t>
        </is>
      </c>
      <c r="H52" s="30" t="inlineStr">
        <is>
          <t>Total</t>
        </is>
      </c>
      <c r="J52" s="28" t="inlineStr">
        <is>
          <t>R30</t>
        </is>
      </c>
      <c r="K52" s="29" t="inlineStr">
        <is>
          <t>R90</t>
        </is>
      </c>
      <c r="L52" s="29" t="inlineStr">
        <is>
          <t>Mail</t>
        </is>
      </c>
      <c r="M52" s="29" t="inlineStr">
        <is>
          <t>Specialty</t>
        </is>
      </c>
      <c r="N52" s="30" t="inlineStr">
        <is>
          <t>Total</t>
        </is>
      </c>
      <c r="P52" s="28" t="inlineStr">
        <is>
          <t>R30</t>
        </is>
      </c>
      <c r="Q52" s="29" t="inlineStr">
        <is>
          <t>R90</t>
        </is>
      </c>
      <c r="R52" s="29" t="inlineStr">
        <is>
          <t>Mail</t>
        </is>
      </c>
      <c r="S52" s="29" t="inlineStr">
        <is>
          <t>Specialty</t>
        </is>
      </c>
      <c r="T52" s="30" t="inlineStr">
        <is>
          <t>Total</t>
        </is>
      </c>
      <c r="V52" s="28" t="inlineStr">
        <is>
          <t>R30</t>
        </is>
      </c>
      <c r="W52" s="29" t="inlineStr">
        <is>
          <t>R90</t>
        </is>
      </c>
      <c r="X52" s="29" t="inlineStr">
        <is>
          <t>Mail</t>
        </is>
      </c>
      <c r="Y52" s="29" t="inlineStr">
        <is>
          <t>Specialty</t>
        </is>
      </c>
      <c r="Z52" s="30" t="inlineStr">
        <is>
          <t>Total</t>
        </is>
      </c>
      <c r="AE52" s="121" t="n">
        <v>4</v>
      </c>
      <c r="AF52" t="inlineStr">
        <is>
          <t>DIGESTIVE ENZYMES</t>
        </is>
      </c>
      <c r="AG52" s="122" t="n">
        <v>318389.5251144412</v>
      </c>
      <c r="AH52" s="56" t="n">
        <v>245.2747374046585</v>
      </c>
    </row>
    <row r="53">
      <c r="B53" s="38" t="inlineStr">
        <is>
          <t>OTCs</t>
        </is>
      </c>
      <c r="D53" s="127" t="n">
        <v>0</v>
      </c>
      <c r="E53" s="128" t="n">
        <v>0</v>
      </c>
      <c r="F53" s="128" t="n">
        <v>0</v>
      </c>
      <c r="G53" s="128" t="n">
        <v>0</v>
      </c>
      <c r="H53" s="129" t="n">
        <v>0</v>
      </c>
      <c r="J53" s="127" t="n">
        <v>0</v>
      </c>
      <c r="K53" s="128" t="n">
        <v>0</v>
      </c>
      <c r="L53" s="128" t="n">
        <v>0</v>
      </c>
      <c r="M53" s="128" t="n">
        <v>0</v>
      </c>
      <c r="N53" s="129" t="n">
        <v>0</v>
      </c>
      <c r="P53" s="127" t="n">
        <v>0</v>
      </c>
      <c r="Q53" s="128" t="n">
        <v>0</v>
      </c>
      <c r="R53" s="128" t="n">
        <v>0</v>
      </c>
      <c r="S53" s="128" t="n">
        <v>0</v>
      </c>
      <c r="T53" s="129" t="n">
        <v>0</v>
      </c>
      <c r="V53" s="127" t="n">
        <v>0</v>
      </c>
      <c r="W53" s="128" t="n">
        <v>0</v>
      </c>
      <c r="X53" s="128" t="n">
        <v>0</v>
      </c>
      <c r="Y53" s="128" t="n">
        <v>0</v>
      </c>
      <c r="Z53" s="129" t="n">
        <v>0</v>
      </c>
      <c r="AE53" s="121" t="n">
        <v>5</v>
      </c>
      <c r="AF53" t="inlineStr">
        <is>
          <t>MIGRAINE PRODUCTS</t>
        </is>
      </c>
      <c r="AG53" s="122" t="n">
        <v>269414.271825942</v>
      </c>
      <c r="AH53" s="56" t="n">
        <v>500.4368615867006</v>
      </c>
    </row>
    <row r="54">
      <c r="B54" s="49" t="inlineStr">
        <is>
          <t>Devices</t>
        </is>
      </c>
      <c r="D54" s="130" t="n">
        <v>0</v>
      </c>
      <c r="E54" s="131" t="n">
        <v>0</v>
      </c>
      <c r="F54" s="131" t="n">
        <v>0</v>
      </c>
      <c r="G54" s="131" t="n">
        <v>0</v>
      </c>
      <c r="H54" s="132" t="n">
        <v>0</v>
      </c>
      <c r="J54" s="130" t="n">
        <v>0</v>
      </c>
      <c r="K54" s="131" t="n">
        <v>0</v>
      </c>
      <c r="L54" s="131" t="n">
        <v>0</v>
      </c>
      <c r="M54" s="131" t="n">
        <v>0</v>
      </c>
      <c r="N54" s="132" t="n">
        <v>0</v>
      </c>
      <c r="P54" s="130" t="n">
        <v>0</v>
      </c>
      <c r="Q54" s="131" t="n">
        <v>0</v>
      </c>
      <c r="R54" s="131" t="n">
        <v>0</v>
      </c>
      <c r="S54" s="131" t="n">
        <v>0</v>
      </c>
      <c r="T54" s="132" t="n">
        <v>0</v>
      </c>
      <c r="V54" s="130" t="n">
        <v>0</v>
      </c>
      <c r="W54" s="131" t="n">
        <v>0</v>
      </c>
      <c r="X54" s="131" t="n">
        <v>0</v>
      </c>
      <c r="Y54" s="131" t="n">
        <v>0</v>
      </c>
      <c r="Z54" s="132" t="n">
        <v>0</v>
      </c>
      <c r="AE54" s="121" t="n">
        <v>6</v>
      </c>
      <c r="AF54" t="inlineStr">
        <is>
          <t>BASAL INSULIN</t>
        </is>
      </c>
      <c r="AG54" s="122" t="n">
        <v>179489.2160809928</v>
      </c>
      <c r="AH54" s="56" t="n">
        <v>1789.282579852615</v>
      </c>
    </row>
    <row r="55">
      <c r="B55" s="64" t="inlineStr">
        <is>
          <t>Vaccines</t>
        </is>
      </c>
      <c r="D55" s="130" t="n">
        <v>0</v>
      </c>
      <c r="E55" s="131" t="n">
        <v>0</v>
      </c>
      <c r="F55" s="131" t="n">
        <v>0</v>
      </c>
      <c r="G55" s="131" t="n">
        <v>0</v>
      </c>
      <c r="H55" s="132" t="n">
        <v>0</v>
      </c>
      <c r="J55" s="130" t="n">
        <v>0</v>
      </c>
      <c r="K55" s="131" t="n">
        <v>0</v>
      </c>
      <c r="L55" s="131" t="n">
        <v>0</v>
      </c>
      <c r="M55" s="131" t="n">
        <v>0</v>
      </c>
      <c r="N55" s="132" t="n">
        <v>0</v>
      </c>
      <c r="P55" s="130" t="n">
        <v>0</v>
      </c>
      <c r="Q55" s="131" t="n">
        <v>0</v>
      </c>
      <c r="R55" s="131" t="n">
        <v>0</v>
      </c>
      <c r="S55" s="131" t="n">
        <v>0</v>
      </c>
      <c r="T55" s="132" t="n">
        <v>0</v>
      </c>
      <c r="V55" s="130" t="n">
        <v>0</v>
      </c>
      <c r="W55" s="131" t="n">
        <v>0</v>
      </c>
      <c r="X55" s="131" t="n">
        <v>0</v>
      </c>
      <c r="Y55" s="131" t="n">
        <v>0</v>
      </c>
      <c r="Z55" s="132" t="n">
        <v>0</v>
      </c>
      <c r="AE55" s="121" t="n">
        <v>7</v>
      </c>
      <c r="AF55" t="inlineStr">
        <is>
          <t>LAMA/ACH</t>
        </is>
      </c>
      <c r="AG55" s="122" t="n">
        <v>172408.6034545767</v>
      </c>
      <c r="AH55" s="56" t="n">
        <v>500.4178695794146</v>
      </c>
    </row>
    <row r="56">
      <c r="B56" s="64" t="inlineStr">
        <is>
          <t>Repackaged</t>
        </is>
      </c>
      <c r="D56" s="130" t="n">
        <v>0</v>
      </c>
      <c r="E56" s="131" t="n">
        <v>0</v>
      </c>
      <c r="F56" s="131" t="n">
        <v>0</v>
      </c>
      <c r="G56" s="131" t="n">
        <v>0</v>
      </c>
      <c r="H56" s="132" t="n">
        <v>0</v>
      </c>
      <c r="J56" s="130" t="n">
        <v>0</v>
      </c>
      <c r="K56" s="131" t="n">
        <v>0</v>
      </c>
      <c r="L56" s="131" t="n">
        <v>0</v>
      </c>
      <c r="M56" s="131" t="n">
        <v>0</v>
      </c>
      <c r="N56" s="132" t="n">
        <v>0</v>
      </c>
      <c r="P56" s="130" t="n">
        <v>0</v>
      </c>
      <c r="Q56" s="131" t="n">
        <v>0</v>
      </c>
      <c r="R56" s="131" t="n">
        <v>0</v>
      </c>
      <c r="S56" s="131" t="n">
        <v>0</v>
      </c>
      <c r="T56" s="132" t="n">
        <v>0</v>
      </c>
      <c r="V56" s="130" t="n">
        <v>0</v>
      </c>
      <c r="W56" s="131" t="n">
        <v>0</v>
      </c>
      <c r="X56" s="131" t="n">
        <v>0</v>
      </c>
      <c r="Y56" s="131" t="n">
        <v>0</v>
      </c>
      <c r="Z56" s="132" t="n">
        <v>0</v>
      </c>
      <c r="AE56" s="121" t="n">
        <v>8</v>
      </c>
      <c r="AF56" t="inlineStr">
        <is>
          <t>DIABETES MONITORING AND TESTING SUPPLIES</t>
        </is>
      </c>
      <c r="AG56" s="122" t="n">
        <v>152606.4125685388</v>
      </c>
      <c r="AH56" s="56" t="n">
        <v>2102.862750485375</v>
      </c>
    </row>
    <row r="57">
      <c r="B57" s="64" t="inlineStr">
        <is>
          <t>MSBs</t>
        </is>
      </c>
      <c r="D57" s="130" t="n">
        <v>0</v>
      </c>
      <c r="E57" s="131" t="n">
        <v>0</v>
      </c>
      <c r="F57" s="131" t="n">
        <v>0</v>
      </c>
      <c r="G57" s="131" t="n">
        <v>0</v>
      </c>
      <c r="H57" s="132" t="n">
        <v>0</v>
      </c>
      <c r="J57" s="130" t="n">
        <v>0</v>
      </c>
      <c r="K57" s="131" t="n">
        <v>0</v>
      </c>
      <c r="L57" s="131" t="n">
        <v>0</v>
      </c>
      <c r="M57" s="131" t="n">
        <v>0</v>
      </c>
      <c r="N57" s="132" t="n">
        <v>0</v>
      </c>
      <c r="P57" s="130" t="n">
        <v>0</v>
      </c>
      <c r="Q57" s="131" t="n">
        <v>0</v>
      </c>
      <c r="R57" s="131" t="n">
        <v>0</v>
      </c>
      <c r="S57" s="131" t="n">
        <v>0</v>
      </c>
      <c r="T57" s="132" t="n">
        <v>0</v>
      </c>
      <c r="V57" s="130" t="n">
        <v>0</v>
      </c>
      <c r="W57" s="131" t="n">
        <v>0</v>
      </c>
      <c r="X57" s="131" t="n">
        <v>0</v>
      </c>
      <c r="Y57" s="131" t="n">
        <v>0</v>
      </c>
      <c r="Z57" s="132" t="n">
        <v>0</v>
      </c>
      <c r="AE57" s="121" t="n">
        <v>9</v>
      </c>
      <c r="AF57" t="inlineStr">
        <is>
          <t>MISC. ANTIVIRALS</t>
        </is>
      </c>
      <c r="AG57" s="122" t="n">
        <v>137793.6486695603</v>
      </c>
      <c r="AH57" s="56" t="n">
        <v>516.191071043153</v>
      </c>
    </row>
    <row r="58">
      <c r="B58" s="64" t="inlineStr">
        <is>
          <t>Non FDA Approved</t>
        </is>
      </c>
      <c r="D58" s="130" t="n">
        <v>0</v>
      </c>
      <c r="E58" s="131" t="n">
        <v>6</v>
      </c>
      <c r="F58" s="131" t="n">
        <v>0</v>
      </c>
      <c r="G58" s="131" t="n">
        <v>0</v>
      </c>
      <c r="H58" s="132" t="n">
        <v>6</v>
      </c>
      <c r="J58" s="130" t="n">
        <v>0</v>
      </c>
      <c r="K58" s="131" t="n">
        <v>6.885489488627885</v>
      </c>
      <c r="L58" s="131" t="n">
        <v>0</v>
      </c>
      <c r="M58" s="131" t="n">
        <v>0</v>
      </c>
      <c r="N58" s="132" t="n">
        <v>6.885489488627885</v>
      </c>
      <c r="P58" s="130" t="n">
        <v>0</v>
      </c>
      <c r="Q58" s="131" t="n">
        <v>7.09762893823543</v>
      </c>
      <c r="R58" s="131" t="n">
        <v>0</v>
      </c>
      <c r="S58" s="131" t="n">
        <v>0</v>
      </c>
      <c r="T58" s="132" t="n">
        <v>7.09762893823543</v>
      </c>
      <c r="V58" s="130" t="n">
        <v>0</v>
      </c>
      <c r="W58" s="131" t="n">
        <v>7.29938773026082</v>
      </c>
      <c r="X58" s="131" t="n">
        <v>0</v>
      </c>
      <c r="Y58" s="131" t="n">
        <v>0</v>
      </c>
      <c r="Z58" s="132" t="n">
        <v>7.29938773026082</v>
      </c>
      <c r="AE58" s="121" t="n">
        <v>10</v>
      </c>
      <c r="AF58" t="inlineStr">
        <is>
          <t>OPHTHALMICS - RHO KINASE INHIBITOR &amp; COMBOS</t>
        </is>
      </c>
      <c r="AG58" s="122" t="n">
        <v>99535.70745840274</v>
      </c>
      <c r="AH58" s="56" t="n">
        <v>296.8783488091591</v>
      </c>
    </row>
    <row r="59">
      <c r="B59" s="64" t="inlineStr">
        <is>
          <t>LDD</t>
        </is>
      </c>
      <c r="D59" s="130" t="n">
        <v>18</v>
      </c>
      <c r="E59" s="131" t="n">
        <v>0</v>
      </c>
      <c r="F59" s="131" t="n">
        <v>0</v>
      </c>
      <c r="G59" s="131" t="n">
        <v>1</v>
      </c>
      <c r="H59" s="132" t="n">
        <v>19</v>
      </c>
      <c r="J59" s="130" t="n">
        <v>24.87719139716617</v>
      </c>
      <c r="K59" s="131" t="n">
        <v>0</v>
      </c>
      <c r="L59" s="131" t="n">
        <v>0</v>
      </c>
      <c r="M59" s="131" t="n">
        <v>0.6176590635903295</v>
      </c>
      <c r="N59" s="132" t="n">
        <v>25.4948504607565</v>
      </c>
      <c r="P59" s="130" t="n">
        <v>27.65663487526179</v>
      </c>
      <c r="Q59" s="131" t="n">
        <v>0</v>
      </c>
      <c r="R59" s="131" t="n">
        <v>0</v>
      </c>
      <c r="S59" s="131" t="n">
        <v>0.6107794764899804</v>
      </c>
      <c r="T59" s="132" t="n">
        <v>28.26741435175177</v>
      </c>
      <c r="V59" s="130" t="n">
        <v>31.05175440243663</v>
      </c>
      <c r="W59" s="131" t="n">
        <v>0</v>
      </c>
      <c r="X59" s="131" t="n">
        <v>0</v>
      </c>
      <c r="Y59" s="131" t="n">
        <v>0.6430482566932423</v>
      </c>
      <c r="Z59" s="132" t="n">
        <v>31.69480265912987</v>
      </c>
      <c r="AE59" s="121" t="n">
        <v>11</v>
      </c>
      <c r="AF59" t="inlineStr">
        <is>
          <t>POTASSIUM REMOVING AGENTS</t>
        </is>
      </c>
      <c r="AG59" s="122" t="n">
        <v>80592.0376122811</v>
      </c>
      <c r="AH59" s="56" t="n">
        <v>142.7523736965244</v>
      </c>
    </row>
    <row r="60">
      <c r="B60" s="64" t="inlineStr">
        <is>
          <t>Institutional NDCs</t>
        </is>
      </c>
      <c r="D60" s="130" t="n">
        <v>11</v>
      </c>
      <c r="E60" s="131" t="n">
        <v>0</v>
      </c>
      <c r="F60" s="131" t="n">
        <v>0</v>
      </c>
      <c r="G60" s="131" t="n">
        <v>0</v>
      </c>
      <c r="H60" s="132" t="n">
        <v>11</v>
      </c>
      <c r="J60" s="130" t="n">
        <v>12.15752497820848</v>
      </c>
      <c r="K60" s="131" t="n">
        <v>0</v>
      </c>
      <c r="L60" s="131" t="n">
        <v>0</v>
      </c>
      <c r="M60" s="131" t="n">
        <v>0</v>
      </c>
      <c r="N60" s="132" t="n">
        <v>12.15752497820848</v>
      </c>
      <c r="P60" s="130" t="n">
        <v>6.618249046619539</v>
      </c>
      <c r="Q60" s="131" t="n">
        <v>0</v>
      </c>
      <c r="R60" s="131" t="n">
        <v>0</v>
      </c>
      <c r="S60" s="131" t="n">
        <v>0</v>
      </c>
      <c r="T60" s="132" t="n">
        <v>6.618249046619539</v>
      </c>
      <c r="V60" s="130" t="n">
        <v>6.034114128367583</v>
      </c>
      <c r="W60" s="131" t="n">
        <v>0</v>
      </c>
      <c r="X60" s="131" t="n">
        <v>0</v>
      </c>
      <c r="Y60" s="131" t="n">
        <v>0</v>
      </c>
      <c r="Z60" s="132" t="n">
        <v>6.034114128367583</v>
      </c>
      <c r="AE60" s="121" t="n">
        <v>12</v>
      </c>
      <c r="AF60" t="inlineStr">
        <is>
          <t>OPHTHALMIC PROSTAGLANDINS</t>
        </is>
      </c>
      <c r="AG60" s="122" t="n">
        <v>74725.99272474778</v>
      </c>
      <c r="AH60" s="56" t="n">
        <v>255.6573809308344</v>
      </c>
    </row>
    <row r="61">
      <c r="B61" s="64" t="inlineStr">
        <is>
          <t>Formulary Exclusions</t>
        </is>
      </c>
      <c r="D61" s="130" t="n">
        <v>3636</v>
      </c>
      <c r="E61" s="131" t="n">
        <v>1603</v>
      </c>
      <c r="F61" s="131" t="n">
        <v>32</v>
      </c>
      <c r="G61" s="131" t="n">
        <v>0</v>
      </c>
      <c r="H61" s="132" t="n">
        <v>5271</v>
      </c>
      <c r="J61" s="130" t="n">
        <v>6044.873869593554</v>
      </c>
      <c r="K61" s="131" t="n">
        <v>3778.992897518413</v>
      </c>
      <c r="L61" s="131" t="n">
        <v>69.29836851932255</v>
      </c>
      <c r="M61" s="131" t="n">
        <v>0</v>
      </c>
      <c r="N61" s="132" t="n">
        <v>9893.16513563129</v>
      </c>
      <c r="P61" s="130" t="n">
        <v>6228.77688994102</v>
      </c>
      <c r="Q61" s="131" t="n">
        <v>3999.114543167051</v>
      </c>
      <c r="R61" s="131" t="n">
        <v>73.5852791072068</v>
      </c>
      <c r="S61" s="131" t="n">
        <v>0</v>
      </c>
      <c r="T61" s="132" t="n">
        <v>10301.47671221528</v>
      </c>
      <c r="V61" s="130" t="n">
        <v>6447.101264258589</v>
      </c>
      <c r="W61" s="131" t="n">
        <v>4230.066745339465</v>
      </c>
      <c r="X61" s="131" t="n">
        <v>77.66240762792478</v>
      </c>
      <c r="Y61" s="131" t="n">
        <v>0</v>
      </c>
      <c r="Z61" s="132" t="n">
        <v>10754.83041722598</v>
      </c>
      <c r="AE61" s="121" t="n">
        <v>13</v>
      </c>
      <c r="AF61" t="inlineStr">
        <is>
          <t>ATYPICAL ANTIPSYCHOTICS</t>
        </is>
      </c>
      <c r="AG61" s="122" t="n">
        <v>74123.41884144767</v>
      </c>
      <c r="AH61" s="56" t="n">
        <v>334.3074243189063</v>
      </c>
    </row>
    <row r="62">
      <c r="B62" s="64" t="inlineStr">
        <is>
          <t>Synthroid</t>
        </is>
      </c>
      <c r="D62" s="130" t="n">
        <v>331</v>
      </c>
      <c r="E62" s="131" t="n">
        <v>641</v>
      </c>
      <c r="F62" s="131" t="n">
        <v>4</v>
      </c>
      <c r="G62" s="131" t="n">
        <v>0</v>
      </c>
      <c r="H62" s="132" t="n">
        <v>976</v>
      </c>
      <c r="J62" s="130" t="n">
        <v>351.9287478386029</v>
      </c>
      <c r="K62" s="131" t="n">
        <v>695.2653220010801</v>
      </c>
      <c r="L62" s="131" t="n">
        <v>4.363987808065344</v>
      </c>
      <c r="M62" s="131" t="n">
        <v>0</v>
      </c>
      <c r="N62" s="132" t="n">
        <v>1051.558057647748</v>
      </c>
      <c r="P62" s="130" t="n">
        <v>344.8677977438759</v>
      </c>
      <c r="Q62" s="131" t="n">
        <v>695.6708181072372</v>
      </c>
      <c r="R62" s="131" t="n">
        <v>4.376881306996877</v>
      </c>
      <c r="S62" s="131" t="n">
        <v>0</v>
      </c>
      <c r="T62" s="132" t="n">
        <v>1044.91549715811</v>
      </c>
      <c r="V62" s="130" t="n">
        <v>337.2252462051625</v>
      </c>
      <c r="W62" s="131" t="n">
        <v>693.7423997998153</v>
      </c>
      <c r="X62" s="131" t="n">
        <v>4.349920807420687</v>
      </c>
      <c r="Y62" s="131" t="n">
        <v>0</v>
      </c>
      <c r="Z62" s="132" t="n">
        <v>1035.317566812398</v>
      </c>
      <c r="AE62" s="121" t="n">
        <v>14</v>
      </c>
      <c r="AF62" t="inlineStr">
        <is>
          <t>ANTIARRHYTHMICS</t>
        </is>
      </c>
      <c r="AG62" s="122" t="n">
        <v>70460.76881978758</v>
      </c>
      <c r="AH62" s="56" t="n">
        <v>117.9723870114664</v>
      </c>
    </row>
    <row r="63">
      <c r="B63" s="64" t="inlineStr">
        <is>
          <t>Misc</t>
        </is>
      </c>
      <c r="D63" s="130" t="n">
        <v>1712</v>
      </c>
      <c r="E63" s="131" t="n">
        <v>1322</v>
      </c>
      <c r="F63" s="131" t="n">
        <v>21</v>
      </c>
      <c r="G63" s="131" t="n">
        <v>2977</v>
      </c>
      <c r="H63" s="132" t="n">
        <v>6032</v>
      </c>
      <c r="J63" s="130" t="n">
        <v>2692.467611904198</v>
      </c>
      <c r="K63" s="131" t="n">
        <v>2139.409809914607</v>
      </c>
      <c r="L63" s="131" t="n">
        <v>34.42048685206294</v>
      </c>
      <c r="M63" s="131" t="n">
        <v>4055.662939861252</v>
      </c>
      <c r="N63" s="132" t="n">
        <v>8921.960848532119</v>
      </c>
      <c r="P63" s="130" t="n">
        <v>3161.627253255683</v>
      </c>
      <c r="Q63" s="131" t="n">
        <v>2604.953328398546</v>
      </c>
      <c r="R63" s="131" t="n">
        <v>42.03577551248003</v>
      </c>
      <c r="S63" s="131" t="n">
        <v>4367.592784770583</v>
      </c>
      <c r="T63" s="132" t="n">
        <v>10176.20914193729</v>
      </c>
      <c r="V63" s="130" t="n">
        <v>3718.42453944005</v>
      </c>
      <c r="W63" s="131" t="n">
        <v>3171.189177178967</v>
      </c>
      <c r="X63" s="131" t="n">
        <v>51.03255827472316</v>
      </c>
      <c r="Y63" s="131" t="n">
        <v>4661.350612147647</v>
      </c>
      <c r="Z63" s="132" t="n">
        <v>11601.99688704139</v>
      </c>
      <c r="AE63" s="121" t="n">
        <v>15</v>
      </c>
      <c r="AF63" t="inlineStr">
        <is>
          <t>OPIOID AGONISTS &amp; COMBOS</t>
        </is>
      </c>
      <c r="AG63" s="122" t="n">
        <v>69529.4815161007</v>
      </c>
      <c r="AH63" s="56" t="n">
        <v>199.0707660676643</v>
      </c>
    </row>
    <row r="64">
      <c r="B64" s="64" t="inlineStr">
        <is>
          <t>Specialty</t>
        </is>
      </c>
      <c r="D64" s="133" t="n">
        <v>0</v>
      </c>
      <c r="E64" s="134" t="n">
        <v>0</v>
      </c>
      <c r="F64" s="134" t="n">
        <v>0</v>
      </c>
      <c r="G64" s="134" t="n">
        <v>2977</v>
      </c>
      <c r="H64" s="135" t="n">
        <v>2977</v>
      </c>
      <c r="J64" s="133" t="n">
        <v>0</v>
      </c>
      <c r="K64" s="134" t="n">
        <v>0</v>
      </c>
      <c r="L64" s="134" t="n">
        <v>0</v>
      </c>
      <c r="M64" s="134" t="n">
        <v>4055.659530255103</v>
      </c>
      <c r="N64" s="135" t="n">
        <v>4055.659530255103</v>
      </c>
      <c r="P64" s="133" t="n">
        <v>0</v>
      </c>
      <c r="Q64" s="134" t="n">
        <v>0</v>
      </c>
      <c r="R64" s="134" t="n">
        <v>0</v>
      </c>
      <c r="S64" s="134" t="n">
        <v>4367.589286582866</v>
      </c>
      <c r="T64" s="135" t="n">
        <v>4367.589286582866</v>
      </c>
      <c r="V64" s="133" t="n">
        <v>0</v>
      </c>
      <c r="W64" s="134" t="n">
        <v>0</v>
      </c>
      <c r="X64" s="134" t="n">
        <v>0</v>
      </c>
      <c r="Y64" s="134" t="n">
        <v>4661.347007650006</v>
      </c>
      <c r="Z64" s="135" t="n">
        <v>4661.347007650006</v>
      </c>
      <c r="AE64" s="121" t="n">
        <v>16</v>
      </c>
      <c r="AF64" t="inlineStr">
        <is>
          <t>SEDATIVE HYPNOTICS</t>
        </is>
      </c>
      <c r="AG64" s="122" t="n">
        <v>69517.67772777994</v>
      </c>
      <c r="AH64" s="56" t="n">
        <v>194.3574113273374</v>
      </c>
    </row>
    <row r="65">
      <c r="A65" s="98" t="inlineStr">
        <is>
          <t>Added MFP row but needs adjusting for non-CY(Should just need adjustment in Exclusion Summary)</t>
        </is>
      </c>
      <c r="B65" s="64" t="inlineStr">
        <is>
          <t>MFP 2026, 2027</t>
        </is>
      </c>
      <c r="D65" s="133" t="n">
        <v>0</v>
      </c>
      <c r="E65" s="134" t="n">
        <v>0</v>
      </c>
      <c r="F65" s="134" t="n">
        <v>0</v>
      </c>
      <c r="G65" s="134" t="n">
        <v>0</v>
      </c>
      <c r="H65" s="135" t="n">
        <v>0</v>
      </c>
      <c r="J65" s="133" t="n">
        <v>0</v>
      </c>
      <c r="K65" s="134" t="n">
        <v>0</v>
      </c>
      <c r="L65" s="134" t="n">
        <v>0</v>
      </c>
      <c r="M65" s="134" t="n">
        <v>0</v>
      </c>
      <c r="N65" s="135" t="n">
        <v>0</v>
      </c>
      <c r="P65" s="133" t="n">
        <v>0</v>
      </c>
      <c r="Q65" s="134" t="n">
        <v>0</v>
      </c>
      <c r="R65" s="134" t="n">
        <v>0</v>
      </c>
      <c r="S65" s="134" t="n">
        <v>0</v>
      </c>
      <c r="T65" s="135" t="n">
        <v>0</v>
      </c>
      <c r="V65" s="133" t="n">
        <v>0</v>
      </c>
      <c r="W65" s="134" t="n">
        <v>0</v>
      </c>
      <c r="X65" s="134" t="n">
        <v>0</v>
      </c>
      <c r="Y65" s="134" t="n">
        <v>0</v>
      </c>
      <c r="Z65" s="135" t="n">
        <v>0</v>
      </c>
      <c r="AE65" s="121" t="n">
        <v>17</v>
      </c>
      <c r="AF65" t="inlineStr">
        <is>
          <t>INSULIN ADMINISTRATION SUPPLIES</t>
        </is>
      </c>
      <c r="AG65" s="122" t="n">
        <v>55738.61394026375</v>
      </c>
      <c r="AH65" s="56" t="n">
        <v>151.7552846355375</v>
      </c>
    </row>
    <row r="66">
      <c r="A66" s="99" t="n"/>
      <c r="B66" s="100" t="inlineStr">
        <is>
          <t>ENTER DESC</t>
        </is>
      </c>
      <c r="D66" s="133" t="n">
        <v>0</v>
      </c>
      <c r="E66" s="134" t="n">
        <v>0</v>
      </c>
      <c r="F66" s="134" t="n">
        <v>0</v>
      </c>
      <c r="G66" s="134" t="n">
        <v>0</v>
      </c>
      <c r="H66" s="135" t="n">
        <v>0</v>
      </c>
      <c r="J66" s="133" t="n">
        <v>0</v>
      </c>
      <c r="K66" s="134" t="n">
        <v>0</v>
      </c>
      <c r="L66" s="134" t="n">
        <v>0</v>
      </c>
      <c r="M66" s="134" t="n">
        <v>0</v>
      </c>
      <c r="N66" s="135" t="n">
        <v>0</v>
      </c>
      <c r="P66" s="133" t="n">
        <v>0</v>
      </c>
      <c r="Q66" s="134" t="n">
        <v>0</v>
      </c>
      <c r="R66" s="134" t="n">
        <v>0</v>
      </c>
      <c r="S66" s="134" t="n">
        <v>0</v>
      </c>
      <c r="T66" s="135" t="n">
        <v>0</v>
      </c>
      <c r="V66" s="133" t="n">
        <v>0</v>
      </c>
      <c r="W66" s="134" t="n">
        <v>0</v>
      </c>
      <c r="X66" s="134" t="n">
        <v>0</v>
      </c>
      <c r="Y66" s="134" t="n">
        <v>0</v>
      </c>
      <c r="Z66" s="135" t="n">
        <v>0</v>
      </c>
      <c r="AE66" s="121" t="n">
        <v>18</v>
      </c>
      <c r="AF66" t="inlineStr">
        <is>
          <t>INHALED CORTICOSTEROIDS (ICS)</t>
        </is>
      </c>
      <c r="AG66" s="122" t="n">
        <v>49793.66072695296</v>
      </c>
      <c r="AH66" s="56" t="n">
        <v>277.8875106397298</v>
      </c>
    </row>
    <row r="67" ht="15" customHeight="1" thickBot="1">
      <c r="B67" s="59" t="inlineStr">
        <is>
          <t>Non-Rebatable</t>
        </is>
      </c>
      <c r="D67" s="136" t="n">
        <v>0</v>
      </c>
      <c r="E67" s="137" t="n">
        <v>0</v>
      </c>
      <c r="F67" s="137" t="n">
        <v>0</v>
      </c>
      <c r="G67" s="137" t="n">
        <v>0</v>
      </c>
      <c r="H67" s="138" t="n">
        <v>0</v>
      </c>
      <c r="J67" s="139" t="n">
        <v>32665.80535718387</v>
      </c>
      <c r="K67" s="140" t="n">
        <v>14983.82477133271</v>
      </c>
      <c r="L67" s="140" t="n">
        <v>202.3739864950116</v>
      </c>
      <c r="M67" s="140" t="n">
        <v>552.1088310115437</v>
      </c>
      <c r="N67" s="141" t="n">
        <v>48404.11294602313</v>
      </c>
      <c r="P67" s="139" t="n">
        <v>29468.774697933</v>
      </c>
      <c r="Q67" s="140" t="n">
        <v>10340.41686575612</v>
      </c>
      <c r="R67" s="140" t="n">
        <v>142.2558187419964</v>
      </c>
      <c r="S67" s="140" t="n">
        <v>529.4434178862319</v>
      </c>
      <c r="T67" s="141" t="n">
        <v>40480.89080031734</v>
      </c>
      <c r="V67" s="139" t="n">
        <v>27700.89671012675</v>
      </c>
      <c r="W67" s="140" t="n">
        <v>8009.429015133595</v>
      </c>
      <c r="X67" s="140" t="n">
        <v>115.5740789429929</v>
      </c>
      <c r="Y67" s="140" t="n">
        <v>507.7439456670621</v>
      </c>
      <c r="Z67" s="141" t="n">
        <v>36333.6437498704</v>
      </c>
      <c r="AE67" s="121" t="n">
        <v>19</v>
      </c>
      <c r="AF67" t="inlineStr">
        <is>
          <t>OPHTHALMIC INTEGRIN ANTAGONIST</t>
        </is>
      </c>
      <c r="AG67" s="122" t="n">
        <v>46640.6967822281</v>
      </c>
      <c r="AH67" s="56" t="n">
        <v>53.6482790888362</v>
      </c>
    </row>
    <row r="68" ht="15.6" customHeight="1" thickBot="1" thickTop="1">
      <c r="B68" s="69" t="inlineStr">
        <is>
          <t>Total</t>
        </is>
      </c>
      <c r="D68" s="142" t="n">
        <v>5708</v>
      </c>
      <c r="E68" s="143" t="n">
        <v>3572</v>
      </c>
      <c r="F68" s="143" t="n">
        <v>57</v>
      </c>
      <c r="G68" s="143" t="n">
        <v>2978</v>
      </c>
      <c r="H68" s="144" t="n">
        <v>15292</v>
      </c>
      <c r="J68" s="142" t="n">
        <v>41792.1103028956</v>
      </c>
      <c r="K68" s="143" t="n">
        <v>21604.37829025543</v>
      </c>
      <c r="L68" s="143" t="n">
        <v>310.4568296744625</v>
      </c>
      <c r="M68" s="143" t="n">
        <v>4608.389429936386</v>
      </c>
      <c r="N68" s="144" t="n">
        <v>72370.99438301698</v>
      </c>
      <c r="P68" s="142" t="n">
        <v>39238.32152279546</v>
      </c>
      <c r="Q68" s="143" t="n">
        <v>17647.25318436719</v>
      </c>
      <c r="R68" s="143" t="n">
        <v>262.2537546686801</v>
      </c>
      <c r="S68" s="143" t="n">
        <v>4897.646982133305</v>
      </c>
      <c r="T68" s="144" t="n">
        <v>66413.06473054748</v>
      </c>
      <c r="V68" s="142" t="n">
        <v>38240.73362856136</v>
      </c>
      <c r="W68" s="143" t="n">
        <v>16111.7267251821</v>
      </c>
      <c r="X68" s="143" t="n">
        <v>248.6189656530615</v>
      </c>
      <c r="Y68" s="143" t="n">
        <v>5169.737606071402</v>
      </c>
      <c r="Z68" s="144" t="n">
        <v>64432.16393311792</v>
      </c>
      <c r="AE68" s="124" t="n">
        <v>20</v>
      </c>
      <c r="AF68" s="82" t="inlineStr">
        <is>
          <t>RAPID ACTING</t>
        </is>
      </c>
      <c r="AG68" s="125" t="n">
        <v>40941.91924881711</v>
      </c>
      <c r="AH68" s="84" t="n">
        <v>800.1560408871605</v>
      </c>
    </row>
    <row r="69" ht="15" customHeight="1" thickBot="1">
      <c r="D69" s="145" t="n"/>
      <c r="E69" s="145" t="n"/>
      <c r="F69" s="145" t="n"/>
      <c r="G69" s="145" t="n"/>
      <c r="H69" s="145" t="n"/>
      <c r="J69" s="145" t="n"/>
      <c r="K69" s="145" t="n"/>
      <c r="L69" s="145" t="n"/>
      <c r="M69" s="145" t="n"/>
      <c r="N69" s="145" t="n"/>
      <c r="P69" s="145" t="n"/>
      <c r="Q69" s="145" t="n"/>
      <c r="R69" s="145" t="n"/>
      <c r="S69" s="145" t="n"/>
      <c r="T69" s="145" t="n"/>
      <c r="V69" s="145" t="n"/>
      <c r="W69" s="145" t="n"/>
      <c r="X69" s="145" t="n"/>
      <c r="Y69" s="145" t="n"/>
      <c r="Z69" s="145" t="n"/>
    </row>
    <row r="70" ht="15" customHeight="1" thickBot="1">
      <c r="B70" s="27" t="inlineStr">
        <is>
          <t>Excl - Generic</t>
        </is>
      </c>
      <c r="D70" s="28" t="inlineStr">
        <is>
          <t>R30</t>
        </is>
      </c>
      <c r="E70" s="29" t="inlineStr">
        <is>
          <t>R90</t>
        </is>
      </c>
      <c r="F70" s="29" t="inlineStr">
        <is>
          <t>Mail</t>
        </is>
      </c>
      <c r="G70" s="29" t="inlineStr">
        <is>
          <t>Specialty</t>
        </is>
      </c>
      <c r="H70" s="30" t="inlineStr">
        <is>
          <t>Total</t>
        </is>
      </c>
      <c r="J70" s="28" t="inlineStr">
        <is>
          <t>R30</t>
        </is>
      </c>
      <c r="K70" s="29" t="inlineStr">
        <is>
          <t>R90</t>
        </is>
      </c>
      <c r="L70" s="29" t="inlineStr">
        <is>
          <t>Mail</t>
        </is>
      </c>
      <c r="M70" s="29" t="inlineStr">
        <is>
          <t>Specialty</t>
        </is>
      </c>
      <c r="N70" s="30" t="inlineStr">
        <is>
          <t>Total</t>
        </is>
      </c>
      <c r="P70" s="28" t="inlineStr">
        <is>
          <t>R30</t>
        </is>
      </c>
      <c r="Q70" s="29" t="inlineStr">
        <is>
          <t>R90</t>
        </is>
      </c>
      <c r="R70" s="29" t="inlineStr">
        <is>
          <t>Mail</t>
        </is>
      </c>
      <c r="S70" s="29" t="inlineStr">
        <is>
          <t>Specialty</t>
        </is>
      </c>
      <c r="T70" s="30" t="inlineStr">
        <is>
          <t>Total</t>
        </is>
      </c>
      <c r="V70" s="28" t="inlineStr">
        <is>
          <t>R30</t>
        </is>
      </c>
      <c r="W70" s="29" t="inlineStr">
        <is>
          <t>R90</t>
        </is>
      </c>
      <c r="X70" s="29" t="inlineStr">
        <is>
          <t>Mail</t>
        </is>
      </c>
      <c r="Y70" s="29" t="inlineStr">
        <is>
          <t>Specialty</t>
        </is>
      </c>
      <c r="Z70" s="30" t="inlineStr">
        <is>
          <t>Total</t>
        </is>
      </c>
    </row>
    <row r="71">
      <c r="B71" s="38" t="inlineStr">
        <is>
          <t>OTCs</t>
        </is>
      </c>
      <c r="D71" s="127" t="n">
        <v>0</v>
      </c>
      <c r="E71" s="128" t="n">
        <v>0</v>
      </c>
      <c r="F71" s="128" t="n">
        <v>0</v>
      </c>
      <c r="G71" s="128" t="n">
        <v>0</v>
      </c>
      <c r="H71" s="129" t="n">
        <v>0</v>
      </c>
      <c r="J71" s="127" t="n">
        <v>0</v>
      </c>
      <c r="K71" s="128" t="n">
        <v>0</v>
      </c>
      <c r="L71" s="128" t="n">
        <v>0</v>
      </c>
      <c r="M71" s="128" t="n">
        <v>0</v>
      </c>
      <c r="N71" s="129" t="n">
        <v>0</v>
      </c>
      <c r="P71" s="127" t="n">
        <v>0</v>
      </c>
      <c r="Q71" s="128" t="n">
        <v>0</v>
      </c>
      <c r="R71" s="128" t="n">
        <v>0</v>
      </c>
      <c r="S71" s="128" t="n">
        <v>0</v>
      </c>
      <c r="T71" s="129" t="n">
        <v>0</v>
      </c>
      <c r="V71" s="127" t="n">
        <v>0</v>
      </c>
      <c r="W71" s="128" t="n">
        <v>0</v>
      </c>
      <c r="X71" s="128" t="n">
        <v>0</v>
      </c>
      <c r="Y71" s="128" t="n">
        <v>0</v>
      </c>
      <c r="Z71" s="129" t="n">
        <v>0</v>
      </c>
    </row>
    <row r="72">
      <c r="B72" s="49" t="inlineStr">
        <is>
          <t>Devices</t>
        </is>
      </c>
      <c r="D72" s="130" t="n">
        <v>0</v>
      </c>
      <c r="E72" s="131" t="n">
        <v>0</v>
      </c>
      <c r="F72" s="131" t="n">
        <v>0</v>
      </c>
      <c r="G72" s="131" t="n">
        <v>0</v>
      </c>
      <c r="H72" s="132" t="n">
        <v>0</v>
      </c>
      <c r="J72" s="130" t="n">
        <v>0</v>
      </c>
      <c r="K72" s="131" t="n">
        <v>0</v>
      </c>
      <c r="L72" s="131" t="n">
        <v>0</v>
      </c>
      <c r="M72" s="131" t="n">
        <v>0</v>
      </c>
      <c r="N72" s="132" t="n">
        <v>0</v>
      </c>
      <c r="P72" s="130" t="n">
        <v>0</v>
      </c>
      <c r="Q72" s="131" t="n">
        <v>0</v>
      </c>
      <c r="R72" s="131" t="n">
        <v>0</v>
      </c>
      <c r="S72" s="131" t="n">
        <v>0</v>
      </c>
      <c r="T72" s="132" t="n">
        <v>0</v>
      </c>
      <c r="V72" s="130" t="n">
        <v>0</v>
      </c>
      <c r="W72" s="131" t="n">
        <v>0</v>
      </c>
      <c r="X72" s="131" t="n">
        <v>0</v>
      </c>
      <c r="Y72" s="131" t="n">
        <v>0</v>
      </c>
      <c r="Z72" s="132" t="n">
        <v>0</v>
      </c>
    </row>
    <row r="73">
      <c r="B73" s="64" t="inlineStr">
        <is>
          <t>Vaccines</t>
        </is>
      </c>
      <c r="D73" s="130" t="n">
        <v>0</v>
      </c>
      <c r="E73" s="131" t="n">
        <v>0</v>
      </c>
      <c r="F73" s="131" t="n">
        <v>0</v>
      </c>
      <c r="G73" s="131" t="n">
        <v>0</v>
      </c>
      <c r="H73" s="132" t="n">
        <v>0</v>
      </c>
      <c r="J73" s="130" t="n">
        <v>0</v>
      </c>
      <c r="K73" s="131" t="n">
        <v>0</v>
      </c>
      <c r="L73" s="131" t="n">
        <v>0</v>
      </c>
      <c r="M73" s="131" t="n">
        <v>0</v>
      </c>
      <c r="N73" s="132" t="n">
        <v>0</v>
      </c>
      <c r="P73" s="130" t="n">
        <v>0</v>
      </c>
      <c r="Q73" s="131" t="n">
        <v>0</v>
      </c>
      <c r="R73" s="131" t="n">
        <v>0</v>
      </c>
      <c r="S73" s="131" t="n">
        <v>0</v>
      </c>
      <c r="T73" s="132" t="n">
        <v>0</v>
      </c>
      <c r="V73" s="130" t="n">
        <v>0</v>
      </c>
      <c r="W73" s="131" t="n">
        <v>0</v>
      </c>
      <c r="X73" s="131" t="n">
        <v>0</v>
      </c>
      <c r="Y73" s="131" t="n">
        <v>0</v>
      </c>
      <c r="Z73" s="132" t="n">
        <v>0</v>
      </c>
    </row>
    <row r="74">
      <c r="B74" s="64" t="inlineStr">
        <is>
          <t>Repackaged</t>
        </is>
      </c>
      <c r="D74" s="130" t="n">
        <v>0</v>
      </c>
      <c r="E74" s="131" t="n">
        <v>0</v>
      </c>
      <c r="F74" s="131" t="n">
        <v>0</v>
      </c>
      <c r="G74" s="131" t="n">
        <v>0</v>
      </c>
      <c r="H74" s="132" t="n">
        <v>0</v>
      </c>
      <c r="J74" s="130" t="n">
        <v>0</v>
      </c>
      <c r="K74" s="131" t="n">
        <v>0</v>
      </c>
      <c r="L74" s="131" t="n">
        <v>0</v>
      </c>
      <c r="M74" s="131" t="n">
        <v>0</v>
      </c>
      <c r="N74" s="132" t="n">
        <v>0</v>
      </c>
      <c r="P74" s="130" t="n">
        <v>0</v>
      </c>
      <c r="Q74" s="131" t="n">
        <v>0</v>
      </c>
      <c r="R74" s="131" t="n">
        <v>0</v>
      </c>
      <c r="S74" s="131" t="n">
        <v>0</v>
      </c>
      <c r="T74" s="132" t="n">
        <v>0</v>
      </c>
      <c r="V74" s="130" t="n">
        <v>0</v>
      </c>
      <c r="W74" s="131" t="n">
        <v>0</v>
      </c>
      <c r="X74" s="131" t="n">
        <v>0</v>
      </c>
      <c r="Y74" s="131" t="n">
        <v>0</v>
      </c>
      <c r="Z74" s="132" t="n">
        <v>0</v>
      </c>
    </row>
    <row r="75">
      <c r="B75" s="64" t="inlineStr">
        <is>
          <t>MSBs</t>
        </is>
      </c>
      <c r="D75" s="130" t="n">
        <v>0</v>
      </c>
      <c r="E75" s="131" t="n">
        <v>0</v>
      </c>
      <c r="F75" s="131" t="n">
        <v>0</v>
      </c>
      <c r="G75" s="131" t="n">
        <v>0</v>
      </c>
      <c r="H75" s="132" t="n">
        <v>0</v>
      </c>
      <c r="J75" s="130" t="n">
        <v>0</v>
      </c>
      <c r="K75" s="131" t="n">
        <v>0</v>
      </c>
      <c r="L75" s="131" t="n">
        <v>0</v>
      </c>
      <c r="M75" s="131" t="n">
        <v>0</v>
      </c>
      <c r="N75" s="132" t="n">
        <v>0</v>
      </c>
      <c r="P75" s="130" t="n">
        <v>0</v>
      </c>
      <c r="Q75" s="131" t="n">
        <v>0</v>
      </c>
      <c r="R75" s="131" t="n">
        <v>0</v>
      </c>
      <c r="S75" s="131" t="n">
        <v>0</v>
      </c>
      <c r="T75" s="132" t="n">
        <v>0</v>
      </c>
      <c r="V75" s="130" t="n">
        <v>0</v>
      </c>
      <c r="W75" s="131" t="n">
        <v>0</v>
      </c>
      <c r="X75" s="131" t="n">
        <v>0</v>
      </c>
      <c r="Y75" s="131" t="n">
        <v>0</v>
      </c>
      <c r="Z75" s="132" t="n">
        <v>0</v>
      </c>
    </row>
    <row r="76">
      <c r="B76" s="64" t="inlineStr">
        <is>
          <t>Non FDA Approved</t>
        </is>
      </c>
      <c r="D76" s="130" t="n">
        <v>0</v>
      </c>
      <c r="E76" s="131" t="n">
        <v>0</v>
      </c>
      <c r="F76" s="131" t="n">
        <v>0</v>
      </c>
      <c r="G76" s="131" t="n">
        <v>0</v>
      </c>
      <c r="H76" s="132" t="n">
        <v>0</v>
      </c>
      <c r="J76" s="130" t="n">
        <v>0</v>
      </c>
      <c r="K76" s="131" t="n">
        <v>0</v>
      </c>
      <c r="L76" s="131" t="n">
        <v>0</v>
      </c>
      <c r="M76" s="131" t="n">
        <v>0</v>
      </c>
      <c r="N76" s="132" t="n">
        <v>0</v>
      </c>
      <c r="P76" s="130" t="n">
        <v>0</v>
      </c>
      <c r="Q76" s="131" t="n">
        <v>0</v>
      </c>
      <c r="R76" s="131" t="n">
        <v>0</v>
      </c>
      <c r="S76" s="131" t="n">
        <v>0</v>
      </c>
      <c r="T76" s="132" t="n">
        <v>0</v>
      </c>
      <c r="V76" s="130" t="n">
        <v>0</v>
      </c>
      <c r="W76" s="131" t="n">
        <v>0</v>
      </c>
      <c r="X76" s="131" t="n">
        <v>0</v>
      </c>
      <c r="Y76" s="131" t="n">
        <v>0</v>
      </c>
      <c r="Z76" s="132" t="n">
        <v>0</v>
      </c>
    </row>
    <row r="77">
      <c r="B77" s="64" t="inlineStr">
        <is>
          <t>LDD</t>
        </is>
      </c>
      <c r="D77" s="130" t="n">
        <v>0</v>
      </c>
      <c r="E77" s="131" t="n">
        <v>0</v>
      </c>
      <c r="F77" s="131" t="n">
        <v>0</v>
      </c>
      <c r="G77" s="131" t="n">
        <v>0</v>
      </c>
      <c r="H77" s="132" t="n">
        <v>0</v>
      </c>
      <c r="J77" s="130" t="n">
        <v>0</v>
      </c>
      <c r="K77" s="131" t="n">
        <v>0</v>
      </c>
      <c r="L77" s="131" t="n">
        <v>0</v>
      </c>
      <c r="M77" s="131" t="n">
        <v>0.7494770222813295</v>
      </c>
      <c r="N77" s="132" t="n">
        <v>0.7494770222813295</v>
      </c>
      <c r="P77" s="130" t="n">
        <v>0</v>
      </c>
      <c r="Q77" s="131" t="n">
        <v>0</v>
      </c>
      <c r="R77" s="131" t="n">
        <v>0</v>
      </c>
      <c r="S77" s="131" t="n">
        <v>0.8356985266883201</v>
      </c>
      <c r="T77" s="132" t="n">
        <v>0.8356985266883201</v>
      </c>
      <c r="V77" s="130" t="n">
        <v>0</v>
      </c>
      <c r="W77" s="131" t="n">
        <v>0</v>
      </c>
      <c r="X77" s="131" t="n">
        <v>0</v>
      </c>
      <c r="Y77" s="131" t="n">
        <v>0.8963748172115763</v>
      </c>
      <c r="Z77" s="132" t="n">
        <v>0.8963748172115763</v>
      </c>
    </row>
    <row r="78">
      <c r="B78" s="64" t="inlineStr">
        <is>
          <t>Institutional NDCs</t>
        </is>
      </c>
      <c r="D78" s="130" t="n">
        <v>12</v>
      </c>
      <c r="E78" s="131" t="n">
        <v>0</v>
      </c>
      <c r="F78" s="131" t="n">
        <v>0</v>
      </c>
      <c r="G78" s="131" t="n">
        <v>0</v>
      </c>
      <c r="H78" s="132" t="n">
        <v>12</v>
      </c>
      <c r="J78" s="130" t="n">
        <v>14.09182804708895</v>
      </c>
      <c r="K78" s="131" t="n">
        <v>0</v>
      </c>
      <c r="L78" s="131" t="n">
        <v>0</v>
      </c>
      <c r="M78" s="131" t="n">
        <v>0</v>
      </c>
      <c r="N78" s="132" t="n">
        <v>14.09182804708895</v>
      </c>
      <c r="P78" s="130" t="n">
        <v>19.96087013213621</v>
      </c>
      <c r="Q78" s="131" t="n">
        <v>0</v>
      </c>
      <c r="R78" s="131" t="n">
        <v>0</v>
      </c>
      <c r="S78" s="131" t="n">
        <v>0</v>
      </c>
      <c r="T78" s="132" t="n">
        <v>19.96087013213621</v>
      </c>
      <c r="V78" s="130" t="n">
        <v>22.02775740512093</v>
      </c>
      <c r="W78" s="131" t="n">
        <v>0</v>
      </c>
      <c r="X78" s="131" t="n">
        <v>0</v>
      </c>
      <c r="Y78" s="131" t="n">
        <v>0</v>
      </c>
      <c r="Z78" s="132" t="n">
        <v>22.02775740512093</v>
      </c>
    </row>
    <row r="79" ht="15" customHeight="1">
      <c r="B79" s="64" t="inlineStr">
        <is>
          <t>Formulary Exclusions</t>
        </is>
      </c>
      <c r="D79" s="130" t="n">
        <v>2019</v>
      </c>
      <c r="E79" s="131" t="n">
        <v>2404</v>
      </c>
      <c r="F79" s="131" t="n">
        <v>10</v>
      </c>
      <c r="G79" s="131" t="n">
        <v>0</v>
      </c>
      <c r="H79" s="132" t="n">
        <v>4433</v>
      </c>
      <c r="J79" s="130" t="n">
        <v>2476.941695579429</v>
      </c>
      <c r="K79" s="131" t="n">
        <v>2849.092396586792</v>
      </c>
      <c r="L79" s="131" t="n">
        <v>11.82289063599359</v>
      </c>
      <c r="M79" s="131" t="n">
        <v>0</v>
      </c>
      <c r="N79" s="132" t="n">
        <v>5337.856982802215</v>
      </c>
      <c r="P79" s="130" t="n">
        <v>2558.682056625254</v>
      </c>
      <c r="Q79" s="131" t="n">
        <v>2925.262718709263</v>
      </c>
      <c r="R79" s="131" t="n">
        <v>12.15252135439121</v>
      </c>
      <c r="S79" s="131" t="n">
        <v>0</v>
      </c>
      <c r="T79" s="132" t="n">
        <v>5496.097296688908</v>
      </c>
      <c r="V79" s="130" t="n">
        <v>2611.881295037885</v>
      </c>
      <c r="W79" s="131" t="n">
        <v>2984.036659919333</v>
      </c>
      <c r="X79" s="131" t="n">
        <v>12.40600426369416</v>
      </c>
      <c r="Y79" s="131" t="n">
        <v>0</v>
      </c>
      <c r="Z79" s="132" t="n">
        <v>5608.323959220912</v>
      </c>
    </row>
    <row r="80">
      <c r="B80" s="64" t="inlineStr">
        <is>
          <t>Synthroid</t>
        </is>
      </c>
      <c r="D80" s="130" t="n">
        <v>0</v>
      </c>
      <c r="E80" s="131" t="n">
        <v>0</v>
      </c>
      <c r="F80" s="131" t="n">
        <v>0</v>
      </c>
      <c r="G80" s="131" t="n">
        <v>0</v>
      </c>
      <c r="H80" s="132" t="n">
        <v>0</v>
      </c>
      <c r="J80" s="130" t="n">
        <v>0</v>
      </c>
      <c r="K80" s="131" t="n">
        <v>0</v>
      </c>
      <c r="L80" s="131" t="n">
        <v>0</v>
      </c>
      <c r="M80" s="131" t="n">
        <v>0</v>
      </c>
      <c r="N80" s="132" t="n">
        <v>0</v>
      </c>
      <c r="P80" s="130" t="n">
        <v>0</v>
      </c>
      <c r="Q80" s="131" t="n">
        <v>0</v>
      </c>
      <c r="R80" s="131" t="n">
        <v>0</v>
      </c>
      <c r="S80" s="131" t="n">
        <v>0</v>
      </c>
      <c r="T80" s="132" t="n">
        <v>0</v>
      </c>
      <c r="V80" s="130" t="n">
        <v>0</v>
      </c>
      <c r="W80" s="131" t="n">
        <v>0</v>
      </c>
      <c r="X80" s="131" t="n">
        <v>0</v>
      </c>
      <c r="Y80" s="131" t="n">
        <v>0</v>
      </c>
      <c r="Z80" s="132" t="n">
        <v>0</v>
      </c>
    </row>
    <row r="81">
      <c r="B81" s="64" t="inlineStr">
        <is>
          <t>Misc</t>
        </is>
      </c>
      <c r="D81" s="130" t="n">
        <v>20</v>
      </c>
      <c r="E81" s="131" t="n">
        <v>0</v>
      </c>
      <c r="F81" s="131" t="n">
        <v>0</v>
      </c>
      <c r="G81" s="131" t="n">
        <v>383</v>
      </c>
      <c r="H81" s="132" t="n">
        <v>403</v>
      </c>
      <c r="J81" s="130" t="n">
        <v>22.84568983718054</v>
      </c>
      <c r="K81" s="131" t="n">
        <v>0</v>
      </c>
      <c r="L81" s="131" t="n">
        <v>0</v>
      </c>
      <c r="M81" s="131" t="n">
        <v>646.2757591213291</v>
      </c>
      <c r="N81" s="132" t="n">
        <v>669.1214489585096</v>
      </c>
      <c r="P81" s="130" t="n">
        <v>35.63096672660322</v>
      </c>
      <c r="Q81" s="131" t="n">
        <v>0</v>
      </c>
      <c r="R81" s="131" t="n">
        <v>0</v>
      </c>
      <c r="S81" s="131" t="n">
        <v>732.1357703742319</v>
      </c>
      <c r="T81" s="132" t="n">
        <v>767.7667371008351</v>
      </c>
      <c r="V81" s="130" t="n">
        <v>53.71684799538343</v>
      </c>
      <c r="W81" s="131" t="n">
        <v>0</v>
      </c>
      <c r="X81" s="131" t="n">
        <v>0</v>
      </c>
      <c r="Y81" s="131" t="n">
        <v>880.0595490867236</v>
      </c>
      <c r="Z81" s="132" t="n">
        <v>933.776397082107</v>
      </c>
    </row>
    <row r="82">
      <c r="B82" s="64" t="inlineStr">
        <is>
          <t>Specialty</t>
        </is>
      </c>
      <c r="D82" s="133" t="n">
        <v>0</v>
      </c>
      <c r="E82" s="134" t="n">
        <v>0</v>
      </c>
      <c r="F82" s="134" t="n">
        <v>0</v>
      </c>
      <c r="G82" s="134" t="n">
        <v>383</v>
      </c>
      <c r="H82" s="135" t="n">
        <v>383</v>
      </c>
      <c r="J82" s="133" t="n">
        <v>0</v>
      </c>
      <c r="K82" s="134" t="n">
        <v>0</v>
      </c>
      <c r="L82" s="134" t="n">
        <v>0</v>
      </c>
      <c r="M82" s="134" t="n">
        <v>646.2757591213291</v>
      </c>
      <c r="N82" s="135" t="n">
        <v>646.2757591213291</v>
      </c>
      <c r="P82" s="133" t="n">
        <v>0</v>
      </c>
      <c r="Q82" s="134" t="n">
        <v>0</v>
      </c>
      <c r="R82" s="134" t="n">
        <v>0</v>
      </c>
      <c r="S82" s="134" t="n">
        <v>732.1357703742319</v>
      </c>
      <c r="T82" s="135" t="n">
        <v>732.1357703742319</v>
      </c>
      <c r="V82" s="133" t="n">
        <v>0</v>
      </c>
      <c r="W82" s="134" t="n">
        <v>0</v>
      </c>
      <c r="X82" s="134" t="n">
        <v>0</v>
      </c>
      <c r="Y82" s="134" t="n">
        <v>880.0595490867236</v>
      </c>
      <c r="Z82" s="135" t="n">
        <v>880.0595490867236</v>
      </c>
    </row>
    <row r="83">
      <c r="A83" s="98" t="inlineStr">
        <is>
          <t>Added MFP row but needs adjusting for non-CY</t>
        </is>
      </c>
      <c r="B83" s="64" t="inlineStr">
        <is>
          <t>MFP 2026, 2027</t>
        </is>
      </c>
      <c r="D83" s="133" t="n">
        <v>0</v>
      </c>
      <c r="E83" s="134" t="n">
        <v>0</v>
      </c>
      <c r="F83" s="134" t="n">
        <v>0</v>
      </c>
      <c r="G83" s="134" t="n">
        <v>0</v>
      </c>
      <c r="H83" s="135" t="n">
        <v>0</v>
      </c>
      <c r="J83" s="133" t="n">
        <v>0</v>
      </c>
      <c r="K83" s="134" t="n">
        <v>0</v>
      </c>
      <c r="L83" s="134" t="n">
        <v>0</v>
      </c>
      <c r="M83" s="134" t="n">
        <v>0</v>
      </c>
      <c r="N83" s="135" t="n">
        <v>0</v>
      </c>
      <c r="P83" s="133" t="n">
        <v>0</v>
      </c>
      <c r="Q83" s="134" t="n">
        <v>0</v>
      </c>
      <c r="R83" s="134" t="n">
        <v>0</v>
      </c>
      <c r="S83" s="134" t="n">
        <v>0</v>
      </c>
      <c r="T83" s="135" t="n">
        <v>0</v>
      </c>
      <c r="V83" s="133" t="n">
        <v>0</v>
      </c>
      <c r="W83" s="134" t="n">
        <v>0</v>
      </c>
      <c r="X83" s="134" t="n">
        <v>0</v>
      </c>
      <c r="Y83" s="134" t="n">
        <v>0</v>
      </c>
      <c r="Z83" s="135" t="n">
        <v>0</v>
      </c>
    </row>
    <row r="84">
      <c r="B84" s="100">
        <f>$B$66</f>
        <v/>
      </c>
      <c r="D84" s="133" t="n">
        <v>0</v>
      </c>
      <c r="E84" s="134" t="n">
        <v>0</v>
      </c>
      <c r="F84" s="134" t="n">
        <v>0</v>
      </c>
      <c r="G84" s="134" t="n">
        <v>0</v>
      </c>
      <c r="H84" s="135" t="n">
        <v>0</v>
      </c>
      <c r="J84" s="133" t="n">
        <v>0</v>
      </c>
      <c r="K84" s="134" t="n">
        <v>0</v>
      </c>
      <c r="L84" s="134" t="n">
        <v>0</v>
      </c>
      <c r="M84" s="134" t="n">
        <v>0</v>
      </c>
      <c r="N84" s="135" t="n">
        <v>0</v>
      </c>
      <c r="P84" s="133" t="n">
        <v>0</v>
      </c>
      <c r="Q84" s="134" t="n">
        <v>0</v>
      </c>
      <c r="R84" s="134" t="n">
        <v>0</v>
      </c>
      <c r="S84" s="134" t="n">
        <v>0</v>
      </c>
      <c r="T84" s="135" t="n">
        <v>0</v>
      </c>
      <c r="V84" s="133" t="n">
        <v>0</v>
      </c>
      <c r="W84" s="134" t="n">
        <v>0</v>
      </c>
      <c r="X84" s="134" t="n">
        <v>0</v>
      </c>
      <c r="Y84" s="134" t="n">
        <v>0</v>
      </c>
      <c r="Z84" s="135" t="n">
        <v>0</v>
      </c>
    </row>
    <row r="85" ht="15" customHeight="1" thickBot="1">
      <c r="B85" s="59" t="inlineStr">
        <is>
          <t>Non-Rebatable</t>
        </is>
      </c>
      <c r="D85" s="136" t="n">
        <v>0</v>
      </c>
      <c r="E85" s="137" t="n">
        <v>0</v>
      </c>
      <c r="F85" s="137" t="n">
        <v>0</v>
      </c>
      <c r="G85" s="137" t="n">
        <v>0</v>
      </c>
      <c r="H85" s="138" t="n">
        <v>0</v>
      </c>
      <c r="J85" s="139" t="n">
        <v>239343.9668228973</v>
      </c>
      <c r="K85" s="140" t="n">
        <v>246638.3140649248</v>
      </c>
      <c r="L85" s="140" t="n">
        <v>3884.037794688341</v>
      </c>
      <c r="M85" s="140" t="n">
        <v>0</v>
      </c>
      <c r="N85" s="141" t="n">
        <v>489866.3186825104</v>
      </c>
      <c r="P85" s="139" t="n">
        <v>244499.1255482345</v>
      </c>
      <c r="Q85" s="140" t="n">
        <v>252865.283451084</v>
      </c>
      <c r="R85" s="140" t="n">
        <v>3973.333705512458</v>
      </c>
      <c r="S85" s="140" t="n">
        <v>0</v>
      </c>
      <c r="T85" s="141" t="n">
        <v>501337.7427048309</v>
      </c>
      <c r="V85" s="139" t="n">
        <v>248584.5047241183</v>
      </c>
      <c r="W85" s="140" t="n">
        <v>256728.376959773</v>
      </c>
      <c r="X85" s="140" t="n">
        <v>4026.4599762026</v>
      </c>
      <c r="Y85" s="140" t="n">
        <v>0</v>
      </c>
      <c r="Z85" s="141" t="n">
        <v>509339.3416600939</v>
      </c>
    </row>
    <row r="86" ht="15.6" customHeight="1" thickBot="1" thickTop="1">
      <c r="B86" s="69" t="inlineStr">
        <is>
          <t>Total</t>
        </is>
      </c>
      <c r="D86" s="142" t="n">
        <v>2051</v>
      </c>
      <c r="E86" s="143" t="n">
        <v>2404</v>
      </c>
      <c r="F86" s="143" t="n">
        <v>10</v>
      </c>
      <c r="G86" s="143" t="n">
        <v>383</v>
      </c>
      <c r="H86" s="144" t="n">
        <v>5231</v>
      </c>
      <c r="J86" s="142" t="n">
        <v>241857.846036361</v>
      </c>
      <c r="K86" s="143" t="n">
        <v>249487.4064615115</v>
      </c>
      <c r="L86" s="143" t="n">
        <v>3895.860685324335</v>
      </c>
      <c r="M86" s="143" t="n">
        <v>647.0252361436104</v>
      </c>
      <c r="N86" s="144" t="n">
        <v>496534.4141784618</v>
      </c>
      <c r="P86" s="142" t="n">
        <v>247113.3994417185</v>
      </c>
      <c r="Q86" s="143" t="n">
        <v>255790.5461697932</v>
      </c>
      <c r="R86" s="143" t="n">
        <v>3985.486226866849</v>
      </c>
      <c r="S86" s="143" t="n">
        <v>732.9714689009203</v>
      </c>
      <c r="T86" s="144" t="n">
        <v>508354.5390776537</v>
      </c>
      <c r="V86" s="142" t="n">
        <v>251272.1306245567</v>
      </c>
      <c r="W86" s="143" t="n">
        <v>259712.4136196924</v>
      </c>
      <c r="X86" s="143" t="n">
        <v>4038.865980466294</v>
      </c>
      <c r="Y86" s="143" t="n">
        <v>880.9559239039352</v>
      </c>
      <c r="Z86" s="144" t="n">
        <v>516784.4256977059</v>
      </c>
    </row>
    <row r="87" ht="15" customHeight="1" thickBot="1">
      <c r="D87" s="145" t="n"/>
      <c r="E87" s="145" t="n"/>
      <c r="F87" s="145" t="n"/>
      <c r="G87" s="145" t="n"/>
      <c r="H87" s="145" t="n"/>
      <c r="J87" s="145" t="n"/>
      <c r="K87" s="145" t="n"/>
      <c r="L87" s="145" t="n"/>
      <c r="M87" s="145" t="n"/>
      <c r="N87" s="145" t="n"/>
      <c r="P87" s="145" t="n"/>
      <c r="Q87" s="145" t="n"/>
      <c r="R87" s="145" t="n"/>
      <c r="S87" s="145" t="n"/>
      <c r="T87" s="145" t="n"/>
      <c r="V87" s="145" t="n"/>
      <c r="W87" s="145" t="n"/>
      <c r="X87" s="145" t="n"/>
      <c r="Y87" s="145" t="n"/>
      <c r="Z87" s="145" t="n"/>
    </row>
    <row r="88" ht="15" customHeight="1" thickBot="1">
      <c r="B88" s="27" t="inlineStr">
        <is>
          <t>Excl - Total</t>
        </is>
      </c>
      <c r="D88" s="28" t="inlineStr">
        <is>
          <t>R30</t>
        </is>
      </c>
      <c r="E88" s="29" t="inlineStr">
        <is>
          <t>R90</t>
        </is>
      </c>
      <c r="F88" s="29" t="inlineStr">
        <is>
          <t>Mail</t>
        </is>
      </c>
      <c r="G88" s="29" t="inlineStr">
        <is>
          <t>Specialty</t>
        </is>
      </c>
      <c r="H88" s="30" t="inlineStr">
        <is>
          <t>Total</t>
        </is>
      </c>
      <c r="J88" s="28" t="inlineStr">
        <is>
          <t>R30</t>
        </is>
      </c>
      <c r="K88" s="29" t="inlineStr">
        <is>
          <t>R90</t>
        </is>
      </c>
      <c r="L88" s="29" t="inlineStr">
        <is>
          <t>Mail</t>
        </is>
      </c>
      <c r="M88" s="29" t="inlineStr">
        <is>
          <t>Specialty</t>
        </is>
      </c>
      <c r="N88" s="30" t="inlineStr">
        <is>
          <t>Total</t>
        </is>
      </c>
      <c r="P88" s="28" t="inlineStr">
        <is>
          <t>R30</t>
        </is>
      </c>
      <c r="Q88" s="29" t="inlineStr">
        <is>
          <t>R90</t>
        </is>
      </c>
      <c r="R88" s="29" t="inlineStr">
        <is>
          <t>Mail</t>
        </is>
      </c>
      <c r="S88" s="29" t="inlineStr">
        <is>
          <t>Specialty</t>
        </is>
      </c>
      <c r="T88" s="30" t="inlineStr">
        <is>
          <t>Total</t>
        </is>
      </c>
      <c r="V88" s="28" t="inlineStr">
        <is>
          <t>R30</t>
        </is>
      </c>
      <c r="W88" s="29" t="inlineStr">
        <is>
          <t>R90</t>
        </is>
      </c>
      <c r="X88" s="29" t="inlineStr">
        <is>
          <t>Mail</t>
        </is>
      </c>
      <c r="Y88" s="29" t="inlineStr">
        <is>
          <t>Specialty</t>
        </is>
      </c>
      <c r="Z88" s="30" t="inlineStr">
        <is>
          <t>Total</t>
        </is>
      </c>
    </row>
    <row r="89">
      <c r="B89" s="38" t="inlineStr">
        <is>
          <t>OTCs</t>
        </is>
      </c>
      <c r="D89" s="127" t="n">
        <v>0</v>
      </c>
      <c r="E89" s="128" t="n">
        <v>0</v>
      </c>
      <c r="F89" s="128" t="n">
        <v>0</v>
      </c>
      <c r="G89" s="128" t="n">
        <v>0</v>
      </c>
      <c r="H89" s="129" t="n">
        <v>0</v>
      </c>
      <c r="J89" s="127" t="n">
        <v>0</v>
      </c>
      <c r="K89" s="128" t="n">
        <v>0</v>
      </c>
      <c r="L89" s="128" t="n">
        <v>0</v>
      </c>
      <c r="M89" s="128" t="n">
        <v>0</v>
      </c>
      <c r="N89" s="129" t="n">
        <v>0</v>
      </c>
      <c r="P89" s="127" t="n">
        <v>0</v>
      </c>
      <c r="Q89" s="128" t="n">
        <v>0</v>
      </c>
      <c r="R89" s="128" t="n">
        <v>0</v>
      </c>
      <c r="S89" s="128" t="n">
        <v>0</v>
      </c>
      <c r="T89" s="129" t="n">
        <v>0</v>
      </c>
      <c r="V89" s="127" t="n">
        <v>0</v>
      </c>
      <c r="W89" s="128" t="n">
        <v>0</v>
      </c>
      <c r="X89" s="128" t="n">
        <v>0</v>
      </c>
      <c r="Y89" s="128" t="n">
        <v>0</v>
      </c>
      <c r="Z89" s="129" t="n">
        <v>0</v>
      </c>
    </row>
    <row r="90">
      <c r="B90" s="49" t="inlineStr">
        <is>
          <t>Devices</t>
        </is>
      </c>
      <c r="D90" s="130" t="n">
        <v>0</v>
      </c>
      <c r="E90" s="131" t="n">
        <v>0</v>
      </c>
      <c r="F90" s="131" t="n">
        <v>0</v>
      </c>
      <c r="G90" s="131" t="n">
        <v>0</v>
      </c>
      <c r="H90" s="132" t="n">
        <v>0</v>
      </c>
      <c r="J90" s="130" t="n">
        <v>0</v>
      </c>
      <c r="K90" s="131" t="n">
        <v>0</v>
      </c>
      <c r="L90" s="131" t="n">
        <v>0</v>
      </c>
      <c r="M90" s="131" t="n">
        <v>0</v>
      </c>
      <c r="N90" s="132" t="n">
        <v>0</v>
      </c>
      <c r="P90" s="130" t="n">
        <v>0</v>
      </c>
      <c r="Q90" s="131" t="n">
        <v>0</v>
      </c>
      <c r="R90" s="131" t="n">
        <v>0</v>
      </c>
      <c r="S90" s="131" t="n">
        <v>0</v>
      </c>
      <c r="T90" s="132" t="n">
        <v>0</v>
      </c>
      <c r="V90" s="130" t="n">
        <v>0</v>
      </c>
      <c r="W90" s="131" t="n">
        <v>0</v>
      </c>
      <c r="X90" s="131" t="n">
        <v>0</v>
      </c>
      <c r="Y90" s="131" t="n">
        <v>0</v>
      </c>
      <c r="Z90" s="132" t="n">
        <v>0</v>
      </c>
    </row>
    <row r="91">
      <c r="B91" s="64" t="inlineStr">
        <is>
          <t>Vaccines</t>
        </is>
      </c>
      <c r="D91" s="130" t="n">
        <v>0</v>
      </c>
      <c r="E91" s="131" t="n">
        <v>0</v>
      </c>
      <c r="F91" s="131" t="n">
        <v>0</v>
      </c>
      <c r="G91" s="131" t="n">
        <v>0</v>
      </c>
      <c r="H91" s="132" t="n">
        <v>0</v>
      </c>
      <c r="J91" s="130" t="n">
        <v>0</v>
      </c>
      <c r="K91" s="131" t="n">
        <v>0</v>
      </c>
      <c r="L91" s="131" t="n">
        <v>0</v>
      </c>
      <c r="M91" s="131" t="n">
        <v>0</v>
      </c>
      <c r="N91" s="132" t="n">
        <v>0</v>
      </c>
      <c r="P91" s="130" t="n">
        <v>0</v>
      </c>
      <c r="Q91" s="131" t="n">
        <v>0</v>
      </c>
      <c r="R91" s="131" t="n">
        <v>0</v>
      </c>
      <c r="S91" s="131" t="n">
        <v>0</v>
      </c>
      <c r="T91" s="132" t="n">
        <v>0</v>
      </c>
      <c r="V91" s="130" t="n">
        <v>0</v>
      </c>
      <c r="W91" s="131" t="n">
        <v>0</v>
      </c>
      <c r="X91" s="131" t="n">
        <v>0</v>
      </c>
      <c r="Y91" s="131" t="n">
        <v>0</v>
      </c>
      <c r="Z91" s="132" t="n">
        <v>0</v>
      </c>
    </row>
    <row r="92">
      <c r="B92" s="64" t="inlineStr">
        <is>
          <t>Repackaged</t>
        </is>
      </c>
      <c r="D92" s="130" t="n">
        <v>0</v>
      </c>
      <c r="E92" s="131" t="n">
        <v>0</v>
      </c>
      <c r="F92" s="131" t="n">
        <v>0</v>
      </c>
      <c r="G92" s="131" t="n">
        <v>0</v>
      </c>
      <c r="H92" s="132" t="n">
        <v>0</v>
      </c>
      <c r="J92" s="130" t="n">
        <v>0</v>
      </c>
      <c r="K92" s="131" t="n">
        <v>0</v>
      </c>
      <c r="L92" s="131" t="n">
        <v>0</v>
      </c>
      <c r="M92" s="131" t="n">
        <v>0</v>
      </c>
      <c r="N92" s="132" t="n">
        <v>0</v>
      </c>
      <c r="P92" s="130" t="n">
        <v>0</v>
      </c>
      <c r="Q92" s="131" t="n">
        <v>0</v>
      </c>
      <c r="R92" s="131" t="n">
        <v>0</v>
      </c>
      <c r="S92" s="131" t="n">
        <v>0</v>
      </c>
      <c r="T92" s="132" t="n">
        <v>0</v>
      </c>
      <c r="V92" s="130" t="n">
        <v>0</v>
      </c>
      <c r="W92" s="131" t="n">
        <v>0</v>
      </c>
      <c r="X92" s="131" t="n">
        <v>0</v>
      </c>
      <c r="Y92" s="131" t="n">
        <v>0</v>
      </c>
      <c r="Z92" s="132" t="n">
        <v>0</v>
      </c>
    </row>
    <row r="93">
      <c r="B93" s="64" t="inlineStr">
        <is>
          <t>MSBs</t>
        </is>
      </c>
      <c r="D93" s="130" t="n">
        <v>0</v>
      </c>
      <c r="E93" s="131" t="n">
        <v>0</v>
      </c>
      <c r="F93" s="131" t="n">
        <v>0</v>
      </c>
      <c r="G93" s="131" t="n">
        <v>0</v>
      </c>
      <c r="H93" s="132" t="n">
        <v>0</v>
      </c>
      <c r="J93" s="130" t="n">
        <v>0</v>
      </c>
      <c r="K93" s="131" t="n">
        <v>0</v>
      </c>
      <c r="L93" s="131" t="n">
        <v>0</v>
      </c>
      <c r="M93" s="131" t="n">
        <v>0</v>
      </c>
      <c r="N93" s="132" t="n">
        <v>0</v>
      </c>
      <c r="P93" s="130" t="n">
        <v>0</v>
      </c>
      <c r="Q93" s="131" t="n">
        <v>0</v>
      </c>
      <c r="R93" s="131" t="n">
        <v>0</v>
      </c>
      <c r="S93" s="131" t="n">
        <v>0</v>
      </c>
      <c r="T93" s="132" t="n">
        <v>0</v>
      </c>
      <c r="V93" s="130" t="n">
        <v>0</v>
      </c>
      <c r="W93" s="131" t="n">
        <v>0</v>
      </c>
      <c r="X93" s="131" t="n">
        <v>0</v>
      </c>
      <c r="Y93" s="131" t="n">
        <v>0</v>
      </c>
      <c r="Z93" s="132" t="n">
        <v>0</v>
      </c>
    </row>
    <row r="94">
      <c r="B94" s="64" t="inlineStr">
        <is>
          <t>Non FDA Approved</t>
        </is>
      </c>
      <c r="D94" s="130" t="n">
        <v>0</v>
      </c>
      <c r="E94" s="131" t="n">
        <v>6</v>
      </c>
      <c r="F94" s="131" t="n">
        <v>0</v>
      </c>
      <c r="G94" s="131" t="n">
        <v>0</v>
      </c>
      <c r="H94" s="132" t="n">
        <v>6</v>
      </c>
      <c r="J94" s="130" t="n">
        <v>0</v>
      </c>
      <c r="K94" s="131" t="n">
        <v>6.885489488627885</v>
      </c>
      <c r="L94" s="131" t="n">
        <v>0</v>
      </c>
      <c r="M94" s="131" t="n">
        <v>0</v>
      </c>
      <c r="N94" s="132" t="n">
        <v>6.885489488627885</v>
      </c>
      <c r="P94" s="130" t="n">
        <v>0</v>
      </c>
      <c r="Q94" s="131" t="n">
        <v>7.09762893823543</v>
      </c>
      <c r="R94" s="131" t="n">
        <v>0</v>
      </c>
      <c r="S94" s="131" t="n">
        <v>0</v>
      </c>
      <c r="T94" s="132" t="n">
        <v>7.09762893823543</v>
      </c>
      <c r="V94" s="130" t="n">
        <v>0</v>
      </c>
      <c r="W94" s="131" t="n">
        <v>7.29938773026082</v>
      </c>
      <c r="X94" s="131" t="n">
        <v>0</v>
      </c>
      <c r="Y94" s="131" t="n">
        <v>0</v>
      </c>
      <c r="Z94" s="132" t="n">
        <v>7.29938773026082</v>
      </c>
    </row>
    <row r="95">
      <c r="B95" s="64" t="inlineStr">
        <is>
          <t>LDD</t>
        </is>
      </c>
      <c r="D95" s="130" t="n">
        <v>18</v>
      </c>
      <c r="E95" s="131" t="n">
        <v>0</v>
      </c>
      <c r="F95" s="131" t="n">
        <v>0</v>
      </c>
      <c r="G95" s="131" t="n">
        <v>1</v>
      </c>
      <c r="H95" s="132" t="n">
        <v>19</v>
      </c>
      <c r="J95" s="130" t="n">
        <v>24.87719139716617</v>
      </c>
      <c r="K95" s="131" t="n">
        <v>0</v>
      </c>
      <c r="L95" s="131" t="n">
        <v>0</v>
      </c>
      <c r="M95" s="131" t="n">
        <v>1.367136085871659</v>
      </c>
      <c r="N95" s="132" t="n">
        <v>26.24432748303783</v>
      </c>
      <c r="P95" s="130" t="n">
        <v>27.65663487526179</v>
      </c>
      <c r="Q95" s="131" t="n">
        <v>0</v>
      </c>
      <c r="R95" s="131" t="n">
        <v>0</v>
      </c>
      <c r="S95" s="131" t="n">
        <v>1.446478003178301</v>
      </c>
      <c r="T95" s="132" t="n">
        <v>29.10311287844009</v>
      </c>
      <c r="V95" s="130" t="n">
        <v>31.05175440243663</v>
      </c>
      <c r="W95" s="131" t="n">
        <v>0</v>
      </c>
      <c r="X95" s="131" t="n">
        <v>0</v>
      </c>
      <c r="Y95" s="131" t="n">
        <v>1.539423073904818</v>
      </c>
      <c r="Z95" s="132" t="n">
        <v>32.59117747634145</v>
      </c>
    </row>
    <row r="96">
      <c r="B96" s="64" t="inlineStr">
        <is>
          <t>Institutional NDCs</t>
        </is>
      </c>
      <c r="D96" s="130" t="n">
        <v>23</v>
      </c>
      <c r="E96" s="131" t="n">
        <v>0</v>
      </c>
      <c r="F96" s="131" t="n">
        <v>0</v>
      </c>
      <c r="G96" s="131" t="n">
        <v>0</v>
      </c>
      <c r="H96" s="132" t="n">
        <v>23</v>
      </c>
      <c r="J96" s="130" t="n">
        <v>26.24935302529743</v>
      </c>
      <c r="K96" s="131" t="n">
        <v>0</v>
      </c>
      <c r="L96" s="131" t="n">
        <v>0</v>
      </c>
      <c r="M96" s="131" t="n">
        <v>0</v>
      </c>
      <c r="N96" s="132" t="n">
        <v>26.24935302529743</v>
      </c>
      <c r="P96" s="130" t="n">
        <v>26.57911917875575</v>
      </c>
      <c r="Q96" s="131" t="n">
        <v>0</v>
      </c>
      <c r="R96" s="131" t="n">
        <v>0</v>
      </c>
      <c r="S96" s="131" t="n">
        <v>0</v>
      </c>
      <c r="T96" s="132" t="n">
        <v>26.57911917875575</v>
      </c>
      <c r="V96" s="130" t="n">
        <v>28.06187153348851</v>
      </c>
      <c r="W96" s="131" t="n">
        <v>0</v>
      </c>
      <c r="X96" s="131" t="n">
        <v>0</v>
      </c>
      <c r="Y96" s="131" t="n">
        <v>0</v>
      </c>
      <c r="Z96" s="132" t="n">
        <v>28.06187153348851</v>
      </c>
    </row>
    <row r="97">
      <c r="B97" s="64" t="inlineStr">
        <is>
          <t>Formulary Exclusions</t>
        </is>
      </c>
      <c r="D97" s="130" t="n">
        <v>5655</v>
      </c>
      <c r="E97" s="131" t="n">
        <v>4007</v>
      </c>
      <c r="F97" s="131" t="n">
        <v>42</v>
      </c>
      <c r="G97" s="131" t="n">
        <v>0</v>
      </c>
      <c r="H97" s="132" t="n">
        <v>9704</v>
      </c>
      <c r="J97" s="130" t="n">
        <v>8521.815565172983</v>
      </c>
      <c r="K97" s="131" t="n">
        <v>6628.085294105205</v>
      </c>
      <c r="L97" s="131" t="n">
        <v>81.12125915531615</v>
      </c>
      <c r="M97" s="131" t="n">
        <v>0</v>
      </c>
      <c r="N97" s="132" t="n">
        <v>15231.0221184335</v>
      </c>
      <c r="P97" s="130" t="n">
        <v>8787.458946566274</v>
      </c>
      <c r="Q97" s="131" t="n">
        <v>6924.377261876313</v>
      </c>
      <c r="R97" s="131" t="n">
        <v>85.73780046159801</v>
      </c>
      <c r="S97" s="131" t="n">
        <v>0</v>
      </c>
      <c r="T97" s="132" t="n">
        <v>15797.57400890418</v>
      </c>
      <c r="V97" s="130" t="n">
        <v>9058.982559296473</v>
      </c>
      <c r="W97" s="131" t="n">
        <v>7214.103405258798</v>
      </c>
      <c r="X97" s="131" t="n">
        <v>90.06841189161894</v>
      </c>
      <c r="Y97" s="131" t="n">
        <v>0</v>
      </c>
      <c r="Z97" s="132" t="n">
        <v>16363.15437644689</v>
      </c>
    </row>
    <row r="98">
      <c r="B98" s="64" t="inlineStr">
        <is>
          <t>Synthroid</t>
        </is>
      </c>
      <c r="D98" s="130" t="n">
        <v>331</v>
      </c>
      <c r="E98" s="131" t="n">
        <v>641</v>
      </c>
      <c r="F98" s="131" t="n">
        <v>4</v>
      </c>
      <c r="G98" s="131" t="n">
        <v>0</v>
      </c>
      <c r="H98" s="132" t="n">
        <v>976</v>
      </c>
      <c r="J98" s="130" t="n">
        <v>351.9287478386029</v>
      </c>
      <c r="K98" s="131" t="n">
        <v>695.2653220010801</v>
      </c>
      <c r="L98" s="131" t="n">
        <v>4.363987808065344</v>
      </c>
      <c r="M98" s="131" t="n">
        <v>0</v>
      </c>
      <c r="N98" s="132" t="n">
        <v>1051.558057647748</v>
      </c>
      <c r="P98" s="130" t="n">
        <v>344.8677977438759</v>
      </c>
      <c r="Q98" s="131" t="n">
        <v>695.6708181072372</v>
      </c>
      <c r="R98" s="131" t="n">
        <v>4.376881306996877</v>
      </c>
      <c r="S98" s="131" t="n">
        <v>0</v>
      </c>
      <c r="T98" s="132" t="n">
        <v>1044.91549715811</v>
      </c>
      <c r="V98" s="130" t="n">
        <v>337.2252462051625</v>
      </c>
      <c r="W98" s="131" t="n">
        <v>693.7423997998153</v>
      </c>
      <c r="X98" s="131" t="n">
        <v>4.349920807420687</v>
      </c>
      <c r="Y98" s="131" t="n">
        <v>0</v>
      </c>
      <c r="Z98" s="132" t="n">
        <v>1035.317566812398</v>
      </c>
    </row>
    <row r="99">
      <c r="B99" s="64" t="inlineStr">
        <is>
          <t>Misc</t>
        </is>
      </c>
      <c r="D99" s="130" t="n">
        <v>1732</v>
      </c>
      <c r="E99" s="131" t="n">
        <v>1322</v>
      </c>
      <c r="F99" s="131" t="n">
        <v>21</v>
      </c>
      <c r="G99" s="131" t="n">
        <v>3360</v>
      </c>
      <c r="H99" s="132" t="n">
        <v>6435</v>
      </c>
      <c r="J99" s="130" t="n">
        <v>2715.313301741378</v>
      </c>
      <c r="K99" s="131" t="n">
        <v>2139.409809914592</v>
      </c>
      <c r="L99" s="131" t="n">
        <v>34.42048685206373</v>
      </c>
      <c r="M99" s="131" t="n">
        <v>4701.938698982581</v>
      </c>
      <c r="N99" s="132" t="n">
        <v>9591.082297490615</v>
      </c>
      <c r="P99" s="130" t="n">
        <v>3197.258219982265</v>
      </c>
      <c r="Q99" s="131" t="n">
        <v>2604.95332839858</v>
      </c>
      <c r="R99" s="131" t="n">
        <v>42.03577551248054</v>
      </c>
      <c r="S99" s="131" t="n">
        <v>5099.728555144815</v>
      </c>
      <c r="T99" s="132" t="n">
        <v>10943.97587903814</v>
      </c>
      <c r="V99" s="130" t="n">
        <v>3772.141387435433</v>
      </c>
      <c r="W99" s="131" t="n">
        <v>3171.189177179011</v>
      </c>
      <c r="X99" s="131" t="n">
        <v>51.03255827472276</v>
      </c>
      <c r="Y99" s="131" t="n">
        <v>5541.410161234371</v>
      </c>
      <c r="Z99" s="132" t="n">
        <v>12535.77328412354</v>
      </c>
    </row>
    <row r="100">
      <c r="B100" s="64" t="inlineStr">
        <is>
          <t>Specialty</t>
        </is>
      </c>
      <c r="D100" s="133" t="n">
        <v>0</v>
      </c>
      <c r="E100" s="134" t="n">
        <v>0</v>
      </c>
      <c r="F100" s="134" t="n">
        <v>0</v>
      </c>
      <c r="G100" s="134" t="n">
        <v>3360</v>
      </c>
      <c r="H100" s="135" t="n">
        <v>3360</v>
      </c>
      <c r="J100" s="133" t="n">
        <v>0</v>
      </c>
      <c r="K100" s="134" t="n">
        <v>0</v>
      </c>
      <c r="L100" s="134" t="n">
        <v>0</v>
      </c>
      <c r="M100" s="134" t="n">
        <v>4701.935289376432</v>
      </c>
      <c r="N100" s="135" t="n">
        <v>4701.935289376432</v>
      </c>
      <c r="P100" s="133" t="n">
        <v>0</v>
      </c>
      <c r="Q100" s="134" t="n">
        <v>0</v>
      </c>
      <c r="R100" s="134" t="n">
        <v>0</v>
      </c>
      <c r="S100" s="134" t="n">
        <v>5099.725056957099</v>
      </c>
      <c r="T100" s="135" t="n">
        <v>5099.725056957099</v>
      </c>
      <c r="V100" s="133" t="n">
        <v>0</v>
      </c>
      <c r="W100" s="134" t="n">
        <v>0</v>
      </c>
      <c r="X100" s="134" t="n">
        <v>0</v>
      </c>
      <c r="Y100" s="134" t="n">
        <v>5541.40655673673</v>
      </c>
      <c r="Z100" s="135" t="n">
        <v>5541.40655673673</v>
      </c>
    </row>
    <row r="101">
      <c r="A101" s="98" t="inlineStr">
        <is>
          <t>Added MFP row but needs adjusting for non-CY</t>
        </is>
      </c>
      <c r="B101" s="64" t="inlineStr">
        <is>
          <t>MFP 2026, 2027</t>
        </is>
      </c>
      <c r="D101" s="133" t="n">
        <v>0</v>
      </c>
      <c r="E101" s="134" t="n">
        <v>0</v>
      </c>
      <c r="F101" s="134" t="n">
        <v>0</v>
      </c>
      <c r="G101" s="134" t="n">
        <v>0</v>
      </c>
      <c r="H101" s="135" t="n">
        <v>0</v>
      </c>
      <c r="J101" s="133" t="n">
        <v>0</v>
      </c>
      <c r="K101" s="134" t="n">
        <v>0</v>
      </c>
      <c r="L101" s="134" t="n">
        <v>0</v>
      </c>
      <c r="M101" s="134" t="n">
        <v>0</v>
      </c>
      <c r="N101" s="135" t="n">
        <v>0</v>
      </c>
      <c r="P101" s="133" t="n">
        <v>0</v>
      </c>
      <c r="Q101" s="134" t="n">
        <v>0</v>
      </c>
      <c r="R101" s="134" t="n">
        <v>0</v>
      </c>
      <c r="S101" s="134" t="n">
        <v>0</v>
      </c>
      <c r="T101" s="135" t="n">
        <v>0</v>
      </c>
      <c r="V101" s="133" t="n">
        <v>0</v>
      </c>
      <c r="W101" s="134" t="n">
        <v>0</v>
      </c>
      <c r="X101" s="134" t="n">
        <v>0</v>
      </c>
      <c r="Y101" s="134" t="n">
        <v>0</v>
      </c>
      <c r="Z101" s="135" t="n">
        <v>0</v>
      </c>
    </row>
    <row r="102">
      <c r="B102" s="100">
        <f>$B$66</f>
        <v/>
      </c>
      <c r="D102" s="133" t="n">
        <v>0</v>
      </c>
      <c r="E102" s="134" t="n">
        <v>0</v>
      </c>
      <c r="F102" s="134" t="n">
        <v>0</v>
      </c>
      <c r="G102" s="134" t="n">
        <v>0</v>
      </c>
      <c r="H102" s="135" t="n">
        <v>0</v>
      </c>
      <c r="J102" s="133" t="n">
        <v>0</v>
      </c>
      <c r="K102" s="134" t="n">
        <v>0</v>
      </c>
      <c r="L102" s="134" t="n">
        <v>0</v>
      </c>
      <c r="M102" s="134" t="n">
        <v>0</v>
      </c>
      <c r="N102" s="135" t="n">
        <v>0</v>
      </c>
      <c r="P102" s="133" t="n">
        <v>0</v>
      </c>
      <c r="Q102" s="134" t="n">
        <v>0</v>
      </c>
      <c r="R102" s="134" t="n">
        <v>0</v>
      </c>
      <c r="S102" s="134" t="n">
        <v>0</v>
      </c>
      <c r="T102" s="135" t="n">
        <v>0</v>
      </c>
      <c r="V102" s="133" t="n">
        <v>0</v>
      </c>
      <c r="W102" s="134" t="n">
        <v>0</v>
      </c>
      <c r="X102" s="134" t="n">
        <v>0</v>
      </c>
      <c r="Y102" s="134" t="n">
        <v>0</v>
      </c>
      <c r="Z102" s="135" t="n">
        <v>0</v>
      </c>
    </row>
    <row r="103" ht="15" customHeight="1" thickBot="1">
      <c r="B103" s="59" t="inlineStr">
        <is>
          <t>Non-Rebatable</t>
        </is>
      </c>
      <c r="D103" s="136" t="n">
        <v>0</v>
      </c>
      <c r="E103" s="137" t="n">
        <v>0</v>
      </c>
      <c r="F103" s="137" t="n">
        <v>0</v>
      </c>
      <c r="G103" s="137" t="n">
        <v>0</v>
      </c>
      <c r="H103" s="138" t="n">
        <v>0</v>
      </c>
      <c r="J103" s="139" t="n">
        <v>272009.7721800812</v>
      </c>
      <c r="K103" s="140" t="n">
        <v>261622.1388362575</v>
      </c>
      <c r="L103" s="140" t="n">
        <v>4086.411781183353</v>
      </c>
      <c r="M103" s="140" t="n">
        <v>552.1088310115437</v>
      </c>
      <c r="N103" s="141" t="n">
        <v>538270.4316285335</v>
      </c>
      <c r="P103" s="139" t="n">
        <v>273967.9002461676</v>
      </c>
      <c r="Q103" s="140" t="n">
        <v>263205.7003168401</v>
      </c>
      <c r="R103" s="140" t="n">
        <v>4115.589524254454</v>
      </c>
      <c r="S103" s="140" t="n">
        <v>529.4434178862319</v>
      </c>
      <c r="T103" s="141" t="n">
        <v>541818.6335051483</v>
      </c>
      <c r="V103" s="139" t="n">
        <v>276285.4014342451</v>
      </c>
      <c r="W103" s="140" t="n">
        <v>264737.8059749066</v>
      </c>
      <c r="X103" s="140" t="n">
        <v>4142.034055145593</v>
      </c>
      <c r="Y103" s="140" t="n">
        <v>507.7439456670621</v>
      </c>
      <c r="Z103" s="141" t="n">
        <v>545672.9854099642</v>
      </c>
    </row>
    <row r="104" ht="15.6" customHeight="1" thickBot="1" thickTop="1">
      <c r="B104" s="69" t="inlineStr">
        <is>
          <t>Total</t>
        </is>
      </c>
      <c r="D104" s="142" t="n">
        <v>7759</v>
      </c>
      <c r="E104" s="143" t="n">
        <v>5976</v>
      </c>
      <c r="F104" s="143" t="n">
        <v>67</v>
      </c>
      <c r="G104" s="143" t="n">
        <v>3361</v>
      </c>
      <c r="H104" s="144" t="n">
        <v>20523</v>
      </c>
      <c r="J104" s="142" t="n">
        <v>283649.9563392566</v>
      </c>
      <c r="K104" s="143" t="n">
        <v>271091.7847517669</v>
      </c>
      <c r="L104" s="143" t="n">
        <v>4206.317514998797</v>
      </c>
      <c r="M104" s="143" t="n">
        <v>5255.414666079996</v>
      </c>
      <c r="N104" s="144" t="n">
        <v>568905.4085614788</v>
      </c>
      <c r="P104" s="142" t="n">
        <v>286351.720964514</v>
      </c>
      <c r="Q104" s="143" t="n">
        <v>273437.7993541604</v>
      </c>
      <c r="R104" s="143" t="n">
        <v>4247.739981535529</v>
      </c>
      <c r="S104" s="143" t="n">
        <v>5630.618451034225</v>
      </c>
      <c r="T104" s="144" t="n">
        <v>574767.6038082013</v>
      </c>
      <c r="V104" s="142" t="n">
        <v>289512.8642531181</v>
      </c>
      <c r="W104" s="143" t="n">
        <v>275824.1403448745</v>
      </c>
      <c r="X104" s="143" t="n">
        <v>4287.484946119355</v>
      </c>
      <c r="Y104" s="143" t="n">
        <v>6050.693529975338</v>
      </c>
      <c r="Z104" s="144" t="n">
        <v>581216.5896308238</v>
      </c>
    </row>
    <row r="105" ht="30.3" customHeight="1" thickBot="1"/>
    <row r="106" ht="15" customHeight="1" thickBot="1">
      <c r="B106" s="110" t="inlineStr">
        <is>
          <t>Removed Claims</t>
        </is>
      </c>
      <c r="H106" s="111" t="n">
        <v>3772</v>
      </c>
    </row>
    <row r="107" ht="15" customHeight="1" thickBot="1"/>
    <row r="108" ht="15" customHeight="1" thickBot="1">
      <c r="B108" s="112" t="inlineStr">
        <is>
          <t>Total</t>
        </is>
      </c>
      <c r="H108" s="113" t="n">
        <v>527643</v>
      </c>
    </row>
    <row r="109"/>
    <row r="110"/>
    <row r="111"/>
    <row r="112"/>
    <row r="113"/>
    <row r="114"/>
    <row r="115"/>
    <row r="116"/>
    <row r="117"/>
    <row r="118"/>
    <row r="119"/>
    <row r="120"/>
    <row r="121"/>
    <row r="122"/>
    <row r="123"/>
    <row r="124"/>
    <row r="125"/>
    <row r="126"/>
    <row r="127"/>
    <row r="128"/>
    <row r="129" ht="30.3" customHeight="1"/>
    <row r="130"/>
    <row r="131"/>
    <row r="132"/>
    <row r="133"/>
    <row r="134"/>
    <row r="135"/>
    <row r="136"/>
    <row r="137"/>
    <row r="138"/>
    <row r="139"/>
    <row r="140"/>
    <row r="141"/>
    <row r="142"/>
    <row r="143"/>
    <row r="144"/>
    <row r="145"/>
    <row r="146"/>
    <row r="147"/>
    <row r="148"/>
    <row r="149"/>
    <row r="150"/>
    <row r="151"/>
    <row r="152"/>
    <row r="153" ht="30.3" customHeight="1"/>
    <row r="154">
      <c r="AM154" s="117" t="n"/>
      <c r="AN154" s="117" t="n"/>
    </row>
    <row r="155">
      <c r="AM155" s="117" t="n"/>
      <c r="AN155" s="117" t="n"/>
    </row>
    <row r="156">
      <c r="AM156" s="117" t="n"/>
      <c r="AN156" s="117" t="n"/>
    </row>
    <row r="157">
      <c r="AM157" s="117" t="n"/>
      <c r="AN157" s="117" t="n"/>
    </row>
    <row r="158">
      <c r="AM158" s="117" t="n"/>
      <c r="AN158" s="117" t="n"/>
    </row>
    <row r="159">
      <c r="AM159" s="117" t="n"/>
      <c r="AN159" s="117" t="n"/>
    </row>
    <row r="160">
      <c r="AM160" s="117" t="n"/>
      <c r="AN160" s="117" t="n"/>
    </row>
    <row r="161">
      <c r="AM161" s="117" t="n"/>
      <c r="AN161" s="117" t="n"/>
    </row>
    <row r="162">
      <c r="AM162" s="117" t="n"/>
      <c r="AN162" s="117" t="n"/>
    </row>
    <row r="163">
      <c r="AM163" s="117" t="n"/>
      <c r="AN163" s="117" t="n"/>
    </row>
    <row r="164">
      <c r="AM164" s="117" t="n"/>
      <c r="AN164" s="117" t="n"/>
    </row>
    <row r="165">
      <c r="AM165" s="117" t="n"/>
      <c r="AN165" s="117" t="n"/>
    </row>
    <row r="166">
      <c r="AM166" s="117" t="n"/>
      <c r="AN166" s="117" t="n"/>
    </row>
    <row r="167">
      <c r="AM167" s="117" t="n"/>
      <c r="AN167" s="117" t="n"/>
    </row>
    <row r="168">
      <c r="AM168" s="117" t="n"/>
      <c r="AN168" s="117" t="n"/>
    </row>
    <row r="169">
      <c r="AM169" s="117" t="n"/>
      <c r="AN169" s="117" t="n"/>
    </row>
    <row r="170">
      <c r="AM170" s="117" t="n"/>
      <c r="AN170" s="117" t="n"/>
    </row>
    <row r="171">
      <c r="AM171" s="117" t="n"/>
      <c r="AN171" s="117" t="n"/>
    </row>
    <row r="172">
      <c r="AM172" s="117" t="n"/>
      <c r="AN172" s="117" t="n"/>
    </row>
    <row r="173">
      <c r="AM173" s="117" t="n"/>
      <c r="AN173" s="117" t="n"/>
    </row>
    <row r="174">
      <c r="AM174" s="117" t="n"/>
      <c r="AN174" s="117" t="n"/>
    </row>
    <row r="175">
      <c r="AM175" s="117" t="n"/>
      <c r="AN175" s="117" t="n"/>
    </row>
    <row r="176">
      <c r="AM176" s="117" t="n"/>
      <c r="AN176" s="117" t="n"/>
    </row>
    <row r="177">
      <c r="AM177" s="117" t="n"/>
      <c r="AN177" s="117" t="n"/>
    </row>
    <row r="178">
      <c r="AM178" s="117" t="n"/>
      <c r="AN178" s="117" t="n"/>
    </row>
    <row r="179">
      <c r="AM179" s="117" t="n"/>
      <c r="AN179" s="117" t="n"/>
    </row>
    <row r="180">
      <c r="AM180" s="117" t="n"/>
      <c r="AN180" s="117" t="n"/>
    </row>
    <row r="181">
      <c r="AM181" s="117" t="n"/>
      <c r="AN181" s="117" t="n"/>
    </row>
    <row r="182">
      <c r="AM182" s="117" t="n"/>
      <c r="AN182" s="117" t="n"/>
    </row>
    <row r="183">
      <c r="AM183" s="117" t="n"/>
      <c r="AN183" s="117" t="n"/>
    </row>
    <row r="184">
      <c r="AM184" s="117" t="n"/>
      <c r="AN184" s="117" t="n"/>
    </row>
    <row r="185">
      <c r="AM185" s="117" t="n"/>
      <c r="AN185" s="117" t="n"/>
    </row>
    <row r="186">
      <c r="AM186" s="117" t="n"/>
      <c r="AN186" s="117" t="n"/>
    </row>
    <row r="187">
      <c r="AM187" s="117" t="n"/>
      <c r="AN187" s="117" t="n"/>
    </row>
    <row r="188">
      <c r="AM188" s="117" t="n"/>
      <c r="AN188" s="117" t="n"/>
    </row>
    <row r="189">
      <c r="AM189" s="117" t="n"/>
      <c r="AN189" s="117" t="n"/>
    </row>
    <row r="190">
      <c r="AM190" s="117" t="n"/>
      <c r="AN190" s="117" t="n"/>
    </row>
    <row r="191">
      <c r="AM191" s="117" t="n"/>
      <c r="AN191" s="117" t="n"/>
    </row>
    <row r="192">
      <c r="AM192" s="117" t="n"/>
      <c r="AN192" s="117" t="n"/>
    </row>
    <row r="193">
      <c r="AM193" s="117" t="n"/>
      <c r="AN193" s="117" t="n"/>
    </row>
    <row r="194">
      <c r="AM194" s="117" t="n"/>
      <c r="AN194" s="117" t="n"/>
    </row>
    <row r="195">
      <c r="AM195" s="117" t="n"/>
      <c r="AN195" s="117" t="n"/>
    </row>
    <row r="196">
      <c r="AM196" s="117" t="n"/>
      <c r="AN196" s="117" t="n"/>
    </row>
    <row r="197">
      <c r="AM197" s="117" t="n"/>
      <c r="AN197" s="117" t="n"/>
    </row>
    <row r="198">
      <c r="AM198" s="117" t="n"/>
      <c r="AN198" s="117" t="n"/>
    </row>
    <row r="199">
      <c r="AM199" s="117" t="n"/>
      <c r="AN199" s="117" t="n"/>
    </row>
    <row r="200">
      <c r="AM200" s="117" t="n"/>
      <c r="AN200" s="117" t="n"/>
    </row>
    <row r="201">
      <c r="AM201" s="117" t="n"/>
      <c r="AN201" s="117" t="n"/>
    </row>
    <row r="202">
      <c r="AM202" s="117" t="n"/>
      <c r="AN202" s="117" t="n"/>
    </row>
    <row r="203">
      <c r="AM203" s="117" t="n"/>
      <c r="AN203" s="117" t="n"/>
    </row>
    <row r="204">
      <c r="AM204" s="117" t="n"/>
      <c r="AN204" s="117" t="n"/>
    </row>
    <row r="205">
      <c r="AM205" s="117" t="n"/>
      <c r="AN205" s="117" t="n"/>
    </row>
    <row r="206">
      <c r="AM206" s="117" t="n"/>
      <c r="AN206" s="117" t="n"/>
    </row>
    <row r="207">
      <c r="AM207" s="117" t="n"/>
      <c r="AN207" s="117" t="n"/>
    </row>
    <row r="208">
      <c r="AM208" s="117" t="n"/>
      <c r="AN208" s="117" t="n"/>
    </row>
    <row r="209">
      <c r="AM209" s="117" t="n"/>
      <c r="AN209" s="117" t="n"/>
    </row>
    <row r="210">
      <c r="AM210" s="117" t="n"/>
      <c r="AN210" s="117" t="n"/>
    </row>
    <row r="211">
      <c r="AM211" s="117" t="n"/>
      <c r="AN211" s="117" t="n"/>
    </row>
    <row r="212">
      <c r="AM212" s="117" t="n"/>
      <c r="AN212" s="117" t="n"/>
    </row>
    <row r="213">
      <c r="AM213" s="117" t="n"/>
      <c r="AN213" s="117" t="n"/>
    </row>
    <row r="214">
      <c r="AM214" s="117" t="n"/>
      <c r="AN214" s="117" t="n"/>
    </row>
    <row r="215">
      <c r="AM215" s="117" t="n"/>
      <c r="AN215" s="117" t="n"/>
    </row>
    <row r="216">
      <c r="AM216" s="117" t="n"/>
      <c r="AN216" s="117" t="n"/>
    </row>
    <row r="217">
      <c r="AM217" s="117" t="n"/>
      <c r="AN217" s="117" t="n"/>
    </row>
    <row r="218">
      <c r="AM218" s="117" t="n"/>
      <c r="AN218" s="117" t="n"/>
    </row>
    <row r="219">
      <c r="AM219" s="117" t="n"/>
      <c r="AN219" s="117" t="n"/>
    </row>
    <row r="220">
      <c r="AM220" s="117" t="n"/>
      <c r="AN220" s="117" t="n"/>
    </row>
    <row r="221">
      <c r="AM221" s="117" t="n"/>
      <c r="AN221" s="117" t="n"/>
    </row>
    <row r="222">
      <c r="AM222" s="117" t="n"/>
      <c r="AN222" s="117" t="n"/>
    </row>
    <row r="223">
      <c r="AM223" s="117" t="n"/>
      <c r="AN223" s="117" t="n"/>
    </row>
    <row r="224">
      <c r="AM224" s="117" t="n"/>
      <c r="AN224" s="117" t="n"/>
    </row>
    <row r="225">
      <c r="AM225" s="117" t="n"/>
      <c r="AN225" s="117" t="n"/>
    </row>
    <row r="226">
      <c r="AM226" s="117" t="n"/>
      <c r="AN226" s="117" t="n"/>
    </row>
    <row r="227">
      <c r="AM227" s="117" t="n"/>
      <c r="AN227" s="117" t="n"/>
    </row>
    <row r="228">
      <c r="AM228" s="117" t="n"/>
      <c r="AN228" s="117" t="n"/>
    </row>
    <row r="229">
      <c r="AM229" s="117" t="n"/>
      <c r="AN229" s="117" t="n"/>
    </row>
    <row r="230">
      <c r="AM230" s="117" t="n"/>
      <c r="AN230" s="117" t="n"/>
    </row>
    <row r="231">
      <c r="AM231" s="117" t="n"/>
      <c r="AN231" s="117" t="n"/>
    </row>
    <row r="232">
      <c r="AM232" s="117" t="n"/>
      <c r="AN232" s="117" t="n"/>
    </row>
    <row r="233">
      <c r="AM233" s="117" t="n"/>
      <c r="AN233" s="117" t="n"/>
    </row>
    <row r="234">
      <c r="AM234" s="117" t="n"/>
      <c r="AN234" s="117" t="n"/>
    </row>
    <row r="235">
      <c r="AM235" s="117" t="n"/>
      <c r="AN235" s="117" t="n"/>
    </row>
    <row r="236">
      <c r="AM236" s="117" t="n"/>
      <c r="AN236" s="117" t="n"/>
    </row>
    <row r="237">
      <c r="AM237" s="117" t="n"/>
      <c r="AN237" s="117" t="n"/>
    </row>
    <row r="238">
      <c r="AM238" s="117" t="n"/>
      <c r="AN238" s="117" t="n"/>
    </row>
    <row r="239">
      <c r="AM239" s="117" t="n"/>
      <c r="AN239" s="117" t="n"/>
    </row>
    <row r="240">
      <c r="AM240" s="117" t="n"/>
      <c r="AN240" s="117" t="n"/>
    </row>
    <row r="241">
      <c r="AM241" s="117" t="n"/>
      <c r="AN241" s="117" t="n"/>
    </row>
    <row r="242">
      <c r="AM242" s="117" t="n"/>
      <c r="AN242" s="117" t="n"/>
    </row>
    <row r="243">
      <c r="AM243" s="117" t="n"/>
      <c r="AN243" s="117" t="n"/>
    </row>
    <row r="244">
      <c r="AM244" s="117" t="n"/>
      <c r="AN244" s="117" t="n"/>
    </row>
    <row r="245">
      <c r="AM245" s="117" t="n"/>
      <c r="AN245" s="117" t="n"/>
    </row>
    <row r="246">
      <c r="AM246" s="117" t="n"/>
      <c r="AN246" s="117" t="n"/>
    </row>
    <row r="247">
      <c r="AM247" s="117" t="n"/>
      <c r="AN247" s="117" t="n"/>
    </row>
    <row r="248">
      <c r="AM248" s="117" t="n"/>
      <c r="AN248" s="117" t="n"/>
    </row>
    <row r="249">
      <c r="AM249" s="117" t="n"/>
      <c r="AN249" s="117" t="n"/>
    </row>
    <row r="250">
      <c r="AM250" s="117" t="n"/>
      <c r="AN250" s="117" t="n"/>
    </row>
    <row r="251">
      <c r="AM251" s="117" t="n"/>
      <c r="AN251" s="117" t="n"/>
    </row>
    <row r="252">
      <c r="AM252" s="117" t="n"/>
      <c r="AN252" s="117" t="n"/>
    </row>
    <row r="253">
      <c r="AM253" s="117" t="n"/>
      <c r="AN253" s="117" t="n"/>
    </row>
    <row r="254">
      <c r="AM254" s="117" t="n"/>
      <c r="AN254" s="117" t="n"/>
    </row>
    <row r="255">
      <c r="AM255" s="117" t="n"/>
      <c r="AN255" s="117" t="n"/>
    </row>
    <row r="256">
      <c r="AM256" s="117" t="n"/>
      <c r="AN256" s="117" t="n"/>
    </row>
    <row r="257">
      <c r="AM257" s="117" t="n"/>
      <c r="AN257" s="117" t="n"/>
    </row>
    <row r="258">
      <c r="AM258" s="117" t="n"/>
      <c r="AN258" s="117" t="n"/>
    </row>
    <row r="259">
      <c r="AM259" s="117" t="n"/>
      <c r="AN259" s="117" t="n"/>
    </row>
    <row r="260">
      <c r="AM260" s="117" t="n"/>
      <c r="AN260" s="117" t="n"/>
    </row>
    <row r="261">
      <c r="AM261" s="117" t="n"/>
      <c r="AN261" s="117" t="n"/>
    </row>
    <row r="262">
      <c r="AM262" s="117" t="n"/>
      <c r="AN262" s="117" t="n"/>
    </row>
    <row r="263">
      <c r="AM263" s="117" t="n"/>
      <c r="AN263" s="117" t="n"/>
    </row>
    <row r="264">
      <c r="AM264" s="117" t="n"/>
      <c r="AN264" s="117" t="n"/>
    </row>
    <row r="265">
      <c r="AM265" s="117" t="n"/>
      <c r="AN265" s="117" t="n"/>
    </row>
    <row r="266">
      <c r="AM266" s="117" t="n"/>
      <c r="AN266" s="117" t="n"/>
    </row>
    <row r="267">
      <c r="AM267" s="117" t="n"/>
      <c r="AN267" s="117" t="n"/>
    </row>
    <row r="268">
      <c r="AM268" s="117" t="n"/>
      <c r="AN268" s="117" t="n"/>
    </row>
    <row r="269">
      <c r="AM269" s="117" t="n"/>
      <c r="AN269" s="117" t="n"/>
    </row>
    <row r="270">
      <c r="AM270" s="117" t="n"/>
      <c r="AN270" s="117" t="n"/>
    </row>
    <row r="271">
      <c r="AM271" s="117" t="n"/>
      <c r="AN271" s="117" t="n"/>
    </row>
    <row r="272">
      <c r="AM272" s="117" t="n"/>
      <c r="AN272" s="117" t="n"/>
    </row>
    <row r="273">
      <c r="AM273" s="117" t="n"/>
      <c r="AN273" s="117" t="n"/>
    </row>
    <row r="274">
      <c r="AM274" s="117" t="n"/>
      <c r="AN274" s="117" t="n"/>
    </row>
    <row r="275">
      <c r="AM275" s="117" t="n"/>
      <c r="AN275" s="117" t="n"/>
    </row>
    <row r="276">
      <c r="AM276" s="117" t="n"/>
      <c r="AN276" s="117" t="n"/>
    </row>
    <row r="277">
      <c r="AM277" s="117" t="n"/>
      <c r="AN277" s="117" t="n"/>
    </row>
    <row r="278">
      <c r="AM278" s="117" t="n"/>
      <c r="AN278" s="117" t="n"/>
    </row>
    <row r="279">
      <c r="AM279" s="117" t="n"/>
      <c r="AN279" s="117" t="n"/>
    </row>
    <row r="280">
      <c r="AM280" s="117" t="n"/>
      <c r="AN280" s="117" t="n"/>
    </row>
    <row r="281">
      <c r="AM281" s="117" t="n"/>
      <c r="AN281" s="117" t="n"/>
    </row>
    <row r="282">
      <c r="AM282" s="117" t="n"/>
      <c r="AN282" s="117" t="n"/>
    </row>
    <row r="283">
      <c r="AM283" s="117" t="n"/>
      <c r="AN283" s="117" t="n"/>
    </row>
    <row r="284">
      <c r="AM284" s="117" t="n"/>
      <c r="AN284" s="117" t="n"/>
    </row>
    <row r="285">
      <c r="AM285" s="117" t="n"/>
      <c r="AN285" s="117" t="n"/>
    </row>
    <row r="286">
      <c r="AM286" s="117" t="n"/>
      <c r="AN286" s="117" t="n"/>
    </row>
    <row r="287">
      <c r="AM287" s="117" t="n"/>
      <c r="AN287" s="117" t="n"/>
    </row>
    <row r="288">
      <c r="AM288" s="117" t="n"/>
      <c r="AN288" s="117" t="n"/>
    </row>
    <row r="289">
      <c r="AM289" s="117" t="n"/>
      <c r="AN289" s="117" t="n"/>
    </row>
    <row r="290">
      <c r="AM290" s="117" t="n"/>
      <c r="AN290" s="117" t="n"/>
    </row>
    <row r="291">
      <c r="AM291" s="117" t="n"/>
      <c r="AN291" s="117" t="n"/>
    </row>
    <row r="292">
      <c r="AM292" s="117" t="n"/>
      <c r="AN292" s="117" t="n"/>
    </row>
    <row r="293">
      <c r="AM293" s="117" t="n"/>
      <c r="AN293" s="117" t="n"/>
    </row>
    <row r="294">
      <c r="AM294" s="117" t="n"/>
      <c r="AN294" s="117" t="n"/>
    </row>
    <row r="295">
      <c r="AM295" s="117" t="n"/>
      <c r="AN295" s="117" t="n"/>
    </row>
    <row r="296">
      <c r="AM296" s="117" t="n"/>
      <c r="AN296" s="117" t="n"/>
    </row>
    <row r="297">
      <c r="AM297" s="117" t="n"/>
      <c r="AN297" s="117" t="n"/>
    </row>
    <row r="298">
      <c r="AM298" s="117" t="n"/>
      <c r="AN298" s="117" t="n"/>
    </row>
    <row r="299">
      <c r="AM299" s="117" t="n"/>
      <c r="AN299" s="117" t="n"/>
    </row>
    <row r="300">
      <c r="AM300" s="117" t="n"/>
      <c r="AN300" s="117" t="n"/>
    </row>
    <row r="301">
      <c r="AM301" s="117" t="n"/>
      <c r="AN301" s="117" t="n"/>
    </row>
    <row r="302">
      <c r="AM302" s="117" t="n"/>
      <c r="AN302" s="117" t="n"/>
    </row>
    <row r="303">
      <c r="AM303" s="117" t="n"/>
      <c r="AN303" s="117" t="n"/>
    </row>
  </sheetData>
  <pageMargins left="0.7" right="0.7" top="0.75" bottom="0.75" header="0.3" footer="0.3"/>
  <pageSetup orientation="portrait"/>
</worksheet>
</file>

<file path=xl/worksheets/sheet2.xml><?xml version="1.0" encoding="utf-8"?>
<worksheet xmlns="http://schemas.openxmlformats.org/spreadsheetml/2006/main">
  <sheetPr codeName="wrk_DStats_EX1">
    <outlinePr summaryBelow="1" summaryRight="1"/>
    <pageSetUpPr/>
  </sheetPr>
  <dimension ref="A1:AZ303"/>
  <sheetViews>
    <sheetView showGridLines="0" workbookViewId="0">
      <selection activeCell="A1" sqref="A1"/>
    </sheetView>
  </sheetViews>
  <sheetFormatPr baseColWidth="8" defaultColWidth="8.77734375" defaultRowHeight="14.4"/>
  <cols>
    <col width="20.6640625" customWidth="1" min="2" max="2"/>
    <col width="2.6640625" customWidth="1" min="3" max="3"/>
    <col width="15.6640625" customWidth="1" min="4" max="8"/>
    <col width="2.6640625" customWidth="1" min="9" max="9"/>
    <col width="15.6640625" customWidth="1" min="10" max="14"/>
    <col width="2.6640625" customWidth="1" min="15" max="15"/>
    <col width="15.6640625" customWidth="1" min="16" max="20"/>
    <col width="2.6640625" customWidth="1" min="21" max="21"/>
    <col width="15.6640625" customWidth="1" min="22" max="26"/>
    <col width="2.6640625" customWidth="1" min="27" max="27"/>
    <col width="8.6640625" customWidth="1" min="31" max="31"/>
    <col width="37.44140625" customWidth="1" min="32" max="32"/>
    <col width="46.6640625" bestFit="1" customWidth="1" min="33" max="33"/>
    <col width="15.6640625" customWidth="1" min="34" max="35"/>
    <col width="5.6640625" customWidth="1" min="36" max="36"/>
    <col width="8.6640625" customWidth="1" min="37" max="37"/>
    <col width="36.6640625" customWidth="1" min="38" max="38"/>
    <col width="46.6640625" customWidth="1" min="39" max="39"/>
    <col width="15.6640625" customWidth="1" min="40" max="40"/>
    <col width="5.6640625" customWidth="1" min="41" max="41"/>
    <col width="8.6640625" customWidth="1" min="42" max="42"/>
    <col width="30.6640625" customWidth="1" min="43" max="44"/>
    <col width="12.6640625" customWidth="1" min="45" max="47"/>
    <col width="15.6640625" customWidth="1" min="49" max="54"/>
  </cols>
  <sheetData>
    <row r="1" hidden="1"/>
    <row r="2" hidden="1"/>
    <row r="3" hidden="1"/>
    <row r="4" hidden="1"/>
    <row r="5" hidden="1"/>
    <row r="6" hidden="1"/>
    <row r="7" hidden="1"/>
    <row r="8" hidden="1"/>
    <row r="9" hidden="1"/>
    <row r="10" hidden="1"/>
    <row r="11" hidden="1"/>
    <row r="12" hidden="1"/>
    <row r="13" hidden="1"/>
    <row r="14" ht="15" customHeight="1" thickBot="1"/>
    <row r="15" ht="18.6" customHeight="1" thickBot="1">
      <c r="B15" s="1" t="n"/>
      <c r="C15" s="2" t="n"/>
      <c r="D15" s="114" t="inlineStr">
        <is>
          <t>RxAdvance HTA Groups Rebate1 - M003</t>
        </is>
      </c>
      <c r="E15" s="2" t="n"/>
      <c r="F15" s="2" t="n"/>
      <c r="G15" s="2" t="n"/>
      <c r="H15" s="2" t="n"/>
      <c r="I15" s="2" t="n"/>
      <c r="J15" s="2" t="n"/>
      <c r="K15" s="2" t="n"/>
      <c r="L15" s="2" t="n"/>
      <c r="M15" s="2" t="n"/>
      <c r="N15" s="2" t="n"/>
      <c r="O15" s="2" t="n"/>
      <c r="P15" s="2" t="n"/>
      <c r="Q15" s="2" t="n"/>
      <c r="R15" s="2" t="n"/>
      <c r="S15" s="2" t="n"/>
      <c r="T15" s="2" t="n"/>
      <c r="U15" s="2" t="n"/>
      <c r="V15" s="2" t="n"/>
      <c r="W15" s="2" t="n"/>
      <c r="X15" s="2" t="n"/>
      <c r="Y15" s="2" t="n"/>
      <c r="Z15" s="2" t="n"/>
      <c r="AA15" s="2" t="n"/>
      <c r="AB15" s="2" t="n"/>
      <c r="AC15" s="2" t="n"/>
      <c r="AD15" s="2" t="n"/>
      <c r="AE15" s="2" t="n"/>
      <c r="AF15" s="2" t="n"/>
      <c r="AG15" s="2" t="n"/>
      <c r="AH15" s="2" t="n"/>
      <c r="AI15" s="2" t="n"/>
      <c r="AJ15" s="2" t="n"/>
      <c r="AK15" s="2" t="n"/>
      <c r="AL15" s="2" t="n"/>
      <c r="AM15" s="2" t="n"/>
      <c r="AN15" s="3" t="n"/>
    </row>
    <row r="16" ht="15" customHeight="1" thickBot="1"/>
    <row r="17" ht="15" customHeight="1" thickBot="1">
      <c r="B17" s="4" t="n"/>
      <c r="C17" s="4" t="inlineStr">
        <is>
          <t>Start Date:</t>
        </is>
      </c>
      <c r="D17" s="115" t="inlineStr">
        <is>
          <t>01/01/2025</t>
        </is>
      </c>
      <c r="AD17" s="4" t="n"/>
      <c r="AE17" s="4" t="n"/>
      <c r="AF17" s="6" t="n">
        <v>2028</v>
      </c>
    </row>
    <row r="18">
      <c r="B18" s="4" t="n"/>
      <c r="C18" s="4" t="inlineStr">
        <is>
          <t>End Date:</t>
        </is>
      </c>
      <c r="D18" s="116" t="inlineStr">
        <is>
          <t>11/30/2025</t>
        </is>
      </c>
      <c r="AJ18" s="117" t="n"/>
    </row>
    <row r="19" ht="15" customHeight="1" thickBot="1">
      <c r="B19" s="4" t="n"/>
      <c r="C19" s="4" t="inlineStr">
        <is>
          <t>Total Months:</t>
        </is>
      </c>
      <c r="D19" s="9" t="n">
        <v>11</v>
      </c>
    </row>
    <row r="20" ht="15" customHeight="1" thickBot="1"/>
    <row r="21" ht="15" customHeight="1" thickBot="1">
      <c r="B21" s="10" t="n"/>
      <c r="C21" s="10" t="n"/>
      <c r="D21" s="11" t="inlineStr">
        <is>
          <t xml:space="preserve">Base Yr Claims </t>
        </is>
      </c>
      <c r="E21" s="12" t="n"/>
      <c r="F21" s="12" t="n"/>
      <c r="G21" s="13" t="n"/>
      <c r="H21" s="14" t="n"/>
      <c r="AE21" s="11" t="inlineStr">
        <is>
          <t>Forecast based on time period: 2028</t>
        </is>
      </c>
      <c r="AF21" s="12" t="n"/>
      <c r="AG21" s="12" t="n"/>
      <c r="AH21" s="12" t="n"/>
      <c r="AI21" s="12" t="n"/>
      <c r="AJ21" s="12" t="n"/>
      <c r="AK21" s="12" t="n"/>
      <c r="AL21" s="12" t="n"/>
      <c r="AM21" s="15" t="n"/>
      <c r="AN21" s="15" t="n"/>
    </row>
    <row r="22" ht="15" customHeight="1" thickBot="1">
      <c r="B22" s="10" t="n"/>
      <c r="C22" s="10" t="n"/>
      <c r="D22" s="16" t="n"/>
      <c r="E22" s="16" t="n"/>
      <c r="F22" s="16" t="n"/>
      <c r="G22" s="17" t="n"/>
      <c r="H22" s="18" t="n"/>
    </row>
    <row r="23" ht="15" customHeight="1" thickBot="1">
      <c r="B23" s="19" t="n"/>
      <c r="C23" s="10" t="n"/>
      <c r="D23" s="20" t="inlineStr">
        <is>
          <t>w Exclusions</t>
        </is>
      </c>
      <c r="E23" s="21" t="n"/>
      <c r="F23" s="21" t="n"/>
      <c r="G23" s="21" t="n"/>
      <c r="H23" s="22" t="n"/>
      <c r="AE23" s="20" t="inlineStr">
        <is>
          <t>Overall - Rebatable</t>
        </is>
      </c>
      <c r="AF23" s="21" t="n"/>
      <c r="AG23" s="21" t="n"/>
      <c r="AH23" s="23" t="n"/>
      <c r="AI23" s="23" t="n"/>
      <c r="AK23" s="24" t="inlineStr">
        <is>
          <t>Overall - Non Rebatable (Brand Only)</t>
        </is>
      </c>
      <c r="AL23" s="25" t="n"/>
      <c r="AM23" s="25" t="n"/>
      <c r="AN23" s="26" t="n"/>
    </row>
    <row r="24" ht="30.3" customHeight="1" thickBot="1">
      <c r="B24" s="27" t="inlineStr">
        <is>
          <t>Brand</t>
        </is>
      </c>
      <c r="C24" s="10" t="n"/>
      <c r="D24" s="28" t="inlineStr">
        <is>
          <t>Rx Count</t>
        </is>
      </c>
      <c r="E24" s="29" t="inlineStr">
        <is>
          <t>Quantity</t>
        </is>
      </c>
      <c r="F24" s="29" t="inlineStr">
        <is>
          <t>Days Supply</t>
        </is>
      </c>
      <c r="G24" s="29" t="inlineStr">
        <is>
          <t>Avg Qnty</t>
        </is>
      </c>
      <c r="H24" s="30" t="inlineStr">
        <is>
          <t>Avg DS</t>
        </is>
      </c>
      <c r="I24" s="31" t="n"/>
      <c r="J24" s="31" t="n"/>
      <c r="K24" s="31" t="n"/>
      <c r="L24" s="31" t="n"/>
      <c r="M24" s="31" t="n"/>
      <c r="N24" s="31" t="n"/>
      <c r="O24" s="31" t="n"/>
      <c r="P24" s="31" t="n"/>
      <c r="Q24" s="31" t="n"/>
      <c r="R24" s="31" t="n"/>
      <c r="S24" s="31" t="n"/>
      <c r="T24" s="31" t="n"/>
      <c r="U24" s="31" t="n"/>
      <c r="V24" s="31" t="n"/>
      <c r="W24" s="31" t="n"/>
      <c r="X24" s="31" t="n"/>
      <c r="Y24" s="31" t="n"/>
      <c r="Z24" s="31" t="n"/>
      <c r="AA24" s="31" t="n"/>
      <c r="AE24" s="32" t="inlineStr">
        <is>
          <t>Rank</t>
        </is>
      </c>
      <c r="AF24" s="33" t="inlineStr">
        <is>
          <t>Drug Name</t>
        </is>
      </c>
      <c r="AG24" s="33" t="inlineStr">
        <is>
          <t>Therapeutic Class</t>
        </is>
      </c>
      <c r="AH24" s="33" t="inlineStr">
        <is>
          <t>Total Rebates</t>
        </is>
      </c>
      <c r="AI24" s="34" t="inlineStr">
        <is>
          <t>Scripts</t>
        </is>
      </c>
      <c r="AK24" s="35" t="inlineStr">
        <is>
          <t>Rank</t>
        </is>
      </c>
      <c r="AL24" s="36" t="inlineStr">
        <is>
          <t>Drug Name</t>
        </is>
      </c>
      <c r="AM24" s="36" t="inlineStr">
        <is>
          <t>Therapeutic Class</t>
        </is>
      </c>
      <c r="AN24" s="37" t="inlineStr">
        <is>
          <t>Scripts</t>
        </is>
      </c>
    </row>
    <row r="25">
      <c r="B25" s="38" t="inlineStr">
        <is>
          <t>Retail 30</t>
        </is>
      </c>
      <c r="C25" s="10" t="n"/>
      <c r="D25" s="39" t="n">
        <v>44407</v>
      </c>
      <c r="E25" s="40" t="n">
        <v>1305880.3</v>
      </c>
      <c r="F25" s="40" t="n">
        <v>1071061</v>
      </c>
      <c r="G25" s="41" t="n">
        <v>29.40708221676763</v>
      </c>
      <c r="H25" s="42" t="n">
        <v>24.11919292003513</v>
      </c>
      <c r="I25" s="31" t="n"/>
      <c r="J25" s="31" t="n"/>
      <c r="K25" s="31" t="n"/>
      <c r="L25" s="31" t="n"/>
      <c r="M25" s="31" t="n"/>
      <c r="N25" s="31" t="n"/>
      <c r="O25" s="31" t="n"/>
      <c r="P25" s="31" t="n"/>
      <c r="Q25" s="31" t="n"/>
      <c r="R25" s="31" t="n"/>
      <c r="S25" s="31" t="n"/>
      <c r="T25" s="31" t="n"/>
      <c r="U25" s="31" t="n"/>
      <c r="V25" s="31" t="n"/>
      <c r="W25" s="31" t="n"/>
      <c r="X25" s="31" t="n"/>
      <c r="Y25" s="31" t="n"/>
      <c r="Z25" s="31" t="n"/>
      <c r="AA25" s="31" t="n"/>
      <c r="AE25" s="118" t="n">
        <v>1</v>
      </c>
      <c r="AF25" s="44" t="inlineStr">
        <is>
          <t>MOUNJARO</t>
        </is>
      </c>
      <c r="AG25" s="44" t="inlineStr">
        <is>
          <t>GLUCAGON-LIKE PEPTIDE-1 AGONISTS (GLP1)</t>
        </is>
      </c>
      <c r="AH25" s="119" t="n">
        <v>6251111.142429026</v>
      </c>
      <c r="AI25" s="46" t="n">
        <v>8867.763082677957</v>
      </c>
      <c r="AK25" s="120" t="n">
        <v>1</v>
      </c>
      <c r="AL25" s="44" t="inlineStr">
        <is>
          <t>OZEMPIC</t>
        </is>
      </c>
      <c r="AM25" s="44" t="inlineStr">
        <is>
          <t>GLUCAGON-LIKE PEPTIDE-1 AGONISTS (GLP1)</t>
        </is>
      </c>
      <c r="AN25" s="48" t="n">
        <v>4680.26711854409</v>
      </c>
    </row>
    <row r="26">
      <c r="B26" s="49" t="inlineStr">
        <is>
          <t>Retail 90</t>
        </is>
      </c>
      <c r="C26" s="10" t="n"/>
      <c r="D26" s="50" t="n">
        <v>17744</v>
      </c>
      <c r="E26" s="51" t="n">
        <v>1740177.99</v>
      </c>
      <c r="F26" s="51" t="n">
        <v>1314049</v>
      </c>
      <c r="G26" s="52" t="n">
        <v>98.07134749774572</v>
      </c>
      <c r="H26" s="53" t="n">
        <v>74.05596257889991</v>
      </c>
      <c r="I26" s="31" t="n"/>
      <c r="J26" s="31" t="n"/>
      <c r="K26" s="31" t="n"/>
      <c r="L26" s="31" t="n"/>
      <c r="M26" s="31" t="n"/>
      <c r="N26" s="31" t="n"/>
      <c r="O26" s="31" t="n"/>
      <c r="P26" s="31" t="n"/>
      <c r="Q26" s="31" t="n"/>
      <c r="R26" s="31" t="n"/>
      <c r="S26" s="31" t="n"/>
      <c r="T26" s="31" t="n"/>
      <c r="U26" s="31" t="n"/>
      <c r="V26" s="31" t="n"/>
      <c r="W26" s="31" t="n"/>
      <c r="X26" s="31" t="n"/>
      <c r="Y26" s="31" t="n"/>
      <c r="Z26" s="31" t="n"/>
      <c r="AA26" s="31" t="n"/>
      <c r="AE26" s="121" t="n">
        <v>2</v>
      </c>
      <c r="AF26" t="inlineStr">
        <is>
          <t>BREZTRI AEROSPHERE</t>
        </is>
      </c>
      <c r="AG26" t="inlineStr">
        <is>
          <t>LABA LAMA COMBO</t>
        </is>
      </c>
      <c r="AH26" s="122" t="n">
        <v>707877.5699479786</v>
      </c>
      <c r="AI26" s="56" t="n">
        <v>1381.867499496638</v>
      </c>
      <c r="AK26" s="123" t="n">
        <v>2</v>
      </c>
      <c r="AL26" t="inlineStr">
        <is>
          <t>JARDIANCE</t>
        </is>
      </c>
      <c r="AM26" t="inlineStr">
        <is>
          <t>SGLT-2 INHIBITORS &amp; COMBOS</t>
        </is>
      </c>
      <c r="AN26" s="58" t="n">
        <v>7024.586276347051</v>
      </c>
    </row>
    <row r="27" ht="15" customHeight="1" thickBot="1">
      <c r="B27" s="59" t="inlineStr">
        <is>
          <t>Mail</t>
        </is>
      </c>
      <c r="C27" s="10" t="n"/>
      <c r="D27" s="60" t="n">
        <v>304</v>
      </c>
      <c r="E27" s="61" t="n">
        <v>35974</v>
      </c>
      <c r="F27" s="61" t="n">
        <v>26733</v>
      </c>
      <c r="G27" s="62" t="n">
        <v>118.3355263157895</v>
      </c>
      <c r="H27" s="63" t="n">
        <v>87.9375</v>
      </c>
      <c r="I27" s="31" t="n"/>
      <c r="J27" s="31" t="n"/>
      <c r="K27" s="31" t="n"/>
      <c r="L27" s="31" t="n"/>
      <c r="M27" s="31" t="n"/>
      <c r="N27" s="31" t="n"/>
      <c r="O27" s="31" t="n"/>
      <c r="P27" s="31" t="n"/>
      <c r="Q27" s="31" t="n"/>
      <c r="R27" s="31" t="n"/>
      <c r="S27" s="31" t="n"/>
      <c r="T27" s="31" t="n"/>
      <c r="U27" s="31" t="n"/>
      <c r="V27" s="31" t="n"/>
      <c r="W27" s="31" t="n"/>
      <c r="X27" s="31" t="n"/>
      <c r="Y27" s="31" t="n"/>
      <c r="Z27" s="31" t="n"/>
      <c r="AA27" s="31" t="n"/>
      <c r="AE27" s="121" t="n">
        <v>3</v>
      </c>
      <c r="AF27" t="inlineStr">
        <is>
          <t>TRULICITY</t>
        </is>
      </c>
      <c r="AG27" t="inlineStr">
        <is>
          <t>GLUCAGON-LIKE PEPTIDE-1 AGONISTS (GLP1)</t>
        </is>
      </c>
      <c r="AH27" s="122" t="n">
        <v>634763.5969597776</v>
      </c>
      <c r="AI27" s="56" t="n">
        <v>926.3552720223383</v>
      </c>
      <c r="AK27" s="123" t="n">
        <v>3</v>
      </c>
      <c r="AL27" t="inlineStr">
        <is>
          <t>TRELEGY ELLIPTA</t>
        </is>
      </c>
      <c r="AM27" t="inlineStr">
        <is>
          <t>LABA LAMA COMBO</t>
        </is>
      </c>
      <c r="AN27" s="58" t="n">
        <v>3201.641868696777</v>
      </c>
    </row>
    <row r="28" ht="15" customHeight="1" thickTop="1">
      <c r="B28" s="64" t="inlineStr">
        <is>
          <t>Non-Specialty</t>
        </is>
      </c>
      <c r="C28" s="10" t="n"/>
      <c r="D28" s="65" t="n">
        <v>62455</v>
      </c>
      <c r="E28" s="66" t="n">
        <v>3082032.29</v>
      </c>
      <c r="F28" s="66" t="n">
        <v>2411843</v>
      </c>
      <c r="G28" s="67" t="n">
        <v>49.34804723400849</v>
      </c>
      <c r="H28" s="68" t="n">
        <v>38.61729245056441</v>
      </c>
      <c r="I28" s="31" t="n"/>
      <c r="J28" s="31" t="n"/>
      <c r="K28" s="31" t="n"/>
      <c r="L28" s="31" t="n"/>
      <c r="M28" s="31" t="n"/>
      <c r="N28" s="31" t="n"/>
      <c r="O28" s="31" t="n"/>
      <c r="P28" s="31" t="n"/>
      <c r="Q28" s="31" t="n"/>
      <c r="R28" s="31" t="n"/>
      <c r="S28" s="31" t="n"/>
      <c r="T28" s="31" t="n"/>
      <c r="U28" s="31" t="n"/>
      <c r="V28" s="31" t="n"/>
      <c r="W28" s="31" t="n"/>
      <c r="X28" s="31" t="n"/>
      <c r="Y28" s="31" t="n"/>
      <c r="Z28" s="31" t="n"/>
      <c r="AA28" s="31" t="n"/>
      <c r="AE28" s="121" t="n">
        <v>4</v>
      </c>
      <c r="AF28" t="inlineStr">
        <is>
          <t>GEMTESA</t>
        </is>
      </c>
      <c r="AG28" t="inlineStr">
        <is>
          <t>URINARY ANTISPASMODICS &amp; OAB DRUGS</t>
        </is>
      </c>
      <c r="AH28" s="122" t="n">
        <v>432982.3623017126</v>
      </c>
      <c r="AI28" s="56" t="n">
        <v>747.2463417280802</v>
      </c>
      <c r="AK28" s="123" t="n">
        <v>4</v>
      </c>
      <c r="AL28" t="inlineStr">
        <is>
          <t>ELIQUIS</t>
        </is>
      </c>
      <c r="AM28" t="inlineStr">
        <is>
          <t>ORAL ANTICOAGULANTS</t>
        </is>
      </c>
      <c r="AN28" s="58" t="n">
        <v>5887.805906937079</v>
      </c>
    </row>
    <row r="29" ht="15" customHeight="1" thickBot="1">
      <c r="B29" s="59" t="inlineStr">
        <is>
          <t>Specialty</t>
        </is>
      </c>
      <c r="C29" s="10" t="n"/>
      <c r="D29" s="60" t="n">
        <v>485</v>
      </c>
      <c r="E29" s="61" t="n">
        <v>18752</v>
      </c>
      <c r="F29" s="61" t="n">
        <v>16264</v>
      </c>
      <c r="G29" s="62" t="n">
        <v>38.66391752577319</v>
      </c>
      <c r="H29" s="63" t="n">
        <v>33.5340206185567</v>
      </c>
      <c r="I29" s="31" t="n"/>
      <c r="J29" s="31" t="n"/>
      <c r="K29" s="31" t="n"/>
      <c r="L29" s="31" t="n"/>
      <c r="M29" s="31" t="n"/>
      <c r="N29" s="31" t="n"/>
      <c r="O29" s="31" t="n"/>
      <c r="P29" s="31" t="n"/>
      <c r="Q29" s="31" t="n"/>
      <c r="R29" s="31" t="n"/>
      <c r="S29" s="31" t="n"/>
      <c r="T29" s="31" t="n"/>
      <c r="U29" s="31" t="n"/>
      <c r="V29" s="31" t="n"/>
      <c r="W29" s="31" t="n"/>
      <c r="X29" s="31" t="n"/>
      <c r="Y29" s="31" t="n"/>
      <c r="Z29" s="31" t="n"/>
      <c r="AA29" s="31" t="n"/>
      <c r="AE29" s="121" t="n">
        <v>5</v>
      </c>
      <c r="AF29" t="inlineStr">
        <is>
          <t>CREON</t>
        </is>
      </c>
      <c r="AG29" t="inlineStr">
        <is>
          <t>DIGESTIVE ENZYMES</t>
        </is>
      </c>
      <c r="AH29" s="122" t="n">
        <v>213662.0559240661</v>
      </c>
      <c r="AI29" s="56" t="n">
        <v>206.1997051300536</v>
      </c>
      <c r="AK29" s="123" t="n">
        <v>5</v>
      </c>
      <c r="AL29" t="inlineStr">
        <is>
          <t>ENBREL SURECLICK</t>
        </is>
      </c>
      <c r="AM29" t="inlineStr">
        <is>
          <t>IMMUNOMODULATORS</t>
        </is>
      </c>
      <c r="AN29" s="58" t="n">
        <v>156.7320853102153</v>
      </c>
    </row>
    <row r="30" ht="15.6" customHeight="1" thickBot="1" thickTop="1">
      <c r="B30" s="69" t="inlineStr">
        <is>
          <t>Total</t>
        </is>
      </c>
      <c r="C30" s="10" t="n"/>
      <c r="D30" s="70" t="n">
        <v>62939.99999999999</v>
      </c>
      <c r="E30" s="71" t="n">
        <v>3100784.29</v>
      </c>
      <c r="F30" s="71" t="n">
        <v>2428107</v>
      </c>
      <c r="G30" s="72" t="n">
        <v>49.26571798538291</v>
      </c>
      <c r="H30" s="73" t="n">
        <v>38.57812202097236</v>
      </c>
      <c r="I30" s="31" t="n"/>
      <c r="J30" s="31" t="n"/>
      <c r="K30" s="31" t="n"/>
      <c r="L30" s="31" t="n"/>
      <c r="M30" s="31" t="n"/>
      <c r="N30" s="31" t="n"/>
      <c r="O30" s="31" t="n"/>
      <c r="P30" s="31" t="n"/>
      <c r="Q30" s="31" t="n"/>
      <c r="R30" s="31" t="n"/>
      <c r="S30" s="31" t="n"/>
      <c r="T30" s="31" t="n"/>
      <c r="U30" s="31" t="n"/>
      <c r="V30" s="31" t="n"/>
      <c r="W30" s="31" t="n"/>
      <c r="X30" s="31" t="n"/>
      <c r="Y30" s="31" t="n"/>
      <c r="Z30" s="31" t="n"/>
      <c r="AA30" s="31" t="n"/>
      <c r="AE30" s="121" t="n">
        <v>6</v>
      </c>
      <c r="AF30" t="inlineStr">
        <is>
          <t>ANORO ELLIPTA</t>
        </is>
      </c>
      <c r="AG30" t="inlineStr">
        <is>
          <t>LABA LAMA COMBO</t>
        </is>
      </c>
      <c r="AH30" s="122" t="n">
        <v>195602.2540080712</v>
      </c>
      <c r="AI30" s="56" t="n">
        <v>533.1863182989312</v>
      </c>
      <c r="AK30" s="123" t="n">
        <v>6</v>
      </c>
      <c r="AL30" t="inlineStr">
        <is>
          <t>RYBELSUS</t>
        </is>
      </c>
      <c r="AM30" t="inlineStr">
        <is>
          <t>GLUCAGON-LIKE PEPTIDE-1 AGONISTS (GLP1)</t>
        </is>
      </c>
      <c r="AN30" s="58" t="n">
        <v>807.464755826958</v>
      </c>
    </row>
    <row r="31">
      <c r="B31" s="10" t="n"/>
      <c r="C31" s="10" t="n"/>
      <c r="D31" s="74" t="n"/>
      <c r="E31" s="74" t="n"/>
      <c r="F31" s="74" t="n"/>
      <c r="G31" s="75" t="n"/>
      <c r="H31" s="76" t="n"/>
      <c r="I31" s="31" t="n"/>
      <c r="J31" s="31" t="n"/>
      <c r="K31" s="31" t="n"/>
      <c r="L31" s="31" t="n"/>
      <c r="M31" s="31" t="n"/>
      <c r="N31" s="31" t="n"/>
      <c r="O31" s="31" t="n"/>
      <c r="P31" s="31" t="n"/>
      <c r="Q31" s="31" t="n"/>
      <c r="R31" s="31" t="n"/>
      <c r="S31" s="31" t="n"/>
      <c r="T31" s="31" t="n"/>
      <c r="U31" s="31" t="n"/>
      <c r="V31" s="31" t="n"/>
      <c r="W31" s="31" t="n"/>
      <c r="X31" s="31" t="n"/>
      <c r="Y31" s="31" t="n"/>
      <c r="Z31" s="31" t="n"/>
      <c r="AA31" s="31" t="n"/>
      <c r="AE31" s="121" t="n">
        <v>7</v>
      </c>
      <c r="AF31" t="inlineStr">
        <is>
          <t>STIOLTO RESPIMAT</t>
        </is>
      </c>
      <c r="AG31" t="inlineStr">
        <is>
          <t>LABA LAMA COMBO</t>
        </is>
      </c>
      <c r="AH31" s="122" t="n">
        <v>178932.3027100051</v>
      </c>
      <c r="AI31" s="56" t="n">
        <v>442.9547875098813</v>
      </c>
      <c r="AK31" s="123" t="n">
        <v>7</v>
      </c>
      <c r="AL31" t="inlineStr">
        <is>
          <t>IBRANCE</t>
        </is>
      </c>
      <c r="AM31" t="inlineStr">
        <is>
          <t>ONCOLOGY</t>
        </is>
      </c>
      <c r="AN31" s="58" t="n">
        <v>34.53582843738755</v>
      </c>
      <c r="AW31" s="77" t="n"/>
      <c r="AX31" s="78" t="n"/>
      <c r="AY31" s="78" t="n"/>
      <c r="AZ31" s="78" t="n"/>
    </row>
    <row r="32" ht="15" customHeight="1" thickBot="1">
      <c r="B32" s="27" t="inlineStr">
        <is>
          <t>Generic</t>
        </is>
      </c>
      <c r="C32" s="10" t="n"/>
      <c r="D32" s="79" t="n"/>
      <c r="E32" s="79" t="n"/>
      <c r="F32" s="79" t="n"/>
      <c r="G32" s="79" t="n"/>
      <c r="H32" s="80" t="n"/>
      <c r="I32" s="31" t="n"/>
      <c r="J32" s="31" t="n"/>
      <c r="K32" s="31" t="n"/>
      <c r="L32" s="31" t="n"/>
      <c r="M32" s="31" t="n"/>
      <c r="N32" s="31" t="n"/>
      <c r="O32" s="31" t="n"/>
      <c r="P32" s="31" t="n"/>
      <c r="Q32" s="31" t="n"/>
      <c r="R32" s="31" t="n"/>
      <c r="S32" s="31" t="n"/>
      <c r="T32" s="31" t="n"/>
      <c r="U32" s="31" t="n"/>
      <c r="V32" s="31" t="n"/>
      <c r="W32" s="31" t="n"/>
      <c r="X32" s="31" t="n"/>
      <c r="Y32" s="31" t="n"/>
      <c r="Z32" s="31" t="n"/>
      <c r="AA32" s="31" t="n"/>
      <c r="AE32" s="121" t="n">
        <v>8</v>
      </c>
      <c r="AF32" t="inlineStr">
        <is>
          <t>FREESTYLE LIBRE 3 PLUS/SENSOR/GLUCOSE MONITORING SYSTEM</t>
        </is>
      </c>
      <c r="AG32" t="inlineStr">
        <is>
          <t>DIABETES MONITORING AND TESTING SUPPLIES</t>
        </is>
      </c>
      <c r="AH32" s="122" t="n">
        <v>169479.2284243546</v>
      </c>
      <c r="AI32" s="56" t="n">
        <v>1986.350501701309</v>
      </c>
      <c r="AK32" s="123" t="n">
        <v>8</v>
      </c>
      <c r="AL32" t="inlineStr">
        <is>
          <t>OTEZLA</t>
        </is>
      </c>
      <c r="AM32" t="inlineStr">
        <is>
          <t>IMMUNOMODULATORS</t>
        </is>
      </c>
      <c r="AN32" s="58" t="n">
        <v>82.4294670890762</v>
      </c>
    </row>
    <row r="33">
      <c r="B33" s="38" t="inlineStr">
        <is>
          <t>Retail 30</t>
        </is>
      </c>
      <c r="C33" s="10" t="n"/>
      <c r="D33" s="39" t="n">
        <v>214100</v>
      </c>
      <c r="E33" s="40" t="n">
        <v>11823157.497</v>
      </c>
      <c r="F33" s="40" t="n">
        <v>5157527</v>
      </c>
      <c r="G33" s="41" t="n">
        <v>55.22259456795889</v>
      </c>
      <c r="H33" s="42" t="n">
        <v>24.08933675852406</v>
      </c>
      <c r="I33" s="31" t="n"/>
      <c r="J33" s="31" t="n"/>
      <c r="K33" s="31" t="n"/>
      <c r="L33" s="31" t="n"/>
      <c r="M33" s="31" t="n"/>
      <c r="N33" s="31" t="n"/>
      <c r="O33" s="31" t="n"/>
      <c r="P33" s="31" t="n"/>
      <c r="Q33" s="31" t="n"/>
      <c r="R33" s="31" t="n"/>
      <c r="S33" s="31" t="n"/>
      <c r="T33" s="31" t="n"/>
      <c r="U33" s="31" t="n"/>
      <c r="V33" s="31" t="n"/>
      <c r="W33" s="31" t="n"/>
      <c r="X33" s="31" t="n"/>
      <c r="Y33" s="31" t="n"/>
      <c r="Z33" s="31" t="n"/>
      <c r="AA33" s="31" t="n"/>
      <c r="AE33" s="121" t="n">
        <v>9</v>
      </c>
      <c r="AF33" t="inlineStr">
        <is>
          <t>SPIRIVA RESPIMAT</t>
        </is>
      </c>
      <c r="AG33" t="inlineStr">
        <is>
          <t>LAMA/ACH</t>
        </is>
      </c>
      <c r="AH33" s="122" t="n">
        <v>130915.3156911004</v>
      </c>
      <c r="AI33" s="56" t="n">
        <v>367.4459108674866</v>
      </c>
      <c r="AK33" s="123" t="n">
        <v>9</v>
      </c>
      <c r="AL33" t="inlineStr">
        <is>
          <t>BREO ELLIPTA</t>
        </is>
      </c>
      <c r="AM33" t="inlineStr">
        <is>
          <t>LABA LAMA COMBO</t>
        </is>
      </c>
      <c r="AN33" s="58" t="n">
        <v>1209.317920110297</v>
      </c>
    </row>
    <row r="34">
      <c r="B34" s="49" t="inlineStr">
        <is>
          <t>Retail 90</t>
        </is>
      </c>
      <c r="C34" s="10" t="n"/>
      <c r="D34" s="50" t="n">
        <v>222830</v>
      </c>
      <c r="E34" s="51" t="n">
        <v>23377403.918</v>
      </c>
      <c r="F34" s="51" t="n">
        <v>19385429</v>
      </c>
      <c r="G34" s="52" t="n">
        <v>104.911384993044</v>
      </c>
      <c r="H34" s="53" t="n">
        <v>86.99649508593996</v>
      </c>
      <c r="I34" s="31" t="n"/>
      <c r="J34" s="31" t="n"/>
      <c r="K34" s="31" t="n"/>
      <c r="L34" s="31" t="n"/>
      <c r="M34" s="31" t="n"/>
      <c r="N34" s="31" t="n"/>
      <c r="O34" s="31" t="n"/>
      <c r="P34" s="31" t="n"/>
      <c r="Q34" s="31" t="n"/>
      <c r="R34" s="31" t="n"/>
      <c r="S34" s="31" t="n"/>
      <c r="T34" s="31" t="n"/>
      <c r="U34" s="31" t="n"/>
      <c r="V34" s="31" t="n"/>
      <c r="W34" s="31" t="n"/>
      <c r="X34" s="31" t="n"/>
      <c r="Y34" s="31" t="n"/>
      <c r="Z34" s="31" t="n"/>
      <c r="AA34" s="31" t="n"/>
      <c r="AE34" s="121" t="n">
        <v>10</v>
      </c>
      <c r="AF34" t="inlineStr">
        <is>
          <t>ZENPEP</t>
        </is>
      </c>
      <c r="AG34" t="inlineStr">
        <is>
          <t>DIGESTIVE ENZYMES</t>
        </is>
      </c>
      <c r="AH34" s="122" t="n">
        <v>128090.9963178117</v>
      </c>
      <c r="AI34" s="56" t="n">
        <v>46.75458430274473</v>
      </c>
      <c r="AK34" s="123" t="n">
        <v>10</v>
      </c>
      <c r="AL34" t="inlineStr">
        <is>
          <t>IMBRUVICA</t>
        </is>
      </c>
      <c r="AM34" t="inlineStr">
        <is>
          <t>ONCOLOGY</t>
        </is>
      </c>
      <c r="AN34" s="58" t="n">
        <v>58.17228586038789</v>
      </c>
    </row>
    <row r="35" ht="15" customHeight="1" thickBot="1">
      <c r="B35" s="59" t="inlineStr">
        <is>
          <t>Mail</t>
        </is>
      </c>
      <c r="C35" s="10" t="n"/>
      <c r="D35" s="60" t="n">
        <v>3478</v>
      </c>
      <c r="E35" s="61" t="n">
        <v>403509.3</v>
      </c>
      <c r="F35" s="61" t="n">
        <v>308442</v>
      </c>
      <c r="G35" s="62" t="n">
        <v>116.0176250718804</v>
      </c>
      <c r="H35" s="63" t="n">
        <v>88.68372627947096</v>
      </c>
      <c r="I35" s="31" t="n"/>
      <c r="J35" s="31" t="n"/>
      <c r="K35" s="31" t="n"/>
      <c r="L35" s="31" t="n"/>
      <c r="M35" s="31" t="n"/>
      <c r="N35" s="31" t="n"/>
      <c r="O35" s="31" t="n"/>
      <c r="P35" s="31" t="n"/>
      <c r="Q35" s="31" t="n"/>
      <c r="R35" s="31" t="n"/>
      <c r="S35" s="31" t="n"/>
      <c r="T35" s="31" t="n"/>
      <c r="U35" s="31" t="n"/>
      <c r="V35" s="31" t="n"/>
      <c r="W35" s="31" t="n"/>
      <c r="X35" s="31" t="n"/>
      <c r="Y35" s="31" t="n"/>
      <c r="Z35" s="31" t="n"/>
      <c r="AA35" s="31" t="n"/>
      <c r="AE35" s="121" t="n">
        <v>11</v>
      </c>
      <c r="AF35" t="inlineStr">
        <is>
          <t>EMGALITY</t>
        </is>
      </c>
      <c r="AG35" t="inlineStr">
        <is>
          <t>MIGRAINE PRODUCTS</t>
        </is>
      </c>
      <c r="AH35" s="122" t="n">
        <v>120428.7733143354</v>
      </c>
      <c r="AI35" s="56" t="n">
        <v>240.5243126846745</v>
      </c>
      <c r="AK35" s="123" t="n">
        <v>11</v>
      </c>
      <c r="AL35" t="inlineStr">
        <is>
          <t>XTANDI</t>
        </is>
      </c>
      <c r="AM35" t="inlineStr">
        <is>
          <t>ONCOLOGY</t>
        </is>
      </c>
      <c r="AN35" s="58" t="n">
        <v>32.46280173986504</v>
      </c>
    </row>
    <row r="36" ht="15" customHeight="1" thickTop="1">
      <c r="B36" s="64" t="inlineStr">
        <is>
          <t>Non-Specialty</t>
        </is>
      </c>
      <c r="C36" s="10" t="n"/>
      <c r="D36" s="65" t="n">
        <v>440408</v>
      </c>
      <c r="E36" s="66" t="n">
        <v>35604070.715</v>
      </c>
      <c r="F36" s="66" t="n">
        <v>24851398</v>
      </c>
      <c r="G36" s="67" t="n">
        <v>80.84337867386604</v>
      </c>
      <c r="H36" s="68" t="n">
        <v>56.42812573795208</v>
      </c>
      <c r="I36" s="31" t="n"/>
      <c r="J36" s="31" t="n"/>
      <c r="K36" s="31" t="n"/>
      <c r="L36" s="31" t="n"/>
      <c r="M36" s="31" t="n"/>
      <c r="N36" s="31" t="n"/>
      <c r="O36" s="31" t="n"/>
      <c r="P36" s="31" t="n"/>
      <c r="Q36" s="31" t="n"/>
      <c r="R36" s="31" t="n"/>
      <c r="S36" s="31" t="n"/>
      <c r="T36" s="31" t="n"/>
      <c r="U36" s="31" t="n"/>
      <c r="V36" s="31" t="n"/>
      <c r="W36" s="31" t="n"/>
      <c r="X36" s="31" t="n"/>
      <c r="Y36" s="31" t="n"/>
      <c r="Z36" s="31" t="n"/>
      <c r="AA36" s="31" t="n"/>
      <c r="AE36" s="121" t="n">
        <v>12</v>
      </c>
      <c r="AF36" t="inlineStr">
        <is>
          <t>PAXLOVID</t>
        </is>
      </c>
      <c r="AG36" t="inlineStr">
        <is>
          <t>MISC. ANTIVIRALS</t>
        </is>
      </c>
      <c r="AH36" s="122" t="n">
        <v>118962.081937574</v>
      </c>
      <c r="AI36" s="56" t="n">
        <v>432.1996616544644</v>
      </c>
      <c r="AK36" s="123" t="n">
        <v>12</v>
      </c>
      <c r="AL36" t="inlineStr">
        <is>
          <t>OFEV</t>
        </is>
      </c>
      <c r="AM36" t="inlineStr">
        <is>
          <t>PULMONARY FIBROSIS AGENTS</t>
        </is>
      </c>
      <c r="AN36" s="58" t="n">
        <v>15.30168392934421</v>
      </c>
    </row>
    <row r="37" ht="15" customHeight="1" thickBot="1">
      <c r="B37" s="59" t="inlineStr">
        <is>
          <t>Specialty</t>
        </is>
      </c>
      <c r="C37" s="10" t="n"/>
      <c r="D37" s="60" t="n">
        <v>0</v>
      </c>
      <c r="E37" s="61" t="n">
        <v>0</v>
      </c>
      <c r="F37" s="61" t="n">
        <v>0</v>
      </c>
      <c r="G37" s="62" t="n">
        <v>0</v>
      </c>
      <c r="H37" s="63" t="n">
        <v>0</v>
      </c>
      <c r="I37" s="31" t="n"/>
      <c r="J37" s="31" t="n"/>
      <c r="K37" s="31" t="n"/>
      <c r="L37" s="31" t="n"/>
      <c r="M37" s="31" t="n"/>
      <c r="N37" s="31" t="n"/>
      <c r="O37" s="31" t="n"/>
      <c r="P37" s="31" t="n"/>
      <c r="Q37" s="31" t="n"/>
      <c r="R37" s="31" t="n"/>
      <c r="S37" s="31" t="n"/>
      <c r="T37" s="31" t="n"/>
      <c r="U37" s="31" t="n"/>
      <c r="V37" s="31" t="n"/>
      <c r="W37" s="31" t="n"/>
      <c r="X37" s="31" t="n"/>
      <c r="Y37" s="31" t="n"/>
      <c r="Z37" s="31" t="n"/>
      <c r="AA37" s="31" t="n"/>
      <c r="AE37" s="121" t="n">
        <v>13</v>
      </c>
      <c r="AF37" t="inlineStr">
        <is>
          <t>ADVAIR HFA</t>
        </is>
      </c>
      <c r="AG37" t="inlineStr">
        <is>
          <t>LABA LAMA COMBO</t>
        </is>
      </c>
      <c r="AH37" s="122" t="n">
        <v>81509.15863828435</v>
      </c>
      <c r="AI37" s="56" t="n">
        <v>291.5172533184688</v>
      </c>
      <c r="AK37" s="123" t="n">
        <v>13</v>
      </c>
      <c r="AL37" t="inlineStr">
        <is>
          <t>FLUZONE HIGH-DOSE 2025-2026</t>
        </is>
      </c>
      <c r="AM37" t="inlineStr">
        <is>
          <t>VACCINES</t>
        </is>
      </c>
      <c r="AN37" s="58" t="n">
        <v>4441.448784338592</v>
      </c>
    </row>
    <row r="38" ht="15.6" customHeight="1" thickBot="1" thickTop="1">
      <c r="B38" s="69" t="inlineStr">
        <is>
          <t>Total</t>
        </is>
      </c>
      <c r="C38" s="10" t="n"/>
      <c r="D38" s="70" t="n">
        <v>440408</v>
      </c>
      <c r="E38" s="71" t="n">
        <v>35604070.715</v>
      </c>
      <c r="F38" s="71" t="n">
        <v>24851398</v>
      </c>
      <c r="G38" s="72" t="n">
        <v>80.84337867386606</v>
      </c>
      <c r="H38" s="73" t="n">
        <v>56.42812573795208</v>
      </c>
      <c r="I38" s="31" t="n"/>
      <c r="J38" s="31" t="n"/>
      <c r="K38" s="31" t="n"/>
      <c r="L38" s="31" t="n"/>
      <c r="M38" s="31" t="n"/>
      <c r="N38" s="31" t="n"/>
      <c r="O38" s="31" t="n"/>
      <c r="P38" s="31" t="n"/>
      <c r="Q38" s="31" t="n"/>
      <c r="R38" s="31" t="n"/>
      <c r="S38" s="31" t="n"/>
      <c r="T38" s="31" t="n"/>
      <c r="U38" s="31" t="n"/>
      <c r="V38" s="31" t="n"/>
      <c r="W38" s="31" t="n"/>
      <c r="X38" s="31" t="n"/>
      <c r="Y38" s="31" t="n"/>
      <c r="Z38" s="31" t="n"/>
      <c r="AA38" s="31" t="n"/>
      <c r="AE38" s="121" t="n">
        <v>14</v>
      </c>
      <c r="AF38" t="inlineStr">
        <is>
          <t>AIMOVIG</t>
        </is>
      </c>
      <c r="AG38" t="inlineStr">
        <is>
          <t>MIGRAINE PRODUCTS</t>
        </is>
      </c>
      <c r="AH38" s="122" t="n">
        <v>81163.97684150597</v>
      </c>
      <c r="AI38" s="56" t="n">
        <v>183.5214408923528</v>
      </c>
      <c r="AK38" s="123" t="n">
        <v>14</v>
      </c>
      <c r="AL38" t="inlineStr">
        <is>
          <t>AUSTEDO XR</t>
        </is>
      </c>
      <c r="AM38" t="inlineStr">
        <is>
          <t>MOVEMENT DISORDER DRUG THERAPY</t>
        </is>
      </c>
      <c r="AN38" s="58" t="n">
        <v>26.31548058409397</v>
      </c>
    </row>
    <row r="39">
      <c r="B39" s="10" t="n"/>
      <c r="C39" s="10" t="n"/>
      <c r="D39" s="74" t="n"/>
      <c r="E39" s="74" t="n"/>
      <c r="F39" s="74" t="n"/>
      <c r="G39" s="75" t="n"/>
      <c r="H39" s="76" t="n"/>
      <c r="I39" s="31" t="n"/>
      <c r="J39" s="31" t="n"/>
      <c r="K39" s="31" t="n"/>
      <c r="L39" s="31" t="n"/>
      <c r="M39" s="31" t="n"/>
      <c r="N39" s="31" t="n"/>
      <c r="O39" s="31" t="n"/>
      <c r="P39" s="31" t="n"/>
      <c r="Q39" s="31" t="n"/>
      <c r="R39" s="31" t="n"/>
      <c r="S39" s="31" t="n"/>
      <c r="T39" s="31" t="n"/>
      <c r="U39" s="31" t="n"/>
      <c r="V39" s="31" t="n"/>
      <c r="W39" s="31" t="n"/>
      <c r="X39" s="31" t="n"/>
      <c r="Y39" s="31" t="n"/>
      <c r="Z39" s="31" t="n"/>
      <c r="AA39" s="31" t="n"/>
      <c r="AE39" s="121" t="n">
        <v>15</v>
      </c>
      <c r="AF39" t="inlineStr">
        <is>
          <t>MULTAQ</t>
        </is>
      </c>
      <c r="AG39" t="inlineStr">
        <is>
          <t>ANTIARRHYTHMICS</t>
        </is>
      </c>
      <c r="AH39" s="122" t="n">
        <v>74368.77021284695</v>
      </c>
      <c r="AI39" s="56" t="n">
        <v>117.154838369477</v>
      </c>
      <c r="AK39" s="123" t="n">
        <v>15</v>
      </c>
      <c r="AL39" t="inlineStr">
        <is>
          <t>SHINGRIX</t>
        </is>
      </c>
      <c r="AM39" t="inlineStr">
        <is>
          <t>VACCINES</t>
        </is>
      </c>
      <c r="AN39" s="58" t="n">
        <v>1338.950208090338</v>
      </c>
    </row>
    <row r="40" ht="15" customHeight="1" thickBot="1">
      <c r="B40" s="27" t="inlineStr">
        <is>
          <t>Total</t>
        </is>
      </c>
      <c r="C40" s="10" t="n"/>
      <c r="D40" s="79" t="n"/>
      <c r="E40" s="79" t="n"/>
      <c r="F40" s="79" t="n"/>
      <c r="G40" s="79" t="n"/>
      <c r="H40" s="80" t="n"/>
      <c r="I40" s="31" t="n"/>
      <c r="J40" s="31" t="n"/>
      <c r="K40" s="31" t="n"/>
      <c r="L40" s="31" t="n"/>
      <c r="M40" s="31" t="n"/>
      <c r="N40" s="31" t="n"/>
      <c r="O40" s="31" t="n"/>
      <c r="P40" s="31" t="n"/>
      <c r="Q40" s="31" t="n"/>
      <c r="R40" s="31" t="n"/>
      <c r="S40" s="31" t="n"/>
      <c r="T40" s="31" t="n"/>
      <c r="U40" s="31" t="n"/>
      <c r="V40" s="31" t="n"/>
      <c r="W40" s="31" t="n"/>
      <c r="X40" s="31" t="n"/>
      <c r="Y40" s="31" t="n"/>
      <c r="Z40" s="31" t="n"/>
      <c r="AA40" s="31" t="n"/>
      <c r="AE40" s="121" t="n">
        <v>16</v>
      </c>
      <c r="AF40" t="inlineStr">
        <is>
          <t>ROCKLATAN</t>
        </is>
      </c>
      <c r="AG40" t="inlineStr">
        <is>
          <t>OPHTHALMICS - RHO KINASE INHIBITOR &amp; COMBOS</t>
        </is>
      </c>
      <c r="AH40" s="122" t="n">
        <v>73166.72183213674</v>
      </c>
      <c r="AI40" s="56" t="n">
        <v>201.9551490218655</v>
      </c>
      <c r="AK40" s="123" t="n">
        <v>16</v>
      </c>
      <c r="AL40" t="inlineStr">
        <is>
          <t>CALQUENCE</t>
        </is>
      </c>
      <c r="AM40" t="inlineStr">
        <is>
          <t>ONCOLOGY</t>
        </is>
      </c>
      <c r="AN40" s="58" t="n">
        <v>19.8314610887686</v>
      </c>
    </row>
    <row r="41">
      <c r="B41" s="38" t="inlineStr">
        <is>
          <t>Retail 30</t>
        </is>
      </c>
      <c r="C41" s="10" t="n"/>
      <c r="D41" s="39" t="n">
        <v>258507</v>
      </c>
      <c r="E41" s="40" t="n">
        <v>13129037.797</v>
      </c>
      <c r="F41" s="40" t="n">
        <v>6228588</v>
      </c>
      <c r="G41" s="41" t="n">
        <v>50.78793919313596</v>
      </c>
      <c r="H41" s="42" t="n">
        <v>24.09446552704569</v>
      </c>
      <c r="I41" s="31" t="n"/>
      <c r="J41" s="31" t="n"/>
      <c r="K41" s="31" t="n"/>
      <c r="L41" s="31" t="n"/>
      <c r="M41" s="31" t="n"/>
      <c r="N41" s="31" t="n"/>
      <c r="O41" s="31" t="n"/>
      <c r="P41" s="31" t="n"/>
      <c r="Q41" s="31" t="n"/>
      <c r="R41" s="31" t="n"/>
      <c r="S41" s="31" t="n"/>
      <c r="T41" s="31" t="n"/>
      <c r="U41" s="31" t="n"/>
      <c r="V41" s="31" t="n"/>
      <c r="W41" s="31" t="n"/>
      <c r="X41" s="31" t="n"/>
      <c r="Y41" s="31" t="n"/>
      <c r="Z41" s="31" t="n"/>
      <c r="AA41" s="31" t="n"/>
      <c r="AE41" s="121" t="n">
        <v>17</v>
      </c>
      <c r="AF41" t="inlineStr">
        <is>
          <t>REXULTI</t>
        </is>
      </c>
      <c r="AG41" t="inlineStr">
        <is>
          <t>ATYPICAL ANTIPSYCHOTICS</t>
        </is>
      </c>
      <c r="AH41" s="122" t="n">
        <v>72614.31094965678</v>
      </c>
      <c r="AI41" s="56" t="n">
        <v>147.4175985741262</v>
      </c>
      <c r="AK41" s="123" t="n">
        <v>17</v>
      </c>
      <c r="AL41" t="inlineStr">
        <is>
          <t>XARELTO</t>
        </is>
      </c>
      <c r="AM41" t="inlineStr">
        <is>
          <t>ORAL ANTICOAGULANTS</t>
        </is>
      </c>
      <c r="AN41" s="58" t="n">
        <v>317.7433166781635</v>
      </c>
    </row>
    <row r="42">
      <c r="B42" s="49" t="inlineStr">
        <is>
          <t>Retail 90</t>
        </is>
      </c>
      <c r="C42" s="10" t="n"/>
      <c r="D42" s="50" t="n">
        <v>240574</v>
      </c>
      <c r="E42" s="51" t="n">
        <v>25117581.908</v>
      </c>
      <c r="F42" s="51" t="n">
        <v>20699478</v>
      </c>
      <c r="G42" s="52" t="n">
        <v>104.4068848171457</v>
      </c>
      <c r="H42" s="53" t="n">
        <v>86.04204111832534</v>
      </c>
      <c r="I42" s="31" t="n"/>
      <c r="J42" s="31" t="n"/>
      <c r="K42" s="31" t="n"/>
      <c r="L42" s="31" t="n"/>
      <c r="M42" s="31" t="n"/>
      <c r="N42" s="31" t="n"/>
      <c r="O42" s="31" t="n"/>
      <c r="P42" s="31" t="n"/>
      <c r="Q42" s="31" t="n"/>
      <c r="R42" s="31" t="n"/>
      <c r="S42" s="31" t="n"/>
      <c r="T42" s="31" t="n"/>
      <c r="U42" s="31" t="n"/>
      <c r="V42" s="31" t="n"/>
      <c r="W42" s="31" t="n"/>
      <c r="X42" s="31" t="n"/>
      <c r="Y42" s="31" t="n"/>
      <c r="Z42" s="31" t="n"/>
      <c r="AA42" s="31" t="n"/>
      <c r="AE42" s="121" t="n">
        <v>18</v>
      </c>
      <c r="AF42" t="inlineStr">
        <is>
          <t>LOKELMA</t>
        </is>
      </c>
      <c r="AG42" t="inlineStr">
        <is>
          <t>POTASSIUM REMOVING AGENTS</t>
        </is>
      </c>
      <c r="AH42" s="122" t="n">
        <v>69144.39120753236</v>
      </c>
      <c r="AI42" s="56" t="n">
        <v>116.7772917320124</v>
      </c>
      <c r="AK42" s="123" t="n">
        <v>18</v>
      </c>
      <c r="AL42" t="inlineStr">
        <is>
          <t>STELARA</t>
        </is>
      </c>
      <c r="AM42" t="inlineStr">
        <is>
          <t>IMMUNOMODULATORS</t>
        </is>
      </c>
      <c r="AN42" s="58" t="n">
        <v>15.09271932616888</v>
      </c>
    </row>
    <row r="43" ht="15" customHeight="1" thickBot="1">
      <c r="B43" s="59" t="inlineStr">
        <is>
          <t>Mail</t>
        </is>
      </c>
      <c r="C43" s="10" t="n"/>
      <c r="D43" s="60" t="n">
        <v>3782</v>
      </c>
      <c r="E43" s="61" t="n">
        <v>439483.3</v>
      </c>
      <c r="F43" s="61" t="n">
        <v>335175</v>
      </c>
      <c r="G43" s="62" t="n">
        <v>116.2039397144368</v>
      </c>
      <c r="H43" s="63" t="n">
        <v>88.62374405076679</v>
      </c>
      <c r="I43" s="31" t="n"/>
      <c r="J43" s="31" t="n"/>
      <c r="K43" s="31" t="n"/>
      <c r="L43" s="31" t="n"/>
      <c r="M43" s="31" t="n"/>
      <c r="N43" s="31" t="n"/>
      <c r="O43" s="31" t="n"/>
      <c r="P43" s="31" t="n"/>
      <c r="Q43" s="31" t="n"/>
      <c r="R43" s="31" t="n"/>
      <c r="S43" s="31" t="n"/>
      <c r="T43" s="31" t="n"/>
      <c r="U43" s="31" t="n"/>
      <c r="V43" s="31" t="n"/>
      <c r="W43" s="31" t="n"/>
      <c r="X43" s="31" t="n"/>
      <c r="Y43" s="31" t="n"/>
      <c r="Z43" s="31" t="n"/>
      <c r="AA43" s="31" t="n"/>
      <c r="AE43" s="121" t="n">
        <v>19</v>
      </c>
      <c r="AF43" t="inlineStr">
        <is>
          <t>BELSOMRA</t>
        </is>
      </c>
      <c r="AG43" t="inlineStr">
        <is>
          <t>SEDATIVE HYPNOTICS</t>
        </is>
      </c>
      <c r="AH43" s="122" t="n">
        <v>68653.76605754909</v>
      </c>
      <c r="AI43" s="56" t="n">
        <v>180.8398533695211</v>
      </c>
      <c r="AK43" s="123" t="n">
        <v>19</v>
      </c>
      <c r="AL43" t="inlineStr">
        <is>
          <t>LINZESS</t>
        </is>
      </c>
      <c r="AM43" t="inlineStr">
        <is>
          <t>IRRITABLE BOWEL SYNDROME (IBS) AGENTS</t>
        </is>
      </c>
      <c r="AN43" s="58" t="n">
        <v>1035.628949803745</v>
      </c>
    </row>
    <row r="44" ht="15.6" customHeight="1" thickBot="1" thickTop="1">
      <c r="B44" s="64" t="inlineStr">
        <is>
          <t>Non-Specialty</t>
        </is>
      </c>
      <c r="C44" s="10" t="n"/>
      <c r="D44" s="65" t="n">
        <v>502863</v>
      </c>
      <c r="E44" s="66" t="n">
        <v>38686103.005</v>
      </c>
      <c r="F44" s="66" t="n">
        <v>27263241</v>
      </c>
      <c r="G44" s="67" t="n">
        <v>76.93169512372157</v>
      </c>
      <c r="H44" s="68" t="n">
        <v>54.21604094952303</v>
      </c>
      <c r="I44" s="31" t="n"/>
      <c r="J44" s="31" t="n"/>
      <c r="K44" s="31" t="n"/>
      <c r="L44" s="31" t="n"/>
      <c r="M44" s="31" t="n"/>
      <c r="N44" s="31" t="n"/>
      <c r="O44" s="31" t="n"/>
      <c r="P44" s="31" t="n"/>
      <c r="Q44" s="31" t="n"/>
      <c r="R44" s="31" t="n"/>
      <c r="S44" s="31" t="n"/>
      <c r="T44" s="31" t="n"/>
      <c r="U44" s="31" t="n"/>
      <c r="V44" s="31" t="n"/>
      <c r="W44" s="31" t="n"/>
      <c r="X44" s="31" t="n"/>
      <c r="Y44" s="31" t="n"/>
      <c r="Z44" s="31" t="n"/>
      <c r="AA44" s="31" t="n"/>
      <c r="AE44" s="124" t="n">
        <v>20</v>
      </c>
      <c r="AF44" s="82" t="inlineStr">
        <is>
          <t>TOUJEO SOLOSTAR</t>
        </is>
      </c>
      <c r="AG44" s="82" t="inlineStr">
        <is>
          <t>BASAL INSULIN</t>
        </is>
      </c>
      <c r="AH44" s="125" t="n">
        <v>68127.87805840334</v>
      </c>
      <c r="AI44" s="84" t="n">
        <v>116.0915977381184</v>
      </c>
      <c r="AK44" s="126" t="n">
        <v>20</v>
      </c>
      <c r="AL44" s="86" t="inlineStr">
        <is>
          <t>ENBREL MINI</t>
        </is>
      </c>
      <c r="AM44" s="86" t="inlineStr">
        <is>
          <t>IMMUNOMODULATORS</t>
        </is>
      </c>
      <c r="AN44" s="87" t="n">
        <v>27.86348183292716</v>
      </c>
    </row>
    <row r="45" ht="15" customHeight="1" thickBot="1">
      <c r="B45" s="59" t="inlineStr">
        <is>
          <t>Specialty</t>
        </is>
      </c>
      <c r="C45" s="10" t="n"/>
      <c r="D45" s="60" t="n">
        <v>485</v>
      </c>
      <c r="E45" s="61" t="n">
        <v>18752</v>
      </c>
      <c r="F45" s="61" t="n">
        <v>16264</v>
      </c>
      <c r="G45" s="62" t="n">
        <v>38.66391752577319</v>
      </c>
      <c r="H45" s="63" t="n">
        <v>33.5340206185567</v>
      </c>
      <c r="I45" s="31" t="n"/>
      <c r="J45" s="31" t="n"/>
      <c r="K45" s="31" t="n"/>
      <c r="L45" s="31" t="n"/>
      <c r="M45" s="31" t="n"/>
      <c r="N45" s="31" t="n"/>
      <c r="O45" s="31" t="n"/>
      <c r="P45" s="31" t="n"/>
      <c r="Q45" s="31" t="n"/>
      <c r="R45" s="31" t="n"/>
      <c r="S45" s="31" t="n"/>
      <c r="T45" s="31" t="n"/>
      <c r="U45" s="31" t="n"/>
      <c r="V45" s="31" t="n"/>
      <c r="W45" s="31" t="n"/>
      <c r="X45" s="31" t="n"/>
      <c r="Y45" s="31" t="n"/>
      <c r="Z45" s="31" t="n"/>
      <c r="AA45" s="31" t="n"/>
    </row>
    <row r="46" ht="15.6" customHeight="1" thickBot="1" thickTop="1">
      <c r="B46" s="69" t="inlineStr">
        <is>
          <t>Total</t>
        </is>
      </c>
      <c r="C46" s="10" t="n"/>
      <c r="D46" s="70" t="n">
        <v>503348</v>
      </c>
      <c r="E46" s="71" t="n">
        <v>38704855.005</v>
      </c>
      <c r="F46" s="71" t="n">
        <v>27279505</v>
      </c>
      <c r="G46" s="72" t="n">
        <v>76.89482228001303</v>
      </c>
      <c r="H46" s="73" t="n">
        <v>54.19611282850036</v>
      </c>
      <c r="I46" s="31" t="n"/>
      <c r="J46" s="31" t="n"/>
      <c r="K46" s="31" t="n"/>
      <c r="L46" s="31" t="n"/>
      <c r="M46" s="31" t="n"/>
      <c r="N46" s="31" t="n"/>
      <c r="O46" s="31" t="n"/>
      <c r="P46" s="31" t="n"/>
      <c r="Q46" s="31" t="n"/>
      <c r="R46" s="31" t="n"/>
      <c r="S46" s="31" t="n"/>
      <c r="T46" s="31" t="n"/>
      <c r="U46" s="31" t="n"/>
      <c r="V46" s="31" t="n"/>
      <c r="W46" s="31" t="n"/>
      <c r="X46" s="31" t="n"/>
      <c r="Y46" s="31" t="n"/>
      <c r="Z46" s="31" t="n"/>
      <c r="AA46" s="31" t="n"/>
    </row>
    <row r="47" ht="15" customHeight="1" thickBot="1">
      <c r="AE47" s="20" t="inlineStr">
        <is>
          <t>Overall - Brand Only</t>
        </is>
      </c>
      <c r="AF47" s="21" t="n"/>
      <c r="AG47" s="23" t="n"/>
      <c r="AH47" s="23" t="n"/>
    </row>
    <row r="48" ht="34.95" customHeight="1" thickBot="1">
      <c r="B48" s="88" t="n"/>
      <c r="C48" s="88" t="n"/>
      <c r="D48" s="88" t="n"/>
      <c r="E48" s="88" t="n"/>
      <c r="F48" s="88" t="n"/>
      <c r="G48" s="88" t="n"/>
      <c r="H48" s="88" t="n"/>
      <c r="I48" s="88" t="n"/>
      <c r="J48" s="88" t="n"/>
      <c r="K48" s="88" t="n"/>
      <c r="L48" s="88" t="n"/>
      <c r="M48" s="88" t="n"/>
      <c r="N48" s="88" t="n"/>
      <c r="O48" s="88" t="n"/>
      <c r="P48" s="88" t="n"/>
      <c r="Q48" s="88" t="n"/>
      <c r="R48" s="88" t="n"/>
      <c r="S48" s="88" t="n"/>
      <c r="T48" s="88" t="n"/>
      <c r="U48" s="88" t="n"/>
      <c r="V48" s="88" t="n"/>
      <c r="W48" s="88" t="n"/>
      <c r="X48" s="88" t="n"/>
      <c r="Y48" s="88" t="n"/>
      <c r="Z48" s="88" t="n"/>
      <c r="AA48" s="88" t="n"/>
      <c r="AE48" s="32" t="inlineStr">
        <is>
          <t>Rank</t>
        </is>
      </c>
      <c r="AF48" s="33" t="inlineStr">
        <is>
          <t>Therapeutic Class</t>
        </is>
      </c>
      <c r="AG48" s="33" t="inlineStr">
        <is>
          <t>Total Rebates</t>
        </is>
      </c>
      <c r="AH48" s="34" t="inlineStr">
        <is>
          <t>Brand Scripts</t>
        </is>
      </c>
    </row>
    <row r="49" ht="15" customHeight="1" thickTop="1">
      <c r="AE49" s="118" t="n">
        <v>1</v>
      </c>
      <c r="AF49" s="44" t="inlineStr">
        <is>
          <t>GLUCAGON-LIKE PEPTIDE-1 AGONISTS (GLP1)</t>
        </is>
      </c>
      <c r="AG49" s="119" t="n">
        <v>6885874.739388804</v>
      </c>
      <c r="AH49" s="46" t="n">
        <v>15281.88969849521</v>
      </c>
    </row>
    <row r="50" ht="15" customHeight="1" thickBot="1">
      <c r="AE50" s="121" t="n">
        <v>2</v>
      </c>
      <c r="AF50" t="inlineStr">
        <is>
          <t>LABA LAMA COMBO</t>
        </is>
      </c>
      <c r="AG50" s="122" t="n">
        <v>1181806.889654966</v>
      </c>
      <c r="AH50" s="56" t="n">
        <v>7221.299785728896</v>
      </c>
    </row>
    <row r="51" ht="15" customHeight="1" thickBot="1">
      <c r="D51" s="11" t="inlineStr">
        <is>
          <t>Base Yr</t>
        </is>
      </c>
      <c r="E51" s="12" t="n"/>
      <c r="F51" s="12" t="n"/>
      <c r="G51" s="13" t="n"/>
      <c r="H51" s="14" t="n"/>
      <c r="J51" s="11" t="n">
        <v>2028</v>
      </c>
      <c r="K51" s="12" t="n"/>
      <c r="L51" s="12" t="n"/>
      <c r="M51" s="13" t="n"/>
      <c r="N51" s="14" t="n"/>
      <c r="P51" s="11" t="n">
        <v>2028</v>
      </c>
      <c r="Q51" s="12" t="n"/>
      <c r="R51" s="12" t="n"/>
      <c r="S51" s="13" t="n"/>
      <c r="T51" s="14" t="n"/>
      <c r="V51" s="11" t="n">
        <v>2029</v>
      </c>
      <c r="W51" s="12" t="n"/>
      <c r="X51" s="12" t="n"/>
      <c r="Y51" s="13" t="n"/>
      <c r="Z51" s="14" t="n"/>
      <c r="AE51" s="121" t="n">
        <v>3</v>
      </c>
      <c r="AF51" t="inlineStr">
        <is>
          <t>URINARY ANTISPASMODICS &amp; OAB DRUGS</t>
        </is>
      </c>
      <c r="AG51" s="122" t="n">
        <v>432982.3623017127</v>
      </c>
      <c r="AH51" s="56" t="n">
        <v>832.4241096293499</v>
      </c>
    </row>
    <row r="52" ht="15" customHeight="1" thickBot="1">
      <c r="B52" s="27" t="inlineStr">
        <is>
          <t>Excl - Brand</t>
        </is>
      </c>
      <c r="D52" s="28" t="inlineStr">
        <is>
          <t>R30</t>
        </is>
      </c>
      <c r="E52" s="29" t="inlineStr">
        <is>
          <t>R90</t>
        </is>
      </c>
      <c r="F52" s="29" t="inlineStr">
        <is>
          <t>Mail</t>
        </is>
      </c>
      <c r="G52" s="29" t="inlineStr">
        <is>
          <t>Specialty</t>
        </is>
      </c>
      <c r="H52" s="30" t="inlineStr">
        <is>
          <t>Total</t>
        </is>
      </c>
      <c r="J52" s="28" t="inlineStr">
        <is>
          <t>R30</t>
        </is>
      </c>
      <c r="K52" s="29" t="inlineStr">
        <is>
          <t>R90</t>
        </is>
      </c>
      <c r="L52" s="29" t="inlineStr">
        <is>
          <t>Mail</t>
        </is>
      </c>
      <c r="M52" s="29" t="inlineStr">
        <is>
          <t>Specialty</t>
        </is>
      </c>
      <c r="N52" s="30" t="inlineStr">
        <is>
          <t>Total</t>
        </is>
      </c>
      <c r="P52" s="28" t="inlineStr">
        <is>
          <t>R30</t>
        </is>
      </c>
      <c r="Q52" s="29" t="inlineStr">
        <is>
          <t>R90</t>
        </is>
      </c>
      <c r="R52" s="29" t="inlineStr">
        <is>
          <t>Mail</t>
        </is>
      </c>
      <c r="S52" s="29" t="inlineStr">
        <is>
          <t>Specialty</t>
        </is>
      </c>
      <c r="T52" s="30" t="inlineStr">
        <is>
          <t>Total</t>
        </is>
      </c>
      <c r="V52" s="28" t="inlineStr">
        <is>
          <t>R30</t>
        </is>
      </c>
      <c r="W52" s="29" t="inlineStr">
        <is>
          <t>R90</t>
        </is>
      </c>
      <c r="X52" s="29" t="inlineStr">
        <is>
          <t>Mail</t>
        </is>
      </c>
      <c r="Y52" s="29" t="inlineStr">
        <is>
          <t>Specialty</t>
        </is>
      </c>
      <c r="Z52" s="30" t="inlineStr">
        <is>
          <t>Total</t>
        </is>
      </c>
      <c r="AE52" s="121" t="n">
        <v>4</v>
      </c>
      <c r="AF52" t="inlineStr">
        <is>
          <t>DIGESTIVE ENZYMES</t>
        </is>
      </c>
      <c r="AG52" s="122" t="n">
        <v>341753.0522418778</v>
      </c>
      <c r="AH52" s="56" t="n">
        <v>252.9542894327984</v>
      </c>
    </row>
    <row r="53">
      <c r="B53" s="38" t="inlineStr">
        <is>
          <t>OTCs</t>
        </is>
      </c>
      <c r="D53" s="127" t="n">
        <v>0</v>
      </c>
      <c r="E53" s="128" t="n">
        <v>0</v>
      </c>
      <c r="F53" s="128" t="n">
        <v>0</v>
      </c>
      <c r="G53" s="128" t="n">
        <v>0</v>
      </c>
      <c r="H53" s="129" t="n">
        <v>0</v>
      </c>
      <c r="J53" s="127" t="n">
        <v>0</v>
      </c>
      <c r="K53" s="128" t="n">
        <v>0</v>
      </c>
      <c r="L53" s="128" t="n">
        <v>0</v>
      </c>
      <c r="M53" s="128" t="n">
        <v>0</v>
      </c>
      <c r="N53" s="129" t="n">
        <v>0</v>
      </c>
      <c r="P53" s="127" t="n">
        <v>0</v>
      </c>
      <c r="Q53" s="128" t="n">
        <v>0</v>
      </c>
      <c r="R53" s="128" t="n">
        <v>0</v>
      </c>
      <c r="S53" s="128" t="n">
        <v>0</v>
      </c>
      <c r="T53" s="129" t="n">
        <v>0</v>
      </c>
      <c r="V53" s="127" t="n">
        <v>0</v>
      </c>
      <c r="W53" s="128" t="n">
        <v>0</v>
      </c>
      <c r="X53" s="128" t="n">
        <v>0</v>
      </c>
      <c r="Y53" s="128" t="n">
        <v>0</v>
      </c>
      <c r="Z53" s="129" t="n">
        <v>0</v>
      </c>
      <c r="AE53" s="121" t="n">
        <v>5</v>
      </c>
      <c r="AF53" t="inlineStr">
        <is>
          <t>MIGRAINE PRODUCTS</t>
        </is>
      </c>
      <c r="AG53" s="122" t="n">
        <v>306409.9699396395</v>
      </c>
      <c r="AH53" s="56" t="n">
        <v>540.8321250539791</v>
      </c>
    </row>
    <row r="54">
      <c r="B54" s="49" t="inlineStr">
        <is>
          <t>Devices</t>
        </is>
      </c>
      <c r="D54" s="130" t="n">
        <v>0</v>
      </c>
      <c r="E54" s="131" t="n">
        <v>0</v>
      </c>
      <c r="F54" s="131" t="n">
        <v>0</v>
      </c>
      <c r="G54" s="131" t="n">
        <v>0</v>
      </c>
      <c r="H54" s="132" t="n">
        <v>0</v>
      </c>
      <c r="J54" s="130" t="n">
        <v>0</v>
      </c>
      <c r="K54" s="131" t="n">
        <v>0</v>
      </c>
      <c r="L54" s="131" t="n">
        <v>0</v>
      </c>
      <c r="M54" s="131" t="n">
        <v>0</v>
      </c>
      <c r="N54" s="132" t="n">
        <v>0</v>
      </c>
      <c r="P54" s="130" t="n">
        <v>0</v>
      </c>
      <c r="Q54" s="131" t="n">
        <v>0</v>
      </c>
      <c r="R54" s="131" t="n">
        <v>0</v>
      </c>
      <c r="S54" s="131" t="n">
        <v>0</v>
      </c>
      <c r="T54" s="132" t="n">
        <v>0</v>
      </c>
      <c r="V54" s="130" t="n">
        <v>0</v>
      </c>
      <c r="W54" s="131" t="n">
        <v>0</v>
      </c>
      <c r="X54" s="131" t="n">
        <v>0</v>
      </c>
      <c r="Y54" s="131" t="n">
        <v>0</v>
      </c>
      <c r="Z54" s="132" t="n">
        <v>0</v>
      </c>
      <c r="AE54" s="121" t="n">
        <v>6</v>
      </c>
      <c r="AF54" t="inlineStr">
        <is>
          <t>DIABETES MONITORING AND TESTING SUPPLIES</t>
        </is>
      </c>
      <c r="AG54" s="122" t="n">
        <v>181208.7921849003</v>
      </c>
      <c r="AH54" s="56" t="n">
        <v>2154.971689442402</v>
      </c>
    </row>
    <row r="55">
      <c r="B55" s="64" t="inlineStr">
        <is>
          <t>Vaccines</t>
        </is>
      </c>
      <c r="D55" s="130" t="n">
        <v>0</v>
      </c>
      <c r="E55" s="131" t="n">
        <v>0</v>
      </c>
      <c r="F55" s="131" t="n">
        <v>0</v>
      </c>
      <c r="G55" s="131" t="n">
        <v>0</v>
      </c>
      <c r="H55" s="132" t="n">
        <v>0</v>
      </c>
      <c r="J55" s="130" t="n">
        <v>0</v>
      </c>
      <c r="K55" s="131" t="n">
        <v>0</v>
      </c>
      <c r="L55" s="131" t="n">
        <v>0</v>
      </c>
      <c r="M55" s="131" t="n">
        <v>0</v>
      </c>
      <c r="N55" s="132" t="n">
        <v>0</v>
      </c>
      <c r="P55" s="130" t="n">
        <v>0</v>
      </c>
      <c r="Q55" s="131" t="n">
        <v>0</v>
      </c>
      <c r="R55" s="131" t="n">
        <v>0</v>
      </c>
      <c r="S55" s="131" t="n">
        <v>0</v>
      </c>
      <c r="T55" s="132" t="n">
        <v>0</v>
      </c>
      <c r="V55" s="130" t="n">
        <v>0</v>
      </c>
      <c r="W55" s="131" t="n">
        <v>0</v>
      </c>
      <c r="X55" s="131" t="n">
        <v>0</v>
      </c>
      <c r="Y55" s="131" t="n">
        <v>0</v>
      </c>
      <c r="Z55" s="132" t="n">
        <v>0</v>
      </c>
      <c r="AE55" s="121" t="n">
        <v>7</v>
      </c>
      <c r="AF55" t="inlineStr">
        <is>
          <t>BASAL INSULIN</t>
        </is>
      </c>
      <c r="AG55" s="122" t="n">
        <v>179165.5444324094</v>
      </c>
      <c r="AH55" s="56" t="n">
        <v>1708.084936378903</v>
      </c>
    </row>
    <row r="56">
      <c r="B56" s="64" t="inlineStr">
        <is>
          <t>Repackaged</t>
        </is>
      </c>
      <c r="D56" s="130" t="n">
        <v>0</v>
      </c>
      <c r="E56" s="131" t="n">
        <v>0</v>
      </c>
      <c r="F56" s="131" t="n">
        <v>0</v>
      </c>
      <c r="G56" s="131" t="n">
        <v>0</v>
      </c>
      <c r="H56" s="132" t="n">
        <v>0</v>
      </c>
      <c r="J56" s="130" t="n">
        <v>0</v>
      </c>
      <c r="K56" s="131" t="n">
        <v>0</v>
      </c>
      <c r="L56" s="131" t="n">
        <v>0</v>
      </c>
      <c r="M56" s="131" t="n">
        <v>0</v>
      </c>
      <c r="N56" s="132" t="n">
        <v>0</v>
      </c>
      <c r="P56" s="130" t="n">
        <v>0</v>
      </c>
      <c r="Q56" s="131" t="n">
        <v>0</v>
      </c>
      <c r="R56" s="131" t="n">
        <v>0</v>
      </c>
      <c r="S56" s="131" t="n">
        <v>0</v>
      </c>
      <c r="T56" s="132" t="n">
        <v>0</v>
      </c>
      <c r="V56" s="130" t="n">
        <v>0</v>
      </c>
      <c r="W56" s="131" t="n">
        <v>0</v>
      </c>
      <c r="X56" s="131" t="n">
        <v>0</v>
      </c>
      <c r="Y56" s="131" t="n">
        <v>0</v>
      </c>
      <c r="Z56" s="132" t="n">
        <v>0</v>
      </c>
      <c r="AE56" s="121" t="n">
        <v>8</v>
      </c>
      <c r="AF56" t="inlineStr">
        <is>
          <t>LAMA/ACH</t>
        </is>
      </c>
      <c r="AG56" s="122" t="n">
        <v>154227.7055605296</v>
      </c>
      <c r="AH56" s="56" t="n">
        <v>415.6609932837869</v>
      </c>
    </row>
    <row r="57">
      <c r="B57" s="64" t="inlineStr">
        <is>
          <t>MSBs</t>
        </is>
      </c>
      <c r="D57" s="130" t="n">
        <v>0</v>
      </c>
      <c r="E57" s="131" t="n">
        <v>0</v>
      </c>
      <c r="F57" s="131" t="n">
        <v>0</v>
      </c>
      <c r="G57" s="131" t="n">
        <v>0</v>
      </c>
      <c r="H57" s="132" t="n">
        <v>0</v>
      </c>
      <c r="J57" s="130" t="n">
        <v>0</v>
      </c>
      <c r="K57" s="131" t="n">
        <v>0</v>
      </c>
      <c r="L57" s="131" t="n">
        <v>0</v>
      </c>
      <c r="M57" s="131" t="n">
        <v>0</v>
      </c>
      <c r="N57" s="132" t="n">
        <v>0</v>
      </c>
      <c r="P57" s="130" t="n">
        <v>0</v>
      </c>
      <c r="Q57" s="131" t="n">
        <v>0</v>
      </c>
      <c r="R57" s="131" t="n">
        <v>0</v>
      </c>
      <c r="S57" s="131" t="n">
        <v>0</v>
      </c>
      <c r="T57" s="132" t="n">
        <v>0</v>
      </c>
      <c r="V57" s="130" t="n">
        <v>0</v>
      </c>
      <c r="W57" s="131" t="n">
        <v>0</v>
      </c>
      <c r="X57" s="131" t="n">
        <v>0</v>
      </c>
      <c r="Y57" s="131" t="n">
        <v>0</v>
      </c>
      <c r="Z57" s="132" t="n">
        <v>0</v>
      </c>
      <c r="AE57" s="121" t="n">
        <v>9</v>
      </c>
      <c r="AF57" t="inlineStr">
        <is>
          <t>MISC. ANTIVIRALS</t>
        </is>
      </c>
      <c r="AG57" s="122" t="n">
        <v>141962.3975513979</v>
      </c>
      <c r="AH57" s="56" t="n">
        <v>514.7302503121008</v>
      </c>
    </row>
    <row r="58">
      <c r="B58" s="64" t="inlineStr">
        <is>
          <t>Non FDA Approved</t>
        </is>
      </c>
      <c r="D58" s="130" t="n">
        <v>0</v>
      </c>
      <c r="E58" s="131" t="n">
        <v>6</v>
      </c>
      <c r="F58" s="131" t="n">
        <v>0</v>
      </c>
      <c r="G58" s="131" t="n">
        <v>0</v>
      </c>
      <c r="H58" s="132" t="n">
        <v>6</v>
      </c>
      <c r="J58" s="130" t="n">
        <v>0</v>
      </c>
      <c r="K58" s="131" t="n">
        <v>6.885489488627885</v>
      </c>
      <c r="L58" s="131" t="n">
        <v>0</v>
      </c>
      <c r="M58" s="131" t="n">
        <v>0</v>
      </c>
      <c r="N58" s="132" t="n">
        <v>6.885489488627885</v>
      </c>
      <c r="P58" s="130" t="n">
        <v>0</v>
      </c>
      <c r="Q58" s="131" t="n">
        <v>7.09762893823543</v>
      </c>
      <c r="R58" s="131" t="n">
        <v>0</v>
      </c>
      <c r="S58" s="131" t="n">
        <v>0</v>
      </c>
      <c r="T58" s="132" t="n">
        <v>7.09762893823543</v>
      </c>
      <c r="V58" s="130" t="n">
        <v>0</v>
      </c>
      <c r="W58" s="131" t="n">
        <v>7.29938773026082</v>
      </c>
      <c r="X58" s="131" t="n">
        <v>0</v>
      </c>
      <c r="Y58" s="131" t="n">
        <v>0</v>
      </c>
      <c r="Z58" s="132" t="n">
        <v>7.29938773026082</v>
      </c>
      <c r="AE58" s="121" t="n">
        <v>10</v>
      </c>
      <c r="AF58" t="inlineStr">
        <is>
          <t>OPHTHALMICS - RHO KINASE INHIBITOR &amp; COMBOS</t>
        </is>
      </c>
      <c r="AG58" s="122" t="n">
        <v>104425.8354361577</v>
      </c>
      <c r="AH58" s="56" t="n">
        <v>293.9451907229246</v>
      </c>
    </row>
    <row r="59">
      <c r="B59" s="64" t="inlineStr">
        <is>
          <t>LDD</t>
        </is>
      </c>
      <c r="D59" s="130" t="n">
        <v>18</v>
      </c>
      <c r="E59" s="131" t="n">
        <v>0</v>
      </c>
      <c r="F59" s="131" t="n">
        <v>0</v>
      </c>
      <c r="G59" s="131" t="n">
        <v>1</v>
      </c>
      <c r="H59" s="132" t="n">
        <v>19</v>
      </c>
      <c r="J59" s="130" t="n">
        <v>24.87719139716617</v>
      </c>
      <c r="K59" s="131" t="n">
        <v>0</v>
      </c>
      <c r="L59" s="131" t="n">
        <v>0</v>
      </c>
      <c r="M59" s="131" t="n">
        <v>0.6176590635903295</v>
      </c>
      <c r="N59" s="132" t="n">
        <v>25.4948504607565</v>
      </c>
      <c r="P59" s="130" t="n">
        <v>27.65663487526179</v>
      </c>
      <c r="Q59" s="131" t="n">
        <v>0</v>
      </c>
      <c r="R59" s="131" t="n">
        <v>0</v>
      </c>
      <c r="S59" s="131" t="n">
        <v>0.6107794764899804</v>
      </c>
      <c r="T59" s="132" t="n">
        <v>28.26741435175177</v>
      </c>
      <c r="V59" s="130" t="n">
        <v>31.05175440243663</v>
      </c>
      <c r="W59" s="131" t="n">
        <v>0</v>
      </c>
      <c r="X59" s="131" t="n">
        <v>0</v>
      </c>
      <c r="Y59" s="131" t="n">
        <v>0.6430482566932423</v>
      </c>
      <c r="Z59" s="132" t="n">
        <v>31.69480265912987</v>
      </c>
      <c r="AE59" s="121" t="n">
        <v>11</v>
      </c>
      <c r="AF59" t="inlineStr">
        <is>
          <t>POTASSIUM REMOVING AGENTS</t>
        </is>
      </c>
      <c r="AG59" s="122" t="n">
        <v>96963.21332531306</v>
      </c>
      <c r="AH59" s="56" t="n">
        <v>160.96329400899</v>
      </c>
    </row>
    <row r="60">
      <c r="B60" s="64" t="inlineStr">
        <is>
          <t>Institutional NDCs</t>
        </is>
      </c>
      <c r="D60" s="130" t="n">
        <v>11</v>
      </c>
      <c r="E60" s="131" t="n">
        <v>0</v>
      </c>
      <c r="F60" s="131" t="n">
        <v>0</v>
      </c>
      <c r="G60" s="131" t="n">
        <v>0</v>
      </c>
      <c r="H60" s="132" t="n">
        <v>11</v>
      </c>
      <c r="J60" s="130" t="n">
        <v>12.15752497820848</v>
      </c>
      <c r="K60" s="131" t="n">
        <v>0</v>
      </c>
      <c r="L60" s="131" t="n">
        <v>0</v>
      </c>
      <c r="M60" s="131" t="n">
        <v>0</v>
      </c>
      <c r="N60" s="132" t="n">
        <v>12.15752497820848</v>
      </c>
      <c r="P60" s="130" t="n">
        <v>6.618249046619539</v>
      </c>
      <c r="Q60" s="131" t="n">
        <v>0</v>
      </c>
      <c r="R60" s="131" t="n">
        <v>0</v>
      </c>
      <c r="S60" s="131" t="n">
        <v>0</v>
      </c>
      <c r="T60" s="132" t="n">
        <v>6.618249046619539</v>
      </c>
      <c r="V60" s="130" t="n">
        <v>6.034114128367583</v>
      </c>
      <c r="W60" s="131" t="n">
        <v>0</v>
      </c>
      <c r="X60" s="131" t="n">
        <v>0</v>
      </c>
      <c r="Y60" s="131" t="n">
        <v>0</v>
      </c>
      <c r="Z60" s="132" t="n">
        <v>6.034114128367583</v>
      </c>
      <c r="AE60" s="121" t="n">
        <v>12</v>
      </c>
      <c r="AF60" t="inlineStr">
        <is>
          <t>ATYPICAL ANTIPSYCHOTICS</t>
        </is>
      </c>
      <c r="AG60" s="122" t="n">
        <v>84557.08086043796</v>
      </c>
      <c r="AH60" s="56" t="n">
        <v>355.7423952089068</v>
      </c>
    </row>
    <row r="61">
      <c r="B61" s="64" t="inlineStr">
        <is>
          <t>Formulary Exclusions</t>
        </is>
      </c>
      <c r="D61" s="130" t="n">
        <v>3636</v>
      </c>
      <c r="E61" s="131" t="n">
        <v>1603</v>
      </c>
      <c r="F61" s="131" t="n">
        <v>32</v>
      </c>
      <c r="G61" s="131" t="n">
        <v>0</v>
      </c>
      <c r="H61" s="132" t="n">
        <v>5271</v>
      </c>
      <c r="J61" s="130" t="n">
        <v>6044.873869593554</v>
      </c>
      <c r="K61" s="131" t="n">
        <v>3778.992897518413</v>
      </c>
      <c r="L61" s="131" t="n">
        <v>69.29836851932255</v>
      </c>
      <c r="M61" s="131" t="n">
        <v>0</v>
      </c>
      <c r="N61" s="132" t="n">
        <v>9893.16513563129</v>
      </c>
      <c r="P61" s="130" t="n">
        <v>6228.77688994102</v>
      </c>
      <c r="Q61" s="131" t="n">
        <v>3999.114543167051</v>
      </c>
      <c r="R61" s="131" t="n">
        <v>73.5852791072068</v>
      </c>
      <c r="S61" s="131" t="n">
        <v>0</v>
      </c>
      <c r="T61" s="132" t="n">
        <v>10301.47671221528</v>
      </c>
      <c r="V61" s="130" t="n">
        <v>6447.101264258589</v>
      </c>
      <c r="W61" s="131" t="n">
        <v>4230.066745339465</v>
      </c>
      <c r="X61" s="131" t="n">
        <v>77.66240762792478</v>
      </c>
      <c r="Y61" s="131" t="n">
        <v>0</v>
      </c>
      <c r="Z61" s="132" t="n">
        <v>10754.83041722598</v>
      </c>
      <c r="AE61" s="121" t="n">
        <v>13</v>
      </c>
      <c r="AF61" t="inlineStr">
        <is>
          <t>INSULIN ADMINISTRATION SUPPLIES</t>
        </is>
      </c>
      <c r="AG61" s="122" t="n">
        <v>79633.72037209972</v>
      </c>
      <c r="AH61" s="56" t="n">
        <v>212.4573984897525</v>
      </c>
    </row>
    <row r="62">
      <c r="B62" s="64" t="inlineStr">
        <is>
          <t>Synthroid</t>
        </is>
      </c>
      <c r="D62" s="130" t="n">
        <v>331</v>
      </c>
      <c r="E62" s="131" t="n">
        <v>641</v>
      </c>
      <c r="F62" s="131" t="n">
        <v>4</v>
      </c>
      <c r="G62" s="131" t="n">
        <v>0</v>
      </c>
      <c r="H62" s="132" t="n">
        <v>976</v>
      </c>
      <c r="J62" s="130" t="n">
        <v>351.9287478386029</v>
      </c>
      <c r="K62" s="131" t="n">
        <v>695.2653220010801</v>
      </c>
      <c r="L62" s="131" t="n">
        <v>4.363987808065344</v>
      </c>
      <c r="M62" s="131" t="n">
        <v>0</v>
      </c>
      <c r="N62" s="132" t="n">
        <v>1051.558057647748</v>
      </c>
      <c r="P62" s="130" t="n">
        <v>344.8677977438759</v>
      </c>
      <c r="Q62" s="131" t="n">
        <v>695.6708181072372</v>
      </c>
      <c r="R62" s="131" t="n">
        <v>4.376881306996877</v>
      </c>
      <c r="S62" s="131" t="n">
        <v>0</v>
      </c>
      <c r="T62" s="132" t="n">
        <v>1044.91549715811</v>
      </c>
      <c r="V62" s="130" t="n">
        <v>337.2252462051625</v>
      </c>
      <c r="W62" s="131" t="n">
        <v>693.7423997998153</v>
      </c>
      <c r="X62" s="131" t="n">
        <v>4.349920807420687</v>
      </c>
      <c r="Y62" s="131" t="n">
        <v>0</v>
      </c>
      <c r="Z62" s="132" t="n">
        <v>1035.317566812398</v>
      </c>
      <c r="AE62" s="121" t="n">
        <v>14</v>
      </c>
      <c r="AF62" t="inlineStr">
        <is>
          <t>ANTIARRHYTHMICS</t>
        </is>
      </c>
      <c r="AG62" s="122" t="n">
        <v>74368.77021284695</v>
      </c>
      <c r="AH62" s="56" t="n">
        <v>117.154838369477</v>
      </c>
    </row>
    <row r="63">
      <c r="B63" s="64" t="inlineStr">
        <is>
          <t>Misc</t>
        </is>
      </c>
      <c r="D63" s="130" t="n">
        <v>1712</v>
      </c>
      <c r="E63" s="131" t="n">
        <v>1322</v>
      </c>
      <c r="F63" s="131" t="n">
        <v>21</v>
      </c>
      <c r="G63" s="131" t="n">
        <v>2977</v>
      </c>
      <c r="H63" s="132" t="n">
        <v>6032</v>
      </c>
      <c r="J63" s="130" t="n">
        <v>2692.467611904198</v>
      </c>
      <c r="K63" s="131" t="n">
        <v>2139.409809914607</v>
      </c>
      <c r="L63" s="131" t="n">
        <v>34.42048685206294</v>
      </c>
      <c r="M63" s="131" t="n">
        <v>4055.662939861252</v>
      </c>
      <c r="N63" s="132" t="n">
        <v>8921.960848532119</v>
      </c>
      <c r="P63" s="130" t="n">
        <v>3161.627253255683</v>
      </c>
      <c r="Q63" s="131" t="n">
        <v>2604.953328398546</v>
      </c>
      <c r="R63" s="131" t="n">
        <v>42.03577551248003</v>
      </c>
      <c r="S63" s="131" t="n">
        <v>4367.592784770583</v>
      </c>
      <c r="T63" s="132" t="n">
        <v>10176.20914193729</v>
      </c>
      <c r="V63" s="130" t="n">
        <v>3718.42453944005</v>
      </c>
      <c r="W63" s="131" t="n">
        <v>3171.189177178967</v>
      </c>
      <c r="X63" s="131" t="n">
        <v>51.03255827472316</v>
      </c>
      <c r="Y63" s="131" t="n">
        <v>4661.350612147647</v>
      </c>
      <c r="Z63" s="132" t="n">
        <v>11601.99688704139</v>
      </c>
      <c r="AE63" s="121" t="n">
        <v>15</v>
      </c>
      <c r="AF63" t="inlineStr">
        <is>
          <t>SEDATIVE HYPNOTICS</t>
        </is>
      </c>
      <c r="AG63" s="122" t="n">
        <v>68653.76605754909</v>
      </c>
      <c r="AH63" s="56" t="n">
        <v>180.8398533695211</v>
      </c>
    </row>
    <row r="64">
      <c r="B64" s="64" t="inlineStr">
        <is>
          <t>Specialty</t>
        </is>
      </c>
      <c r="D64" s="133" t="n">
        <v>0</v>
      </c>
      <c r="E64" s="134" t="n">
        <v>0</v>
      </c>
      <c r="F64" s="134" t="n">
        <v>0</v>
      </c>
      <c r="G64" s="134" t="n">
        <v>2977</v>
      </c>
      <c r="H64" s="135" t="n">
        <v>2977</v>
      </c>
      <c r="J64" s="133" t="n">
        <v>0</v>
      </c>
      <c r="K64" s="134" t="n">
        <v>0</v>
      </c>
      <c r="L64" s="134" t="n">
        <v>0</v>
      </c>
      <c r="M64" s="134" t="n">
        <v>4055.659530255103</v>
      </c>
      <c r="N64" s="135" t="n">
        <v>4055.659530255103</v>
      </c>
      <c r="P64" s="133" t="n">
        <v>0</v>
      </c>
      <c r="Q64" s="134" t="n">
        <v>0</v>
      </c>
      <c r="R64" s="134" t="n">
        <v>0</v>
      </c>
      <c r="S64" s="134" t="n">
        <v>4367.589286582866</v>
      </c>
      <c r="T64" s="135" t="n">
        <v>4367.589286582866</v>
      </c>
      <c r="V64" s="133" t="n">
        <v>0</v>
      </c>
      <c r="W64" s="134" t="n">
        <v>0</v>
      </c>
      <c r="X64" s="134" t="n">
        <v>0</v>
      </c>
      <c r="Y64" s="134" t="n">
        <v>4661.347007650006</v>
      </c>
      <c r="Z64" s="135" t="n">
        <v>4661.347007650006</v>
      </c>
      <c r="AE64" s="121" t="n">
        <v>16</v>
      </c>
      <c r="AF64" t="inlineStr">
        <is>
          <t>OPIOID AGONISTS &amp; COMBOS</t>
        </is>
      </c>
      <c r="AG64" s="122" t="n">
        <v>65896.38597947966</v>
      </c>
      <c r="AH64" s="56" t="n">
        <v>177.9712555721525</v>
      </c>
    </row>
    <row r="65">
      <c r="A65" s="98" t="inlineStr">
        <is>
          <t>Added MFP row but needs adjusting for non-CY(Should just need adjustment in Exclusion Summary)</t>
        </is>
      </c>
      <c r="B65" s="64" t="inlineStr">
        <is>
          <t>MFP 2026, 2027</t>
        </is>
      </c>
      <c r="D65" s="133" t="n">
        <v>0</v>
      </c>
      <c r="E65" s="134" t="n">
        <v>0</v>
      </c>
      <c r="F65" s="134" t="n">
        <v>0</v>
      </c>
      <c r="G65" s="134" t="n">
        <v>0</v>
      </c>
      <c r="H65" s="135" t="n">
        <v>0</v>
      </c>
      <c r="J65" s="133" t="n">
        <v>0</v>
      </c>
      <c r="K65" s="134" t="n">
        <v>0</v>
      </c>
      <c r="L65" s="134" t="n">
        <v>0</v>
      </c>
      <c r="M65" s="134" t="n">
        <v>0</v>
      </c>
      <c r="N65" s="135" t="n">
        <v>0</v>
      </c>
      <c r="P65" s="133" t="n">
        <v>0</v>
      </c>
      <c r="Q65" s="134" t="n">
        <v>0</v>
      </c>
      <c r="R65" s="134" t="n">
        <v>0</v>
      </c>
      <c r="S65" s="134" t="n">
        <v>0</v>
      </c>
      <c r="T65" s="135" t="n">
        <v>0</v>
      </c>
      <c r="V65" s="133" t="n">
        <v>0</v>
      </c>
      <c r="W65" s="134" t="n">
        <v>0</v>
      </c>
      <c r="X65" s="134" t="n">
        <v>0</v>
      </c>
      <c r="Y65" s="134" t="n">
        <v>0</v>
      </c>
      <c r="Z65" s="135" t="n">
        <v>0</v>
      </c>
      <c r="AE65" s="121" t="n">
        <v>17</v>
      </c>
      <c r="AF65" t="inlineStr">
        <is>
          <t>INHALED CORTICOSTEROIDS (ICS)</t>
        </is>
      </c>
      <c r="AG65" s="122" t="n">
        <v>46793.94033523833</v>
      </c>
      <c r="AH65" s="56" t="n">
        <v>252.3635427874706</v>
      </c>
    </row>
    <row r="66">
      <c r="A66" s="99" t="n"/>
      <c r="B66" s="100" t="inlineStr">
        <is>
          <t>ENTER DESC</t>
        </is>
      </c>
      <c r="D66" s="133" t="n">
        <v>0</v>
      </c>
      <c r="E66" s="134" t="n">
        <v>0</v>
      </c>
      <c r="F66" s="134" t="n">
        <v>0</v>
      </c>
      <c r="G66" s="134" t="n">
        <v>0</v>
      </c>
      <c r="H66" s="135" t="n">
        <v>0</v>
      </c>
      <c r="J66" s="133" t="n">
        <v>0</v>
      </c>
      <c r="K66" s="134" t="n">
        <v>0</v>
      </c>
      <c r="L66" s="134" t="n">
        <v>0</v>
      </c>
      <c r="M66" s="134" t="n">
        <v>0</v>
      </c>
      <c r="N66" s="135" t="n">
        <v>0</v>
      </c>
      <c r="P66" s="133" t="n">
        <v>0</v>
      </c>
      <c r="Q66" s="134" t="n">
        <v>0</v>
      </c>
      <c r="R66" s="134" t="n">
        <v>0</v>
      </c>
      <c r="S66" s="134" t="n">
        <v>0</v>
      </c>
      <c r="T66" s="135" t="n">
        <v>0</v>
      </c>
      <c r="V66" s="133" t="n">
        <v>0</v>
      </c>
      <c r="W66" s="134" t="n">
        <v>0</v>
      </c>
      <c r="X66" s="134" t="n">
        <v>0</v>
      </c>
      <c r="Y66" s="134" t="n">
        <v>0</v>
      </c>
      <c r="Z66" s="135" t="n">
        <v>0</v>
      </c>
      <c r="AE66" s="121" t="n">
        <v>18</v>
      </c>
      <c r="AF66" t="inlineStr">
        <is>
          <t>OPHTHALMIC INTEGRIN ANTAGONIST</t>
        </is>
      </c>
      <c r="AG66" s="122" t="n">
        <v>46426.22722061568</v>
      </c>
      <c r="AH66" s="56" t="n">
        <v>50.43206475746047</v>
      </c>
    </row>
    <row r="67" ht="15" customHeight="1" thickBot="1">
      <c r="B67" s="59" t="inlineStr">
        <is>
          <t>Non-Rebatable</t>
        </is>
      </c>
      <c r="D67" s="136" t="n">
        <v>0</v>
      </c>
      <c r="E67" s="137" t="n">
        <v>0</v>
      </c>
      <c r="F67" s="137" t="n">
        <v>0</v>
      </c>
      <c r="G67" s="137" t="n">
        <v>0</v>
      </c>
      <c r="H67" s="138" t="n">
        <v>0</v>
      </c>
      <c r="J67" s="139" t="n">
        <v>32665.80535718387</v>
      </c>
      <c r="K67" s="140" t="n">
        <v>14983.82477133271</v>
      </c>
      <c r="L67" s="140" t="n">
        <v>202.3739864950116</v>
      </c>
      <c r="M67" s="140" t="n">
        <v>552.1088310115437</v>
      </c>
      <c r="N67" s="141" t="n">
        <v>48404.11294602313</v>
      </c>
      <c r="P67" s="139" t="n">
        <v>29468.774697933</v>
      </c>
      <c r="Q67" s="140" t="n">
        <v>10340.41686575612</v>
      </c>
      <c r="R67" s="140" t="n">
        <v>142.2558187419964</v>
      </c>
      <c r="S67" s="140" t="n">
        <v>529.4434178862319</v>
      </c>
      <c r="T67" s="141" t="n">
        <v>40480.89080031734</v>
      </c>
      <c r="V67" s="139" t="n">
        <v>27700.89671012675</v>
      </c>
      <c r="W67" s="140" t="n">
        <v>8009.429015133595</v>
      </c>
      <c r="X67" s="140" t="n">
        <v>115.5740789429929</v>
      </c>
      <c r="Y67" s="140" t="n">
        <v>507.7439456670621</v>
      </c>
      <c r="Z67" s="141" t="n">
        <v>36333.6437498704</v>
      </c>
      <c r="AE67" s="121" t="n">
        <v>19</v>
      </c>
      <c r="AF67" t="inlineStr">
        <is>
          <t>RAPID ACTING</t>
        </is>
      </c>
      <c r="AG67" s="122" t="n">
        <v>39360.02298729743</v>
      </c>
      <c r="AH67" s="56" t="n">
        <v>763.8449597517011</v>
      </c>
    </row>
    <row r="68" ht="15.6" customHeight="1" thickBot="1" thickTop="1">
      <c r="B68" s="69" t="inlineStr">
        <is>
          <t>Total</t>
        </is>
      </c>
      <c r="D68" s="142" t="n">
        <v>5708</v>
      </c>
      <c r="E68" s="143" t="n">
        <v>3572</v>
      </c>
      <c r="F68" s="143" t="n">
        <v>57</v>
      </c>
      <c r="G68" s="143" t="n">
        <v>2978</v>
      </c>
      <c r="H68" s="144" t="n">
        <v>15292</v>
      </c>
      <c r="J68" s="142" t="n">
        <v>41792.1103028956</v>
      </c>
      <c r="K68" s="143" t="n">
        <v>21604.37829025543</v>
      </c>
      <c r="L68" s="143" t="n">
        <v>310.4568296744625</v>
      </c>
      <c r="M68" s="143" t="n">
        <v>4608.389429936386</v>
      </c>
      <c r="N68" s="144" t="n">
        <v>72370.99438301698</v>
      </c>
      <c r="P68" s="142" t="n">
        <v>39238.32152279546</v>
      </c>
      <c r="Q68" s="143" t="n">
        <v>17647.25318436719</v>
      </c>
      <c r="R68" s="143" t="n">
        <v>262.2537546686801</v>
      </c>
      <c r="S68" s="143" t="n">
        <v>4897.646982133305</v>
      </c>
      <c r="T68" s="144" t="n">
        <v>66413.06473054748</v>
      </c>
      <c r="V68" s="142" t="n">
        <v>38240.73362856136</v>
      </c>
      <c r="W68" s="143" t="n">
        <v>16111.7267251821</v>
      </c>
      <c r="X68" s="143" t="n">
        <v>248.6189656530615</v>
      </c>
      <c r="Y68" s="143" t="n">
        <v>5169.737606071402</v>
      </c>
      <c r="Z68" s="144" t="n">
        <v>64432.16393311792</v>
      </c>
      <c r="AE68" s="124" t="n">
        <v>20</v>
      </c>
      <c r="AF68" s="82" t="inlineStr">
        <is>
          <t>BASAL &amp; GLP-1 COMBO</t>
        </is>
      </c>
      <c r="AG68" s="125" t="n">
        <v>37630.88367620937</v>
      </c>
      <c r="AH68" s="84" t="n">
        <v>51.91087703737003</v>
      </c>
    </row>
    <row r="69" ht="15" customHeight="1" thickBot="1">
      <c r="D69" s="145" t="n"/>
      <c r="E69" s="145" t="n"/>
      <c r="F69" s="145" t="n"/>
      <c r="G69" s="145" t="n"/>
      <c r="H69" s="145" t="n"/>
      <c r="J69" s="145" t="n"/>
      <c r="K69" s="145" t="n"/>
      <c r="L69" s="145" t="n"/>
      <c r="M69" s="145" t="n"/>
      <c r="N69" s="145" t="n"/>
      <c r="P69" s="145" t="n"/>
      <c r="Q69" s="145" t="n"/>
      <c r="R69" s="145" t="n"/>
      <c r="S69" s="145" t="n"/>
      <c r="T69" s="145" t="n"/>
      <c r="V69" s="145" t="n"/>
      <c r="W69" s="145" t="n"/>
      <c r="X69" s="145" t="n"/>
      <c r="Y69" s="145" t="n"/>
      <c r="Z69" s="145" t="n"/>
    </row>
    <row r="70" ht="15" customHeight="1" thickBot="1">
      <c r="B70" s="27" t="inlineStr">
        <is>
          <t>Excl - Generic</t>
        </is>
      </c>
      <c r="D70" s="28" t="inlineStr">
        <is>
          <t>R30</t>
        </is>
      </c>
      <c r="E70" s="29" t="inlineStr">
        <is>
          <t>R90</t>
        </is>
      </c>
      <c r="F70" s="29" t="inlineStr">
        <is>
          <t>Mail</t>
        </is>
      </c>
      <c r="G70" s="29" t="inlineStr">
        <is>
          <t>Specialty</t>
        </is>
      </c>
      <c r="H70" s="30" t="inlineStr">
        <is>
          <t>Total</t>
        </is>
      </c>
      <c r="J70" s="28" t="inlineStr">
        <is>
          <t>R30</t>
        </is>
      </c>
      <c r="K70" s="29" t="inlineStr">
        <is>
          <t>R90</t>
        </is>
      </c>
      <c r="L70" s="29" t="inlineStr">
        <is>
          <t>Mail</t>
        </is>
      </c>
      <c r="M70" s="29" t="inlineStr">
        <is>
          <t>Specialty</t>
        </is>
      </c>
      <c r="N70" s="30" t="inlineStr">
        <is>
          <t>Total</t>
        </is>
      </c>
      <c r="P70" s="28" t="inlineStr">
        <is>
          <t>R30</t>
        </is>
      </c>
      <c r="Q70" s="29" t="inlineStr">
        <is>
          <t>R90</t>
        </is>
      </c>
      <c r="R70" s="29" t="inlineStr">
        <is>
          <t>Mail</t>
        </is>
      </c>
      <c r="S70" s="29" t="inlineStr">
        <is>
          <t>Specialty</t>
        </is>
      </c>
      <c r="T70" s="30" t="inlineStr">
        <is>
          <t>Total</t>
        </is>
      </c>
      <c r="V70" s="28" t="inlineStr">
        <is>
          <t>R30</t>
        </is>
      </c>
      <c r="W70" s="29" t="inlineStr">
        <is>
          <t>R90</t>
        </is>
      </c>
      <c r="X70" s="29" t="inlineStr">
        <is>
          <t>Mail</t>
        </is>
      </c>
      <c r="Y70" s="29" t="inlineStr">
        <is>
          <t>Specialty</t>
        </is>
      </c>
      <c r="Z70" s="30" t="inlineStr">
        <is>
          <t>Total</t>
        </is>
      </c>
    </row>
    <row r="71">
      <c r="B71" s="38" t="inlineStr">
        <is>
          <t>OTCs</t>
        </is>
      </c>
      <c r="D71" s="127" t="n">
        <v>0</v>
      </c>
      <c r="E71" s="128" t="n">
        <v>0</v>
      </c>
      <c r="F71" s="128" t="n">
        <v>0</v>
      </c>
      <c r="G71" s="128" t="n">
        <v>0</v>
      </c>
      <c r="H71" s="129" t="n">
        <v>0</v>
      </c>
      <c r="J71" s="127" t="n">
        <v>0</v>
      </c>
      <c r="K71" s="128" t="n">
        <v>0</v>
      </c>
      <c r="L71" s="128" t="n">
        <v>0</v>
      </c>
      <c r="M71" s="128" t="n">
        <v>0</v>
      </c>
      <c r="N71" s="129" t="n">
        <v>0</v>
      </c>
      <c r="P71" s="127" t="n">
        <v>0</v>
      </c>
      <c r="Q71" s="128" t="n">
        <v>0</v>
      </c>
      <c r="R71" s="128" t="n">
        <v>0</v>
      </c>
      <c r="S71" s="128" t="n">
        <v>0</v>
      </c>
      <c r="T71" s="129" t="n">
        <v>0</v>
      </c>
      <c r="V71" s="127" t="n">
        <v>0</v>
      </c>
      <c r="W71" s="128" t="n">
        <v>0</v>
      </c>
      <c r="X71" s="128" t="n">
        <v>0</v>
      </c>
      <c r="Y71" s="128" t="n">
        <v>0</v>
      </c>
      <c r="Z71" s="129" t="n">
        <v>0</v>
      </c>
    </row>
    <row r="72">
      <c r="B72" s="49" t="inlineStr">
        <is>
          <t>Devices</t>
        </is>
      </c>
      <c r="D72" s="130" t="n">
        <v>0</v>
      </c>
      <c r="E72" s="131" t="n">
        <v>0</v>
      </c>
      <c r="F72" s="131" t="n">
        <v>0</v>
      </c>
      <c r="G72" s="131" t="n">
        <v>0</v>
      </c>
      <c r="H72" s="132" t="n">
        <v>0</v>
      </c>
      <c r="J72" s="130" t="n">
        <v>0</v>
      </c>
      <c r="K72" s="131" t="n">
        <v>0</v>
      </c>
      <c r="L72" s="131" t="n">
        <v>0</v>
      </c>
      <c r="M72" s="131" t="n">
        <v>0</v>
      </c>
      <c r="N72" s="132" t="n">
        <v>0</v>
      </c>
      <c r="P72" s="130" t="n">
        <v>0</v>
      </c>
      <c r="Q72" s="131" t="n">
        <v>0</v>
      </c>
      <c r="R72" s="131" t="n">
        <v>0</v>
      </c>
      <c r="S72" s="131" t="n">
        <v>0</v>
      </c>
      <c r="T72" s="132" t="n">
        <v>0</v>
      </c>
      <c r="V72" s="130" t="n">
        <v>0</v>
      </c>
      <c r="W72" s="131" t="n">
        <v>0</v>
      </c>
      <c r="X72" s="131" t="n">
        <v>0</v>
      </c>
      <c r="Y72" s="131" t="n">
        <v>0</v>
      </c>
      <c r="Z72" s="132" t="n">
        <v>0</v>
      </c>
    </row>
    <row r="73">
      <c r="B73" s="64" t="inlineStr">
        <is>
          <t>Vaccines</t>
        </is>
      </c>
      <c r="D73" s="130" t="n">
        <v>0</v>
      </c>
      <c r="E73" s="131" t="n">
        <v>0</v>
      </c>
      <c r="F73" s="131" t="n">
        <v>0</v>
      </c>
      <c r="G73" s="131" t="n">
        <v>0</v>
      </c>
      <c r="H73" s="132" t="n">
        <v>0</v>
      </c>
      <c r="J73" s="130" t="n">
        <v>0</v>
      </c>
      <c r="K73" s="131" t="n">
        <v>0</v>
      </c>
      <c r="L73" s="131" t="n">
        <v>0</v>
      </c>
      <c r="M73" s="131" t="n">
        <v>0</v>
      </c>
      <c r="N73" s="132" t="n">
        <v>0</v>
      </c>
      <c r="P73" s="130" t="n">
        <v>0</v>
      </c>
      <c r="Q73" s="131" t="n">
        <v>0</v>
      </c>
      <c r="R73" s="131" t="n">
        <v>0</v>
      </c>
      <c r="S73" s="131" t="n">
        <v>0</v>
      </c>
      <c r="T73" s="132" t="n">
        <v>0</v>
      </c>
      <c r="V73" s="130" t="n">
        <v>0</v>
      </c>
      <c r="W73" s="131" t="n">
        <v>0</v>
      </c>
      <c r="X73" s="131" t="n">
        <v>0</v>
      </c>
      <c r="Y73" s="131" t="n">
        <v>0</v>
      </c>
      <c r="Z73" s="132" t="n">
        <v>0</v>
      </c>
    </row>
    <row r="74">
      <c r="B74" s="64" t="inlineStr">
        <is>
          <t>Repackaged</t>
        </is>
      </c>
      <c r="D74" s="130" t="n">
        <v>0</v>
      </c>
      <c r="E74" s="131" t="n">
        <v>0</v>
      </c>
      <c r="F74" s="131" t="n">
        <v>0</v>
      </c>
      <c r="G74" s="131" t="n">
        <v>0</v>
      </c>
      <c r="H74" s="132" t="n">
        <v>0</v>
      </c>
      <c r="J74" s="130" t="n">
        <v>0</v>
      </c>
      <c r="K74" s="131" t="n">
        <v>0</v>
      </c>
      <c r="L74" s="131" t="n">
        <v>0</v>
      </c>
      <c r="M74" s="131" t="n">
        <v>0</v>
      </c>
      <c r="N74" s="132" t="n">
        <v>0</v>
      </c>
      <c r="P74" s="130" t="n">
        <v>0</v>
      </c>
      <c r="Q74" s="131" t="n">
        <v>0</v>
      </c>
      <c r="R74" s="131" t="n">
        <v>0</v>
      </c>
      <c r="S74" s="131" t="n">
        <v>0</v>
      </c>
      <c r="T74" s="132" t="n">
        <v>0</v>
      </c>
      <c r="V74" s="130" t="n">
        <v>0</v>
      </c>
      <c r="W74" s="131" t="n">
        <v>0</v>
      </c>
      <c r="X74" s="131" t="n">
        <v>0</v>
      </c>
      <c r="Y74" s="131" t="n">
        <v>0</v>
      </c>
      <c r="Z74" s="132" t="n">
        <v>0</v>
      </c>
    </row>
    <row r="75">
      <c r="B75" s="64" t="inlineStr">
        <is>
          <t>MSBs</t>
        </is>
      </c>
      <c r="D75" s="130" t="n">
        <v>0</v>
      </c>
      <c r="E75" s="131" t="n">
        <v>0</v>
      </c>
      <c r="F75" s="131" t="n">
        <v>0</v>
      </c>
      <c r="G75" s="131" t="n">
        <v>0</v>
      </c>
      <c r="H75" s="132" t="n">
        <v>0</v>
      </c>
      <c r="J75" s="130" t="n">
        <v>0</v>
      </c>
      <c r="K75" s="131" t="n">
        <v>0</v>
      </c>
      <c r="L75" s="131" t="n">
        <v>0</v>
      </c>
      <c r="M75" s="131" t="n">
        <v>0</v>
      </c>
      <c r="N75" s="132" t="n">
        <v>0</v>
      </c>
      <c r="P75" s="130" t="n">
        <v>0</v>
      </c>
      <c r="Q75" s="131" t="n">
        <v>0</v>
      </c>
      <c r="R75" s="131" t="n">
        <v>0</v>
      </c>
      <c r="S75" s="131" t="n">
        <v>0</v>
      </c>
      <c r="T75" s="132" t="n">
        <v>0</v>
      </c>
      <c r="V75" s="130" t="n">
        <v>0</v>
      </c>
      <c r="W75" s="131" t="n">
        <v>0</v>
      </c>
      <c r="X75" s="131" t="n">
        <v>0</v>
      </c>
      <c r="Y75" s="131" t="n">
        <v>0</v>
      </c>
      <c r="Z75" s="132" t="n">
        <v>0</v>
      </c>
    </row>
    <row r="76">
      <c r="B76" s="64" t="inlineStr">
        <is>
          <t>Non FDA Approved</t>
        </is>
      </c>
      <c r="D76" s="130" t="n">
        <v>0</v>
      </c>
      <c r="E76" s="131" t="n">
        <v>0</v>
      </c>
      <c r="F76" s="131" t="n">
        <v>0</v>
      </c>
      <c r="G76" s="131" t="n">
        <v>0</v>
      </c>
      <c r="H76" s="132" t="n">
        <v>0</v>
      </c>
      <c r="J76" s="130" t="n">
        <v>0</v>
      </c>
      <c r="K76" s="131" t="n">
        <v>0</v>
      </c>
      <c r="L76" s="131" t="n">
        <v>0</v>
      </c>
      <c r="M76" s="131" t="n">
        <v>0</v>
      </c>
      <c r="N76" s="132" t="n">
        <v>0</v>
      </c>
      <c r="P76" s="130" t="n">
        <v>0</v>
      </c>
      <c r="Q76" s="131" t="n">
        <v>0</v>
      </c>
      <c r="R76" s="131" t="n">
        <v>0</v>
      </c>
      <c r="S76" s="131" t="n">
        <v>0</v>
      </c>
      <c r="T76" s="132" t="n">
        <v>0</v>
      </c>
      <c r="V76" s="130" t="n">
        <v>0</v>
      </c>
      <c r="W76" s="131" t="n">
        <v>0</v>
      </c>
      <c r="X76" s="131" t="n">
        <v>0</v>
      </c>
      <c r="Y76" s="131" t="n">
        <v>0</v>
      </c>
      <c r="Z76" s="132" t="n">
        <v>0</v>
      </c>
    </row>
    <row r="77">
      <c r="B77" s="64" t="inlineStr">
        <is>
          <t>LDD</t>
        </is>
      </c>
      <c r="D77" s="130" t="n">
        <v>0</v>
      </c>
      <c r="E77" s="131" t="n">
        <v>0</v>
      </c>
      <c r="F77" s="131" t="n">
        <v>0</v>
      </c>
      <c r="G77" s="131" t="n">
        <v>0</v>
      </c>
      <c r="H77" s="132" t="n">
        <v>0</v>
      </c>
      <c r="J77" s="130" t="n">
        <v>0</v>
      </c>
      <c r="K77" s="131" t="n">
        <v>0</v>
      </c>
      <c r="L77" s="131" t="n">
        <v>0</v>
      </c>
      <c r="M77" s="131" t="n">
        <v>0.7494770222813295</v>
      </c>
      <c r="N77" s="132" t="n">
        <v>0.7494770222813295</v>
      </c>
      <c r="P77" s="130" t="n">
        <v>0</v>
      </c>
      <c r="Q77" s="131" t="n">
        <v>0</v>
      </c>
      <c r="R77" s="131" t="n">
        <v>0</v>
      </c>
      <c r="S77" s="131" t="n">
        <v>0.8356985266883201</v>
      </c>
      <c r="T77" s="132" t="n">
        <v>0.8356985266883201</v>
      </c>
      <c r="V77" s="130" t="n">
        <v>0</v>
      </c>
      <c r="W77" s="131" t="n">
        <v>0</v>
      </c>
      <c r="X77" s="131" t="n">
        <v>0</v>
      </c>
      <c r="Y77" s="131" t="n">
        <v>0.8963748172115763</v>
      </c>
      <c r="Z77" s="132" t="n">
        <v>0.8963748172115763</v>
      </c>
    </row>
    <row r="78">
      <c r="B78" s="64" t="inlineStr">
        <is>
          <t>Institutional NDCs</t>
        </is>
      </c>
      <c r="D78" s="130" t="n">
        <v>12</v>
      </c>
      <c r="E78" s="131" t="n">
        <v>0</v>
      </c>
      <c r="F78" s="131" t="n">
        <v>0</v>
      </c>
      <c r="G78" s="131" t="n">
        <v>0</v>
      </c>
      <c r="H78" s="132" t="n">
        <v>12</v>
      </c>
      <c r="J78" s="130" t="n">
        <v>14.09182804708895</v>
      </c>
      <c r="K78" s="131" t="n">
        <v>0</v>
      </c>
      <c r="L78" s="131" t="n">
        <v>0</v>
      </c>
      <c r="M78" s="131" t="n">
        <v>0</v>
      </c>
      <c r="N78" s="132" t="n">
        <v>14.09182804708895</v>
      </c>
      <c r="P78" s="130" t="n">
        <v>19.96087013213621</v>
      </c>
      <c r="Q78" s="131" t="n">
        <v>0</v>
      </c>
      <c r="R78" s="131" t="n">
        <v>0</v>
      </c>
      <c r="S78" s="131" t="n">
        <v>0</v>
      </c>
      <c r="T78" s="132" t="n">
        <v>19.96087013213621</v>
      </c>
      <c r="V78" s="130" t="n">
        <v>22.02775740512093</v>
      </c>
      <c r="W78" s="131" t="n">
        <v>0</v>
      </c>
      <c r="X78" s="131" t="n">
        <v>0</v>
      </c>
      <c r="Y78" s="131" t="n">
        <v>0</v>
      </c>
      <c r="Z78" s="132" t="n">
        <v>22.02775740512093</v>
      </c>
    </row>
    <row r="79" ht="15" customHeight="1">
      <c r="B79" s="64" t="inlineStr">
        <is>
          <t>Formulary Exclusions</t>
        </is>
      </c>
      <c r="D79" s="130" t="n">
        <v>2019</v>
      </c>
      <c r="E79" s="131" t="n">
        <v>2404</v>
      </c>
      <c r="F79" s="131" t="n">
        <v>10</v>
      </c>
      <c r="G79" s="131" t="n">
        <v>0</v>
      </c>
      <c r="H79" s="132" t="n">
        <v>4433</v>
      </c>
      <c r="J79" s="130" t="n">
        <v>2476.941695579429</v>
      </c>
      <c r="K79" s="131" t="n">
        <v>2849.092396586792</v>
      </c>
      <c r="L79" s="131" t="n">
        <v>11.82289063599359</v>
      </c>
      <c r="M79" s="131" t="n">
        <v>0</v>
      </c>
      <c r="N79" s="132" t="n">
        <v>5337.856982802215</v>
      </c>
      <c r="P79" s="130" t="n">
        <v>2558.682056625254</v>
      </c>
      <c r="Q79" s="131" t="n">
        <v>2925.262718709263</v>
      </c>
      <c r="R79" s="131" t="n">
        <v>12.15252135439121</v>
      </c>
      <c r="S79" s="131" t="n">
        <v>0</v>
      </c>
      <c r="T79" s="132" t="n">
        <v>5496.097296688908</v>
      </c>
      <c r="V79" s="130" t="n">
        <v>2611.881295037885</v>
      </c>
      <c r="W79" s="131" t="n">
        <v>2984.036659919333</v>
      </c>
      <c r="X79" s="131" t="n">
        <v>12.40600426369416</v>
      </c>
      <c r="Y79" s="131" t="n">
        <v>0</v>
      </c>
      <c r="Z79" s="132" t="n">
        <v>5608.323959220912</v>
      </c>
    </row>
    <row r="80">
      <c r="B80" s="64" t="inlineStr">
        <is>
          <t>Synthroid</t>
        </is>
      </c>
      <c r="D80" s="130" t="n">
        <v>0</v>
      </c>
      <c r="E80" s="131" t="n">
        <v>0</v>
      </c>
      <c r="F80" s="131" t="n">
        <v>0</v>
      </c>
      <c r="G80" s="131" t="n">
        <v>0</v>
      </c>
      <c r="H80" s="132" t="n">
        <v>0</v>
      </c>
      <c r="J80" s="130" t="n">
        <v>0</v>
      </c>
      <c r="K80" s="131" t="n">
        <v>0</v>
      </c>
      <c r="L80" s="131" t="n">
        <v>0</v>
      </c>
      <c r="M80" s="131" t="n">
        <v>0</v>
      </c>
      <c r="N80" s="132" t="n">
        <v>0</v>
      </c>
      <c r="P80" s="130" t="n">
        <v>0</v>
      </c>
      <c r="Q80" s="131" t="n">
        <v>0</v>
      </c>
      <c r="R80" s="131" t="n">
        <v>0</v>
      </c>
      <c r="S80" s="131" t="n">
        <v>0</v>
      </c>
      <c r="T80" s="132" t="n">
        <v>0</v>
      </c>
      <c r="V80" s="130" t="n">
        <v>0</v>
      </c>
      <c r="W80" s="131" t="n">
        <v>0</v>
      </c>
      <c r="X80" s="131" t="n">
        <v>0</v>
      </c>
      <c r="Y80" s="131" t="n">
        <v>0</v>
      </c>
      <c r="Z80" s="132" t="n">
        <v>0</v>
      </c>
    </row>
    <row r="81">
      <c r="B81" s="64" t="inlineStr">
        <is>
          <t>Misc</t>
        </is>
      </c>
      <c r="D81" s="130" t="n">
        <v>20</v>
      </c>
      <c r="E81" s="131" t="n">
        <v>0</v>
      </c>
      <c r="F81" s="131" t="n">
        <v>0</v>
      </c>
      <c r="G81" s="131" t="n">
        <v>383</v>
      </c>
      <c r="H81" s="132" t="n">
        <v>403</v>
      </c>
      <c r="J81" s="130" t="n">
        <v>22.84568983718054</v>
      </c>
      <c r="K81" s="131" t="n">
        <v>0</v>
      </c>
      <c r="L81" s="131" t="n">
        <v>0</v>
      </c>
      <c r="M81" s="131" t="n">
        <v>646.2757591213291</v>
      </c>
      <c r="N81" s="132" t="n">
        <v>669.1214489585096</v>
      </c>
      <c r="P81" s="130" t="n">
        <v>35.63096672660322</v>
      </c>
      <c r="Q81" s="131" t="n">
        <v>0</v>
      </c>
      <c r="R81" s="131" t="n">
        <v>0</v>
      </c>
      <c r="S81" s="131" t="n">
        <v>732.1357703742319</v>
      </c>
      <c r="T81" s="132" t="n">
        <v>767.7667371008351</v>
      </c>
      <c r="V81" s="130" t="n">
        <v>53.71684799538343</v>
      </c>
      <c r="W81" s="131" t="n">
        <v>0</v>
      </c>
      <c r="X81" s="131" t="n">
        <v>0</v>
      </c>
      <c r="Y81" s="131" t="n">
        <v>880.0595490867236</v>
      </c>
      <c r="Z81" s="132" t="n">
        <v>933.776397082107</v>
      </c>
    </row>
    <row r="82">
      <c r="B82" s="64" t="inlineStr">
        <is>
          <t>Specialty</t>
        </is>
      </c>
      <c r="D82" s="133" t="n">
        <v>0</v>
      </c>
      <c r="E82" s="134" t="n">
        <v>0</v>
      </c>
      <c r="F82" s="134" t="n">
        <v>0</v>
      </c>
      <c r="G82" s="134" t="n">
        <v>383</v>
      </c>
      <c r="H82" s="135" t="n">
        <v>383</v>
      </c>
      <c r="J82" s="133" t="n">
        <v>0</v>
      </c>
      <c r="K82" s="134" t="n">
        <v>0</v>
      </c>
      <c r="L82" s="134" t="n">
        <v>0</v>
      </c>
      <c r="M82" s="134" t="n">
        <v>646.2757591213291</v>
      </c>
      <c r="N82" s="135" t="n">
        <v>646.2757591213291</v>
      </c>
      <c r="P82" s="133" t="n">
        <v>0</v>
      </c>
      <c r="Q82" s="134" t="n">
        <v>0</v>
      </c>
      <c r="R82" s="134" t="n">
        <v>0</v>
      </c>
      <c r="S82" s="134" t="n">
        <v>732.1357703742319</v>
      </c>
      <c r="T82" s="135" t="n">
        <v>732.1357703742319</v>
      </c>
      <c r="V82" s="133" t="n">
        <v>0</v>
      </c>
      <c r="W82" s="134" t="n">
        <v>0</v>
      </c>
      <c r="X82" s="134" t="n">
        <v>0</v>
      </c>
      <c r="Y82" s="134" t="n">
        <v>880.0595490867236</v>
      </c>
      <c r="Z82" s="135" t="n">
        <v>880.0595490867236</v>
      </c>
    </row>
    <row r="83">
      <c r="A83" s="98" t="inlineStr">
        <is>
          <t>Added MFP row but needs adjusting for non-CY</t>
        </is>
      </c>
      <c r="B83" s="64" t="inlineStr">
        <is>
          <t>MFP 2026, 2027</t>
        </is>
      </c>
      <c r="D83" s="133" t="n">
        <v>0</v>
      </c>
      <c r="E83" s="134" t="n">
        <v>0</v>
      </c>
      <c r="F83" s="134" t="n">
        <v>0</v>
      </c>
      <c r="G83" s="134" t="n">
        <v>0</v>
      </c>
      <c r="H83" s="135" t="n">
        <v>0</v>
      </c>
      <c r="J83" s="133" t="n">
        <v>0</v>
      </c>
      <c r="K83" s="134" t="n">
        <v>0</v>
      </c>
      <c r="L83" s="134" t="n">
        <v>0</v>
      </c>
      <c r="M83" s="134" t="n">
        <v>0</v>
      </c>
      <c r="N83" s="135" t="n">
        <v>0</v>
      </c>
      <c r="P83" s="133" t="n">
        <v>0</v>
      </c>
      <c r="Q83" s="134" t="n">
        <v>0</v>
      </c>
      <c r="R83" s="134" t="n">
        <v>0</v>
      </c>
      <c r="S83" s="134" t="n">
        <v>0</v>
      </c>
      <c r="T83" s="135" t="n">
        <v>0</v>
      </c>
      <c r="V83" s="133" t="n">
        <v>0</v>
      </c>
      <c r="W83" s="134" t="n">
        <v>0</v>
      </c>
      <c r="X83" s="134" t="n">
        <v>0</v>
      </c>
      <c r="Y83" s="134" t="n">
        <v>0</v>
      </c>
      <c r="Z83" s="135" t="n">
        <v>0</v>
      </c>
    </row>
    <row r="84">
      <c r="B84" s="100">
        <f>$B$66</f>
        <v/>
      </c>
      <c r="D84" s="133" t="n">
        <v>0</v>
      </c>
      <c r="E84" s="134" t="n">
        <v>0</v>
      </c>
      <c r="F84" s="134" t="n">
        <v>0</v>
      </c>
      <c r="G84" s="134" t="n">
        <v>0</v>
      </c>
      <c r="H84" s="135" t="n">
        <v>0</v>
      </c>
      <c r="J84" s="133" t="n">
        <v>0</v>
      </c>
      <c r="K84" s="134" t="n">
        <v>0</v>
      </c>
      <c r="L84" s="134" t="n">
        <v>0</v>
      </c>
      <c r="M84" s="134" t="n">
        <v>0</v>
      </c>
      <c r="N84" s="135" t="n">
        <v>0</v>
      </c>
      <c r="P84" s="133" t="n">
        <v>0</v>
      </c>
      <c r="Q84" s="134" t="n">
        <v>0</v>
      </c>
      <c r="R84" s="134" t="n">
        <v>0</v>
      </c>
      <c r="S84" s="134" t="n">
        <v>0</v>
      </c>
      <c r="T84" s="135" t="n">
        <v>0</v>
      </c>
      <c r="V84" s="133" t="n">
        <v>0</v>
      </c>
      <c r="W84" s="134" t="n">
        <v>0</v>
      </c>
      <c r="X84" s="134" t="n">
        <v>0</v>
      </c>
      <c r="Y84" s="134" t="n">
        <v>0</v>
      </c>
      <c r="Z84" s="135" t="n">
        <v>0</v>
      </c>
    </row>
    <row r="85" ht="15" customHeight="1" thickBot="1">
      <c r="B85" s="59" t="inlineStr">
        <is>
          <t>Non-Rebatable</t>
        </is>
      </c>
      <c r="D85" s="136" t="n">
        <v>0</v>
      </c>
      <c r="E85" s="137" t="n">
        <v>0</v>
      </c>
      <c r="F85" s="137" t="n">
        <v>0</v>
      </c>
      <c r="G85" s="137" t="n">
        <v>0</v>
      </c>
      <c r="H85" s="138" t="n">
        <v>0</v>
      </c>
      <c r="J85" s="139" t="n">
        <v>239343.9668228973</v>
      </c>
      <c r="K85" s="140" t="n">
        <v>246638.3140649248</v>
      </c>
      <c r="L85" s="140" t="n">
        <v>3884.037794688341</v>
      </c>
      <c r="M85" s="140" t="n">
        <v>0</v>
      </c>
      <c r="N85" s="141" t="n">
        <v>489866.3186825104</v>
      </c>
      <c r="P85" s="139" t="n">
        <v>244499.1255482345</v>
      </c>
      <c r="Q85" s="140" t="n">
        <v>252865.283451084</v>
      </c>
      <c r="R85" s="140" t="n">
        <v>3973.333705512458</v>
      </c>
      <c r="S85" s="140" t="n">
        <v>0</v>
      </c>
      <c r="T85" s="141" t="n">
        <v>501337.7427048309</v>
      </c>
      <c r="V85" s="139" t="n">
        <v>248584.5047241183</v>
      </c>
      <c r="W85" s="140" t="n">
        <v>256728.376959773</v>
      </c>
      <c r="X85" s="140" t="n">
        <v>4026.4599762026</v>
      </c>
      <c r="Y85" s="140" t="n">
        <v>0</v>
      </c>
      <c r="Z85" s="141" t="n">
        <v>509339.3416600939</v>
      </c>
    </row>
    <row r="86" ht="15.6" customHeight="1" thickBot="1" thickTop="1">
      <c r="B86" s="69" t="inlineStr">
        <is>
          <t>Total</t>
        </is>
      </c>
      <c r="D86" s="142" t="n">
        <v>2051</v>
      </c>
      <c r="E86" s="143" t="n">
        <v>2404</v>
      </c>
      <c r="F86" s="143" t="n">
        <v>10</v>
      </c>
      <c r="G86" s="143" t="n">
        <v>383</v>
      </c>
      <c r="H86" s="144" t="n">
        <v>5231</v>
      </c>
      <c r="J86" s="142" t="n">
        <v>241857.846036361</v>
      </c>
      <c r="K86" s="143" t="n">
        <v>249487.4064615115</v>
      </c>
      <c r="L86" s="143" t="n">
        <v>3895.860685324335</v>
      </c>
      <c r="M86" s="143" t="n">
        <v>647.0252361436104</v>
      </c>
      <c r="N86" s="144" t="n">
        <v>496534.4141784618</v>
      </c>
      <c r="P86" s="142" t="n">
        <v>247113.3994417185</v>
      </c>
      <c r="Q86" s="143" t="n">
        <v>255790.5461697932</v>
      </c>
      <c r="R86" s="143" t="n">
        <v>3985.486226866849</v>
      </c>
      <c r="S86" s="143" t="n">
        <v>732.9714689009203</v>
      </c>
      <c r="T86" s="144" t="n">
        <v>508354.5390776537</v>
      </c>
      <c r="V86" s="142" t="n">
        <v>251272.1306245567</v>
      </c>
      <c r="W86" s="143" t="n">
        <v>259712.4136196924</v>
      </c>
      <c r="X86" s="143" t="n">
        <v>4038.865980466294</v>
      </c>
      <c r="Y86" s="143" t="n">
        <v>880.9559239039352</v>
      </c>
      <c r="Z86" s="144" t="n">
        <v>516784.4256977059</v>
      </c>
    </row>
    <row r="87" ht="15" customHeight="1" thickBot="1">
      <c r="D87" s="145" t="n"/>
      <c r="E87" s="145" t="n"/>
      <c r="F87" s="145" t="n"/>
      <c r="G87" s="145" t="n"/>
      <c r="H87" s="145" t="n"/>
      <c r="J87" s="145" t="n"/>
      <c r="K87" s="145" t="n"/>
      <c r="L87" s="145" t="n"/>
      <c r="M87" s="145" t="n"/>
      <c r="N87" s="145" t="n"/>
      <c r="P87" s="145" t="n"/>
      <c r="Q87" s="145" t="n"/>
      <c r="R87" s="145" t="n"/>
      <c r="S87" s="145" t="n"/>
      <c r="T87" s="145" t="n"/>
      <c r="V87" s="145" t="n"/>
      <c r="W87" s="145" t="n"/>
      <c r="X87" s="145" t="n"/>
      <c r="Y87" s="145" t="n"/>
      <c r="Z87" s="145" t="n"/>
    </row>
    <row r="88" ht="15" customHeight="1" thickBot="1">
      <c r="B88" s="27" t="inlineStr">
        <is>
          <t>Excl - Total</t>
        </is>
      </c>
      <c r="D88" s="28" t="inlineStr">
        <is>
          <t>R30</t>
        </is>
      </c>
      <c r="E88" s="29" t="inlineStr">
        <is>
          <t>R90</t>
        </is>
      </c>
      <c r="F88" s="29" t="inlineStr">
        <is>
          <t>Mail</t>
        </is>
      </c>
      <c r="G88" s="29" t="inlineStr">
        <is>
          <t>Specialty</t>
        </is>
      </c>
      <c r="H88" s="30" t="inlineStr">
        <is>
          <t>Total</t>
        </is>
      </c>
      <c r="J88" s="28" t="inlineStr">
        <is>
          <t>R30</t>
        </is>
      </c>
      <c r="K88" s="29" t="inlineStr">
        <is>
          <t>R90</t>
        </is>
      </c>
      <c r="L88" s="29" t="inlineStr">
        <is>
          <t>Mail</t>
        </is>
      </c>
      <c r="M88" s="29" t="inlineStr">
        <is>
          <t>Specialty</t>
        </is>
      </c>
      <c r="N88" s="30" t="inlineStr">
        <is>
          <t>Total</t>
        </is>
      </c>
      <c r="P88" s="28" t="inlineStr">
        <is>
          <t>R30</t>
        </is>
      </c>
      <c r="Q88" s="29" t="inlineStr">
        <is>
          <t>R90</t>
        </is>
      </c>
      <c r="R88" s="29" t="inlineStr">
        <is>
          <t>Mail</t>
        </is>
      </c>
      <c r="S88" s="29" t="inlineStr">
        <is>
          <t>Specialty</t>
        </is>
      </c>
      <c r="T88" s="30" t="inlineStr">
        <is>
          <t>Total</t>
        </is>
      </c>
      <c r="V88" s="28" t="inlineStr">
        <is>
          <t>R30</t>
        </is>
      </c>
      <c r="W88" s="29" t="inlineStr">
        <is>
          <t>R90</t>
        </is>
      </c>
      <c r="X88" s="29" t="inlineStr">
        <is>
          <t>Mail</t>
        </is>
      </c>
      <c r="Y88" s="29" t="inlineStr">
        <is>
          <t>Specialty</t>
        </is>
      </c>
      <c r="Z88" s="30" t="inlineStr">
        <is>
          <t>Total</t>
        </is>
      </c>
    </row>
    <row r="89">
      <c r="B89" s="38" t="inlineStr">
        <is>
          <t>OTCs</t>
        </is>
      </c>
      <c r="D89" s="127" t="n">
        <v>0</v>
      </c>
      <c r="E89" s="128" t="n">
        <v>0</v>
      </c>
      <c r="F89" s="128" t="n">
        <v>0</v>
      </c>
      <c r="G89" s="128" t="n">
        <v>0</v>
      </c>
      <c r="H89" s="129" t="n">
        <v>0</v>
      </c>
      <c r="J89" s="127" t="n">
        <v>0</v>
      </c>
      <c r="K89" s="128" t="n">
        <v>0</v>
      </c>
      <c r="L89" s="128" t="n">
        <v>0</v>
      </c>
      <c r="M89" s="128" t="n">
        <v>0</v>
      </c>
      <c r="N89" s="129" t="n">
        <v>0</v>
      </c>
      <c r="P89" s="127" t="n">
        <v>0</v>
      </c>
      <c r="Q89" s="128" t="n">
        <v>0</v>
      </c>
      <c r="R89" s="128" t="n">
        <v>0</v>
      </c>
      <c r="S89" s="128" t="n">
        <v>0</v>
      </c>
      <c r="T89" s="129" t="n">
        <v>0</v>
      </c>
      <c r="V89" s="127" t="n">
        <v>0</v>
      </c>
      <c r="W89" s="128" t="n">
        <v>0</v>
      </c>
      <c r="X89" s="128" t="n">
        <v>0</v>
      </c>
      <c r="Y89" s="128" t="n">
        <v>0</v>
      </c>
      <c r="Z89" s="129" t="n">
        <v>0</v>
      </c>
    </row>
    <row r="90">
      <c r="B90" s="49" t="inlineStr">
        <is>
          <t>Devices</t>
        </is>
      </c>
      <c r="D90" s="130" t="n">
        <v>0</v>
      </c>
      <c r="E90" s="131" t="n">
        <v>0</v>
      </c>
      <c r="F90" s="131" t="n">
        <v>0</v>
      </c>
      <c r="G90" s="131" t="n">
        <v>0</v>
      </c>
      <c r="H90" s="132" t="n">
        <v>0</v>
      </c>
      <c r="J90" s="130" t="n">
        <v>0</v>
      </c>
      <c r="K90" s="131" t="n">
        <v>0</v>
      </c>
      <c r="L90" s="131" t="n">
        <v>0</v>
      </c>
      <c r="M90" s="131" t="n">
        <v>0</v>
      </c>
      <c r="N90" s="132" t="n">
        <v>0</v>
      </c>
      <c r="P90" s="130" t="n">
        <v>0</v>
      </c>
      <c r="Q90" s="131" t="n">
        <v>0</v>
      </c>
      <c r="R90" s="131" t="n">
        <v>0</v>
      </c>
      <c r="S90" s="131" t="n">
        <v>0</v>
      </c>
      <c r="T90" s="132" t="n">
        <v>0</v>
      </c>
      <c r="V90" s="130" t="n">
        <v>0</v>
      </c>
      <c r="W90" s="131" t="n">
        <v>0</v>
      </c>
      <c r="X90" s="131" t="n">
        <v>0</v>
      </c>
      <c r="Y90" s="131" t="n">
        <v>0</v>
      </c>
      <c r="Z90" s="132" t="n">
        <v>0</v>
      </c>
    </row>
    <row r="91">
      <c r="B91" s="64" t="inlineStr">
        <is>
          <t>Vaccines</t>
        </is>
      </c>
      <c r="D91" s="130" t="n">
        <v>0</v>
      </c>
      <c r="E91" s="131" t="n">
        <v>0</v>
      </c>
      <c r="F91" s="131" t="n">
        <v>0</v>
      </c>
      <c r="G91" s="131" t="n">
        <v>0</v>
      </c>
      <c r="H91" s="132" t="n">
        <v>0</v>
      </c>
      <c r="J91" s="130" t="n">
        <v>0</v>
      </c>
      <c r="K91" s="131" t="n">
        <v>0</v>
      </c>
      <c r="L91" s="131" t="n">
        <v>0</v>
      </c>
      <c r="M91" s="131" t="n">
        <v>0</v>
      </c>
      <c r="N91" s="132" t="n">
        <v>0</v>
      </c>
      <c r="P91" s="130" t="n">
        <v>0</v>
      </c>
      <c r="Q91" s="131" t="n">
        <v>0</v>
      </c>
      <c r="R91" s="131" t="n">
        <v>0</v>
      </c>
      <c r="S91" s="131" t="n">
        <v>0</v>
      </c>
      <c r="T91" s="132" t="n">
        <v>0</v>
      </c>
      <c r="V91" s="130" t="n">
        <v>0</v>
      </c>
      <c r="W91" s="131" t="n">
        <v>0</v>
      </c>
      <c r="X91" s="131" t="n">
        <v>0</v>
      </c>
      <c r="Y91" s="131" t="n">
        <v>0</v>
      </c>
      <c r="Z91" s="132" t="n">
        <v>0</v>
      </c>
    </row>
    <row r="92">
      <c r="B92" s="64" t="inlineStr">
        <is>
          <t>Repackaged</t>
        </is>
      </c>
      <c r="D92" s="130" t="n">
        <v>0</v>
      </c>
      <c r="E92" s="131" t="n">
        <v>0</v>
      </c>
      <c r="F92" s="131" t="n">
        <v>0</v>
      </c>
      <c r="G92" s="131" t="n">
        <v>0</v>
      </c>
      <c r="H92" s="132" t="n">
        <v>0</v>
      </c>
      <c r="J92" s="130" t="n">
        <v>0</v>
      </c>
      <c r="K92" s="131" t="n">
        <v>0</v>
      </c>
      <c r="L92" s="131" t="n">
        <v>0</v>
      </c>
      <c r="M92" s="131" t="n">
        <v>0</v>
      </c>
      <c r="N92" s="132" t="n">
        <v>0</v>
      </c>
      <c r="P92" s="130" t="n">
        <v>0</v>
      </c>
      <c r="Q92" s="131" t="n">
        <v>0</v>
      </c>
      <c r="R92" s="131" t="n">
        <v>0</v>
      </c>
      <c r="S92" s="131" t="n">
        <v>0</v>
      </c>
      <c r="T92" s="132" t="n">
        <v>0</v>
      </c>
      <c r="V92" s="130" t="n">
        <v>0</v>
      </c>
      <c r="W92" s="131" t="n">
        <v>0</v>
      </c>
      <c r="X92" s="131" t="n">
        <v>0</v>
      </c>
      <c r="Y92" s="131" t="n">
        <v>0</v>
      </c>
      <c r="Z92" s="132" t="n">
        <v>0</v>
      </c>
    </row>
    <row r="93">
      <c r="B93" s="64" t="inlineStr">
        <is>
          <t>MSBs</t>
        </is>
      </c>
      <c r="D93" s="130" t="n">
        <v>0</v>
      </c>
      <c r="E93" s="131" t="n">
        <v>0</v>
      </c>
      <c r="F93" s="131" t="n">
        <v>0</v>
      </c>
      <c r="G93" s="131" t="n">
        <v>0</v>
      </c>
      <c r="H93" s="132" t="n">
        <v>0</v>
      </c>
      <c r="J93" s="130" t="n">
        <v>0</v>
      </c>
      <c r="K93" s="131" t="n">
        <v>0</v>
      </c>
      <c r="L93" s="131" t="n">
        <v>0</v>
      </c>
      <c r="M93" s="131" t="n">
        <v>0</v>
      </c>
      <c r="N93" s="132" t="n">
        <v>0</v>
      </c>
      <c r="P93" s="130" t="n">
        <v>0</v>
      </c>
      <c r="Q93" s="131" t="n">
        <v>0</v>
      </c>
      <c r="R93" s="131" t="n">
        <v>0</v>
      </c>
      <c r="S93" s="131" t="n">
        <v>0</v>
      </c>
      <c r="T93" s="132" t="n">
        <v>0</v>
      </c>
      <c r="V93" s="130" t="n">
        <v>0</v>
      </c>
      <c r="W93" s="131" t="n">
        <v>0</v>
      </c>
      <c r="X93" s="131" t="n">
        <v>0</v>
      </c>
      <c r="Y93" s="131" t="n">
        <v>0</v>
      </c>
      <c r="Z93" s="132" t="n">
        <v>0</v>
      </c>
    </row>
    <row r="94">
      <c r="B94" s="64" t="inlineStr">
        <is>
          <t>Non FDA Approved</t>
        </is>
      </c>
      <c r="D94" s="130" t="n">
        <v>0</v>
      </c>
      <c r="E94" s="131" t="n">
        <v>6</v>
      </c>
      <c r="F94" s="131" t="n">
        <v>0</v>
      </c>
      <c r="G94" s="131" t="n">
        <v>0</v>
      </c>
      <c r="H94" s="132" t="n">
        <v>6</v>
      </c>
      <c r="J94" s="130" t="n">
        <v>0</v>
      </c>
      <c r="K94" s="131" t="n">
        <v>6.885489488627885</v>
      </c>
      <c r="L94" s="131" t="n">
        <v>0</v>
      </c>
      <c r="M94" s="131" t="n">
        <v>0</v>
      </c>
      <c r="N94" s="132" t="n">
        <v>6.885489488627885</v>
      </c>
      <c r="P94" s="130" t="n">
        <v>0</v>
      </c>
      <c r="Q94" s="131" t="n">
        <v>7.09762893823543</v>
      </c>
      <c r="R94" s="131" t="n">
        <v>0</v>
      </c>
      <c r="S94" s="131" t="n">
        <v>0</v>
      </c>
      <c r="T94" s="132" t="n">
        <v>7.09762893823543</v>
      </c>
      <c r="V94" s="130" t="n">
        <v>0</v>
      </c>
      <c r="W94" s="131" t="n">
        <v>7.29938773026082</v>
      </c>
      <c r="X94" s="131" t="n">
        <v>0</v>
      </c>
      <c r="Y94" s="131" t="n">
        <v>0</v>
      </c>
      <c r="Z94" s="132" t="n">
        <v>7.29938773026082</v>
      </c>
    </row>
    <row r="95">
      <c r="B95" s="64" t="inlineStr">
        <is>
          <t>LDD</t>
        </is>
      </c>
      <c r="D95" s="130" t="n">
        <v>18</v>
      </c>
      <c r="E95" s="131" t="n">
        <v>0</v>
      </c>
      <c r="F95" s="131" t="n">
        <v>0</v>
      </c>
      <c r="G95" s="131" t="n">
        <v>1</v>
      </c>
      <c r="H95" s="132" t="n">
        <v>19</v>
      </c>
      <c r="J95" s="130" t="n">
        <v>24.87719139716617</v>
      </c>
      <c r="K95" s="131" t="n">
        <v>0</v>
      </c>
      <c r="L95" s="131" t="n">
        <v>0</v>
      </c>
      <c r="M95" s="131" t="n">
        <v>1.367136085871659</v>
      </c>
      <c r="N95" s="132" t="n">
        <v>26.24432748303783</v>
      </c>
      <c r="P95" s="130" t="n">
        <v>27.65663487526179</v>
      </c>
      <c r="Q95" s="131" t="n">
        <v>0</v>
      </c>
      <c r="R95" s="131" t="n">
        <v>0</v>
      </c>
      <c r="S95" s="131" t="n">
        <v>1.446478003178301</v>
      </c>
      <c r="T95" s="132" t="n">
        <v>29.10311287844009</v>
      </c>
      <c r="V95" s="130" t="n">
        <v>31.05175440243663</v>
      </c>
      <c r="W95" s="131" t="n">
        <v>0</v>
      </c>
      <c r="X95" s="131" t="n">
        <v>0</v>
      </c>
      <c r="Y95" s="131" t="n">
        <v>1.539423073904818</v>
      </c>
      <c r="Z95" s="132" t="n">
        <v>32.59117747634145</v>
      </c>
    </row>
    <row r="96">
      <c r="B96" s="64" t="inlineStr">
        <is>
          <t>Institutional NDCs</t>
        </is>
      </c>
      <c r="D96" s="130" t="n">
        <v>23</v>
      </c>
      <c r="E96" s="131" t="n">
        <v>0</v>
      </c>
      <c r="F96" s="131" t="n">
        <v>0</v>
      </c>
      <c r="G96" s="131" t="n">
        <v>0</v>
      </c>
      <c r="H96" s="132" t="n">
        <v>23</v>
      </c>
      <c r="J96" s="130" t="n">
        <v>26.24935302529743</v>
      </c>
      <c r="K96" s="131" t="n">
        <v>0</v>
      </c>
      <c r="L96" s="131" t="n">
        <v>0</v>
      </c>
      <c r="M96" s="131" t="n">
        <v>0</v>
      </c>
      <c r="N96" s="132" t="n">
        <v>26.24935302529743</v>
      </c>
      <c r="P96" s="130" t="n">
        <v>26.57911917875575</v>
      </c>
      <c r="Q96" s="131" t="n">
        <v>0</v>
      </c>
      <c r="R96" s="131" t="n">
        <v>0</v>
      </c>
      <c r="S96" s="131" t="n">
        <v>0</v>
      </c>
      <c r="T96" s="132" t="n">
        <v>26.57911917875575</v>
      </c>
      <c r="V96" s="130" t="n">
        <v>28.06187153348851</v>
      </c>
      <c r="W96" s="131" t="n">
        <v>0</v>
      </c>
      <c r="X96" s="131" t="n">
        <v>0</v>
      </c>
      <c r="Y96" s="131" t="n">
        <v>0</v>
      </c>
      <c r="Z96" s="132" t="n">
        <v>28.06187153348851</v>
      </c>
    </row>
    <row r="97">
      <c r="B97" s="64" t="inlineStr">
        <is>
          <t>Formulary Exclusions</t>
        </is>
      </c>
      <c r="D97" s="130" t="n">
        <v>5655</v>
      </c>
      <c r="E97" s="131" t="n">
        <v>4007</v>
      </c>
      <c r="F97" s="131" t="n">
        <v>42</v>
      </c>
      <c r="G97" s="131" t="n">
        <v>0</v>
      </c>
      <c r="H97" s="132" t="n">
        <v>9704</v>
      </c>
      <c r="J97" s="130" t="n">
        <v>8521.815565172983</v>
      </c>
      <c r="K97" s="131" t="n">
        <v>6628.085294105205</v>
      </c>
      <c r="L97" s="131" t="n">
        <v>81.12125915531615</v>
      </c>
      <c r="M97" s="131" t="n">
        <v>0</v>
      </c>
      <c r="N97" s="132" t="n">
        <v>15231.0221184335</v>
      </c>
      <c r="P97" s="130" t="n">
        <v>8787.458946566274</v>
      </c>
      <c r="Q97" s="131" t="n">
        <v>6924.377261876313</v>
      </c>
      <c r="R97" s="131" t="n">
        <v>85.73780046159801</v>
      </c>
      <c r="S97" s="131" t="n">
        <v>0</v>
      </c>
      <c r="T97" s="132" t="n">
        <v>15797.57400890418</v>
      </c>
      <c r="V97" s="130" t="n">
        <v>9058.982559296473</v>
      </c>
      <c r="W97" s="131" t="n">
        <v>7214.103405258798</v>
      </c>
      <c r="X97" s="131" t="n">
        <v>90.06841189161894</v>
      </c>
      <c r="Y97" s="131" t="n">
        <v>0</v>
      </c>
      <c r="Z97" s="132" t="n">
        <v>16363.15437644689</v>
      </c>
    </row>
    <row r="98">
      <c r="B98" s="64" t="inlineStr">
        <is>
          <t>Synthroid</t>
        </is>
      </c>
      <c r="D98" s="130" t="n">
        <v>331</v>
      </c>
      <c r="E98" s="131" t="n">
        <v>641</v>
      </c>
      <c r="F98" s="131" t="n">
        <v>4</v>
      </c>
      <c r="G98" s="131" t="n">
        <v>0</v>
      </c>
      <c r="H98" s="132" t="n">
        <v>976</v>
      </c>
      <c r="J98" s="130" t="n">
        <v>351.9287478386029</v>
      </c>
      <c r="K98" s="131" t="n">
        <v>695.2653220010801</v>
      </c>
      <c r="L98" s="131" t="n">
        <v>4.363987808065344</v>
      </c>
      <c r="M98" s="131" t="n">
        <v>0</v>
      </c>
      <c r="N98" s="132" t="n">
        <v>1051.558057647748</v>
      </c>
      <c r="P98" s="130" t="n">
        <v>344.8677977438759</v>
      </c>
      <c r="Q98" s="131" t="n">
        <v>695.6708181072372</v>
      </c>
      <c r="R98" s="131" t="n">
        <v>4.376881306996877</v>
      </c>
      <c r="S98" s="131" t="n">
        <v>0</v>
      </c>
      <c r="T98" s="132" t="n">
        <v>1044.91549715811</v>
      </c>
      <c r="V98" s="130" t="n">
        <v>337.2252462051625</v>
      </c>
      <c r="W98" s="131" t="n">
        <v>693.7423997998153</v>
      </c>
      <c r="X98" s="131" t="n">
        <v>4.349920807420687</v>
      </c>
      <c r="Y98" s="131" t="n">
        <v>0</v>
      </c>
      <c r="Z98" s="132" t="n">
        <v>1035.317566812398</v>
      </c>
    </row>
    <row r="99">
      <c r="B99" s="64" t="inlineStr">
        <is>
          <t>Misc</t>
        </is>
      </c>
      <c r="D99" s="130" t="n">
        <v>1732</v>
      </c>
      <c r="E99" s="131" t="n">
        <v>1322</v>
      </c>
      <c r="F99" s="131" t="n">
        <v>21</v>
      </c>
      <c r="G99" s="131" t="n">
        <v>3360</v>
      </c>
      <c r="H99" s="132" t="n">
        <v>6435</v>
      </c>
      <c r="J99" s="130" t="n">
        <v>2715.313301741378</v>
      </c>
      <c r="K99" s="131" t="n">
        <v>2139.409809914592</v>
      </c>
      <c r="L99" s="131" t="n">
        <v>34.42048685206373</v>
      </c>
      <c r="M99" s="131" t="n">
        <v>4701.938698982581</v>
      </c>
      <c r="N99" s="132" t="n">
        <v>9591.082297490615</v>
      </c>
      <c r="P99" s="130" t="n">
        <v>3197.258219982265</v>
      </c>
      <c r="Q99" s="131" t="n">
        <v>2604.95332839858</v>
      </c>
      <c r="R99" s="131" t="n">
        <v>42.03577551248054</v>
      </c>
      <c r="S99" s="131" t="n">
        <v>5099.728555144815</v>
      </c>
      <c r="T99" s="132" t="n">
        <v>10943.97587903814</v>
      </c>
      <c r="V99" s="130" t="n">
        <v>3772.141387435433</v>
      </c>
      <c r="W99" s="131" t="n">
        <v>3171.189177179011</v>
      </c>
      <c r="X99" s="131" t="n">
        <v>51.03255827472276</v>
      </c>
      <c r="Y99" s="131" t="n">
        <v>5541.410161234371</v>
      </c>
      <c r="Z99" s="132" t="n">
        <v>12535.77328412354</v>
      </c>
    </row>
    <row r="100">
      <c r="B100" s="64" t="inlineStr">
        <is>
          <t>Specialty</t>
        </is>
      </c>
      <c r="D100" s="133" t="n">
        <v>0</v>
      </c>
      <c r="E100" s="134" t="n">
        <v>0</v>
      </c>
      <c r="F100" s="134" t="n">
        <v>0</v>
      </c>
      <c r="G100" s="134" t="n">
        <v>3360</v>
      </c>
      <c r="H100" s="135" t="n">
        <v>3360</v>
      </c>
      <c r="J100" s="133" t="n">
        <v>0</v>
      </c>
      <c r="K100" s="134" t="n">
        <v>0</v>
      </c>
      <c r="L100" s="134" t="n">
        <v>0</v>
      </c>
      <c r="M100" s="134" t="n">
        <v>4701.935289376432</v>
      </c>
      <c r="N100" s="135" t="n">
        <v>4701.935289376432</v>
      </c>
      <c r="P100" s="133" t="n">
        <v>0</v>
      </c>
      <c r="Q100" s="134" t="n">
        <v>0</v>
      </c>
      <c r="R100" s="134" t="n">
        <v>0</v>
      </c>
      <c r="S100" s="134" t="n">
        <v>5099.725056957099</v>
      </c>
      <c r="T100" s="135" t="n">
        <v>5099.725056957099</v>
      </c>
      <c r="V100" s="133" t="n">
        <v>0</v>
      </c>
      <c r="W100" s="134" t="n">
        <v>0</v>
      </c>
      <c r="X100" s="134" t="n">
        <v>0</v>
      </c>
      <c r="Y100" s="134" t="n">
        <v>5541.40655673673</v>
      </c>
      <c r="Z100" s="135" t="n">
        <v>5541.40655673673</v>
      </c>
    </row>
    <row r="101">
      <c r="A101" s="98" t="inlineStr">
        <is>
          <t>Added MFP row but needs adjusting for non-CY</t>
        </is>
      </c>
      <c r="B101" s="64" t="inlineStr">
        <is>
          <t>MFP 2026, 2027</t>
        </is>
      </c>
      <c r="D101" s="133" t="n">
        <v>0</v>
      </c>
      <c r="E101" s="134" t="n">
        <v>0</v>
      </c>
      <c r="F101" s="134" t="n">
        <v>0</v>
      </c>
      <c r="G101" s="134" t="n">
        <v>0</v>
      </c>
      <c r="H101" s="135" t="n">
        <v>0</v>
      </c>
      <c r="J101" s="133" t="n">
        <v>0</v>
      </c>
      <c r="K101" s="134" t="n">
        <v>0</v>
      </c>
      <c r="L101" s="134" t="n">
        <v>0</v>
      </c>
      <c r="M101" s="134" t="n">
        <v>0</v>
      </c>
      <c r="N101" s="135" t="n">
        <v>0</v>
      </c>
      <c r="P101" s="133" t="n">
        <v>0</v>
      </c>
      <c r="Q101" s="134" t="n">
        <v>0</v>
      </c>
      <c r="R101" s="134" t="n">
        <v>0</v>
      </c>
      <c r="S101" s="134" t="n">
        <v>0</v>
      </c>
      <c r="T101" s="135" t="n">
        <v>0</v>
      </c>
      <c r="V101" s="133" t="n">
        <v>0</v>
      </c>
      <c r="W101" s="134" t="n">
        <v>0</v>
      </c>
      <c r="X101" s="134" t="n">
        <v>0</v>
      </c>
      <c r="Y101" s="134" t="n">
        <v>0</v>
      </c>
      <c r="Z101" s="135" t="n">
        <v>0</v>
      </c>
    </row>
    <row r="102">
      <c r="B102" s="100">
        <f>$B$66</f>
        <v/>
      </c>
      <c r="D102" s="133" t="n">
        <v>0</v>
      </c>
      <c r="E102" s="134" t="n">
        <v>0</v>
      </c>
      <c r="F102" s="134" t="n">
        <v>0</v>
      </c>
      <c r="G102" s="134" t="n">
        <v>0</v>
      </c>
      <c r="H102" s="135" t="n">
        <v>0</v>
      </c>
      <c r="J102" s="133" t="n">
        <v>0</v>
      </c>
      <c r="K102" s="134" t="n">
        <v>0</v>
      </c>
      <c r="L102" s="134" t="n">
        <v>0</v>
      </c>
      <c r="M102" s="134" t="n">
        <v>0</v>
      </c>
      <c r="N102" s="135" t="n">
        <v>0</v>
      </c>
      <c r="P102" s="133" t="n">
        <v>0</v>
      </c>
      <c r="Q102" s="134" t="n">
        <v>0</v>
      </c>
      <c r="R102" s="134" t="n">
        <v>0</v>
      </c>
      <c r="S102" s="134" t="n">
        <v>0</v>
      </c>
      <c r="T102" s="135" t="n">
        <v>0</v>
      </c>
      <c r="V102" s="133" t="n">
        <v>0</v>
      </c>
      <c r="W102" s="134" t="n">
        <v>0</v>
      </c>
      <c r="X102" s="134" t="n">
        <v>0</v>
      </c>
      <c r="Y102" s="134" t="n">
        <v>0</v>
      </c>
      <c r="Z102" s="135" t="n">
        <v>0</v>
      </c>
    </row>
    <row r="103" ht="15" customHeight="1" thickBot="1">
      <c r="B103" s="59" t="inlineStr">
        <is>
          <t>Non-Rebatable</t>
        </is>
      </c>
      <c r="D103" s="136" t="n">
        <v>0</v>
      </c>
      <c r="E103" s="137" t="n">
        <v>0</v>
      </c>
      <c r="F103" s="137" t="n">
        <v>0</v>
      </c>
      <c r="G103" s="137" t="n">
        <v>0</v>
      </c>
      <c r="H103" s="138" t="n">
        <v>0</v>
      </c>
      <c r="J103" s="139" t="n">
        <v>272009.7721800812</v>
      </c>
      <c r="K103" s="140" t="n">
        <v>261622.1388362575</v>
      </c>
      <c r="L103" s="140" t="n">
        <v>4086.411781183353</v>
      </c>
      <c r="M103" s="140" t="n">
        <v>552.1088310115437</v>
      </c>
      <c r="N103" s="141" t="n">
        <v>538270.4316285335</v>
      </c>
      <c r="P103" s="139" t="n">
        <v>273967.9002461676</v>
      </c>
      <c r="Q103" s="140" t="n">
        <v>263205.7003168401</v>
      </c>
      <c r="R103" s="140" t="n">
        <v>4115.589524254454</v>
      </c>
      <c r="S103" s="140" t="n">
        <v>529.4434178862319</v>
      </c>
      <c r="T103" s="141" t="n">
        <v>541818.6335051483</v>
      </c>
      <c r="V103" s="139" t="n">
        <v>276285.4014342451</v>
      </c>
      <c r="W103" s="140" t="n">
        <v>264737.8059749066</v>
      </c>
      <c r="X103" s="140" t="n">
        <v>4142.034055145593</v>
      </c>
      <c r="Y103" s="140" t="n">
        <v>507.7439456670621</v>
      </c>
      <c r="Z103" s="141" t="n">
        <v>545672.9854099642</v>
      </c>
    </row>
    <row r="104" ht="15.6" customHeight="1" thickBot="1" thickTop="1">
      <c r="B104" s="69" t="inlineStr">
        <is>
          <t>Total</t>
        </is>
      </c>
      <c r="D104" s="142" t="n">
        <v>7759</v>
      </c>
      <c r="E104" s="143" t="n">
        <v>5976</v>
      </c>
      <c r="F104" s="143" t="n">
        <v>67</v>
      </c>
      <c r="G104" s="143" t="n">
        <v>3361</v>
      </c>
      <c r="H104" s="144" t="n">
        <v>20523</v>
      </c>
      <c r="J104" s="142" t="n">
        <v>283649.9563392566</v>
      </c>
      <c r="K104" s="143" t="n">
        <v>271091.7847517669</v>
      </c>
      <c r="L104" s="143" t="n">
        <v>4206.317514998797</v>
      </c>
      <c r="M104" s="143" t="n">
        <v>5255.414666079996</v>
      </c>
      <c r="N104" s="144" t="n">
        <v>568905.4085614788</v>
      </c>
      <c r="P104" s="142" t="n">
        <v>286351.720964514</v>
      </c>
      <c r="Q104" s="143" t="n">
        <v>273437.7993541604</v>
      </c>
      <c r="R104" s="143" t="n">
        <v>4247.739981535529</v>
      </c>
      <c r="S104" s="143" t="n">
        <v>5630.618451034225</v>
      </c>
      <c r="T104" s="144" t="n">
        <v>574767.6038082013</v>
      </c>
      <c r="V104" s="142" t="n">
        <v>289512.8642531181</v>
      </c>
      <c r="W104" s="143" t="n">
        <v>275824.1403448745</v>
      </c>
      <c r="X104" s="143" t="n">
        <v>4287.484946119355</v>
      </c>
      <c r="Y104" s="143" t="n">
        <v>6050.693529975338</v>
      </c>
      <c r="Z104" s="144" t="n">
        <v>581216.5896308238</v>
      </c>
    </row>
    <row r="105" ht="30.3" customHeight="1" thickBot="1"/>
    <row r="106" ht="15" customHeight="1" thickBot="1">
      <c r="B106" s="110" t="inlineStr">
        <is>
          <t>Removed Claims</t>
        </is>
      </c>
      <c r="H106" s="111" t="n">
        <v>3772</v>
      </c>
    </row>
    <row r="107" ht="15" customHeight="1" thickBot="1"/>
    <row r="108" ht="15" customHeight="1" thickBot="1">
      <c r="B108" s="112" t="inlineStr">
        <is>
          <t>Total</t>
        </is>
      </c>
      <c r="H108" s="113" t="n">
        <v>527643</v>
      </c>
    </row>
    <row r="109"/>
    <row r="110"/>
    <row r="111"/>
    <row r="112"/>
    <row r="113"/>
    <row r="114"/>
    <row r="115"/>
    <row r="116"/>
    <row r="117"/>
    <row r="118"/>
    <row r="119"/>
    <row r="120"/>
    <row r="121"/>
    <row r="122"/>
    <row r="123"/>
    <row r="124"/>
    <row r="125"/>
    <row r="126"/>
    <row r="127"/>
    <row r="128"/>
    <row r="129" ht="30.3" customHeight="1"/>
    <row r="130"/>
    <row r="131"/>
    <row r="132"/>
    <row r="133"/>
    <row r="134"/>
    <row r="135"/>
    <row r="136"/>
    <row r="137"/>
    <row r="138"/>
    <row r="139"/>
    <row r="140"/>
    <row r="141"/>
    <row r="142"/>
    <row r="143"/>
    <row r="144"/>
    <row r="145"/>
    <row r="146"/>
    <row r="147"/>
    <row r="148"/>
    <row r="149"/>
    <row r="150"/>
    <row r="151"/>
    <row r="152"/>
    <row r="153" ht="30.3" customHeight="1"/>
    <row r="154">
      <c r="AM154" s="117" t="n"/>
      <c r="AN154" s="117" t="n"/>
    </row>
    <row r="155">
      <c r="AM155" s="117" t="n"/>
      <c r="AN155" s="117" t="n"/>
    </row>
    <row r="156">
      <c r="AM156" s="117" t="n"/>
      <c r="AN156" s="117" t="n"/>
    </row>
    <row r="157">
      <c r="AM157" s="117" t="n"/>
      <c r="AN157" s="117" t="n"/>
    </row>
    <row r="158">
      <c r="AM158" s="117" t="n"/>
      <c r="AN158" s="117" t="n"/>
    </row>
    <row r="159">
      <c r="AM159" s="117" t="n"/>
      <c r="AN159" s="117" t="n"/>
    </row>
    <row r="160">
      <c r="AM160" s="117" t="n"/>
      <c r="AN160" s="117" t="n"/>
    </row>
    <row r="161">
      <c r="AM161" s="117" t="n"/>
      <c r="AN161" s="117" t="n"/>
    </row>
    <row r="162">
      <c r="AM162" s="117" t="n"/>
      <c r="AN162" s="117" t="n"/>
    </row>
    <row r="163">
      <c r="AM163" s="117" t="n"/>
      <c r="AN163" s="117" t="n"/>
    </row>
    <row r="164">
      <c r="AM164" s="117" t="n"/>
      <c r="AN164" s="117" t="n"/>
    </row>
    <row r="165">
      <c r="AM165" s="117" t="n"/>
      <c r="AN165" s="117" t="n"/>
    </row>
    <row r="166">
      <c r="AM166" s="117" t="n"/>
      <c r="AN166" s="117" t="n"/>
    </row>
    <row r="167">
      <c r="AM167" s="117" t="n"/>
      <c r="AN167" s="117" t="n"/>
    </row>
    <row r="168">
      <c r="AM168" s="117" t="n"/>
      <c r="AN168" s="117" t="n"/>
    </row>
    <row r="169">
      <c r="AM169" s="117" t="n"/>
      <c r="AN169" s="117" t="n"/>
    </row>
    <row r="170">
      <c r="AM170" s="117" t="n"/>
      <c r="AN170" s="117" t="n"/>
    </row>
    <row r="171">
      <c r="AM171" s="117" t="n"/>
      <c r="AN171" s="117" t="n"/>
    </row>
    <row r="172">
      <c r="AM172" s="117" t="n"/>
      <c r="AN172" s="117" t="n"/>
    </row>
    <row r="173">
      <c r="AM173" s="117" t="n"/>
      <c r="AN173" s="117" t="n"/>
    </row>
    <row r="174">
      <c r="AM174" s="117" t="n"/>
      <c r="AN174" s="117" t="n"/>
    </row>
    <row r="175">
      <c r="AM175" s="117" t="n"/>
      <c r="AN175" s="117" t="n"/>
    </row>
    <row r="176">
      <c r="AM176" s="117" t="n"/>
      <c r="AN176" s="117" t="n"/>
    </row>
    <row r="177">
      <c r="AM177" s="117" t="n"/>
      <c r="AN177" s="117" t="n"/>
    </row>
    <row r="178">
      <c r="AM178" s="117" t="n"/>
      <c r="AN178" s="117" t="n"/>
    </row>
    <row r="179">
      <c r="AM179" s="117" t="n"/>
      <c r="AN179" s="117" t="n"/>
    </row>
    <row r="180">
      <c r="AM180" s="117" t="n"/>
      <c r="AN180" s="117" t="n"/>
    </row>
    <row r="181">
      <c r="AM181" s="117" t="n"/>
      <c r="AN181" s="117" t="n"/>
    </row>
    <row r="182">
      <c r="AM182" s="117" t="n"/>
      <c r="AN182" s="117" t="n"/>
    </row>
    <row r="183">
      <c r="AM183" s="117" t="n"/>
      <c r="AN183" s="117" t="n"/>
    </row>
    <row r="184">
      <c r="AM184" s="117" t="n"/>
      <c r="AN184" s="117" t="n"/>
    </row>
    <row r="185">
      <c r="AM185" s="117" t="n"/>
      <c r="AN185" s="117" t="n"/>
    </row>
    <row r="186">
      <c r="AM186" s="117" t="n"/>
      <c r="AN186" s="117" t="n"/>
    </row>
    <row r="187">
      <c r="AM187" s="117" t="n"/>
      <c r="AN187" s="117" t="n"/>
    </row>
    <row r="188">
      <c r="AM188" s="117" t="n"/>
      <c r="AN188" s="117" t="n"/>
    </row>
    <row r="189">
      <c r="AM189" s="117" t="n"/>
      <c r="AN189" s="117" t="n"/>
    </row>
    <row r="190">
      <c r="AM190" s="117" t="n"/>
      <c r="AN190" s="117" t="n"/>
    </row>
    <row r="191">
      <c r="AM191" s="117" t="n"/>
      <c r="AN191" s="117" t="n"/>
    </row>
    <row r="192">
      <c r="AM192" s="117" t="n"/>
      <c r="AN192" s="117" t="n"/>
    </row>
    <row r="193">
      <c r="AM193" s="117" t="n"/>
      <c r="AN193" s="117" t="n"/>
    </row>
    <row r="194">
      <c r="AM194" s="117" t="n"/>
      <c r="AN194" s="117" t="n"/>
    </row>
    <row r="195">
      <c r="AM195" s="117" t="n"/>
      <c r="AN195" s="117" t="n"/>
    </row>
    <row r="196">
      <c r="AM196" s="117" t="n"/>
      <c r="AN196" s="117" t="n"/>
    </row>
    <row r="197">
      <c r="AM197" s="117" t="n"/>
      <c r="AN197" s="117" t="n"/>
    </row>
    <row r="198">
      <c r="AM198" s="117" t="n"/>
      <c r="AN198" s="117" t="n"/>
    </row>
    <row r="199">
      <c r="AM199" s="117" t="n"/>
      <c r="AN199" s="117" t="n"/>
    </row>
    <row r="200">
      <c r="AM200" s="117" t="n"/>
      <c r="AN200" s="117" t="n"/>
    </row>
    <row r="201">
      <c r="AM201" s="117" t="n"/>
      <c r="AN201" s="117" t="n"/>
    </row>
    <row r="202">
      <c r="AM202" s="117" t="n"/>
      <c r="AN202" s="117" t="n"/>
    </row>
    <row r="203">
      <c r="AM203" s="117" t="n"/>
      <c r="AN203" s="117" t="n"/>
    </row>
    <row r="204">
      <c r="AM204" s="117" t="n"/>
      <c r="AN204" s="117" t="n"/>
    </row>
    <row r="205">
      <c r="AM205" s="117" t="n"/>
      <c r="AN205" s="117" t="n"/>
    </row>
    <row r="206">
      <c r="AM206" s="117" t="n"/>
      <c r="AN206" s="117" t="n"/>
    </row>
    <row r="207">
      <c r="AM207" s="117" t="n"/>
      <c r="AN207" s="117" t="n"/>
    </row>
    <row r="208">
      <c r="AM208" s="117" t="n"/>
      <c r="AN208" s="117" t="n"/>
    </row>
    <row r="209">
      <c r="AM209" s="117" t="n"/>
      <c r="AN209" s="117" t="n"/>
    </row>
    <row r="210">
      <c r="AM210" s="117" t="n"/>
      <c r="AN210" s="117" t="n"/>
    </row>
    <row r="211">
      <c r="AM211" s="117" t="n"/>
      <c r="AN211" s="117" t="n"/>
    </row>
    <row r="212">
      <c r="AM212" s="117" t="n"/>
      <c r="AN212" s="117" t="n"/>
    </row>
    <row r="213">
      <c r="AM213" s="117" t="n"/>
      <c r="AN213" s="117" t="n"/>
    </row>
    <row r="214">
      <c r="AM214" s="117" t="n"/>
      <c r="AN214" s="117" t="n"/>
    </row>
    <row r="215">
      <c r="AM215" s="117" t="n"/>
      <c r="AN215" s="117" t="n"/>
    </row>
    <row r="216">
      <c r="AM216" s="117" t="n"/>
      <c r="AN216" s="117" t="n"/>
    </row>
    <row r="217">
      <c r="AM217" s="117" t="n"/>
      <c r="AN217" s="117" t="n"/>
    </row>
    <row r="218">
      <c r="AM218" s="117" t="n"/>
      <c r="AN218" s="117" t="n"/>
    </row>
    <row r="219">
      <c r="AM219" s="117" t="n"/>
      <c r="AN219" s="117" t="n"/>
    </row>
    <row r="220">
      <c r="AM220" s="117" t="n"/>
      <c r="AN220" s="117" t="n"/>
    </row>
    <row r="221">
      <c r="AM221" s="117" t="n"/>
      <c r="AN221" s="117" t="n"/>
    </row>
    <row r="222">
      <c r="AM222" s="117" t="n"/>
      <c r="AN222" s="117" t="n"/>
    </row>
    <row r="223">
      <c r="AM223" s="117" t="n"/>
      <c r="AN223" s="117" t="n"/>
    </row>
    <row r="224">
      <c r="AM224" s="117" t="n"/>
      <c r="AN224" s="117" t="n"/>
    </row>
    <row r="225">
      <c r="AM225" s="117" t="n"/>
      <c r="AN225" s="117" t="n"/>
    </row>
    <row r="226">
      <c r="AM226" s="117" t="n"/>
      <c r="AN226" s="117" t="n"/>
    </row>
    <row r="227">
      <c r="AM227" s="117" t="n"/>
      <c r="AN227" s="117" t="n"/>
    </row>
    <row r="228">
      <c r="AM228" s="117" t="n"/>
      <c r="AN228" s="117" t="n"/>
    </row>
    <row r="229">
      <c r="AM229" s="117" t="n"/>
      <c r="AN229" s="117" t="n"/>
    </row>
    <row r="230">
      <c r="AM230" s="117" t="n"/>
      <c r="AN230" s="117" t="n"/>
    </row>
    <row r="231">
      <c r="AM231" s="117" t="n"/>
      <c r="AN231" s="117" t="n"/>
    </row>
    <row r="232">
      <c r="AM232" s="117" t="n"/>
      <c r="AN232" s="117" t="n"/>
    </row>
    <row r="233">
      <c r="AM233" s="117" t="n"/>
      <c r="AN233" s="117" t="n"/>
    </row>
    <row r="234">
      <c r="AM234" s="117" t="n"/>
      <c r="AN234" s="117" t="n"/>
    </row>
    <row r="235">
      <c r="AM235" s="117" t="n"/>
      <c r="AN235" s="117" t="n"/>
    </row>
    <row r="236">
      <c r="AM236" s="117" t="n"/>
      <c r="AN236" s="117" t="n"/>
    </row>
    <row r="237">
      <c r="AM237" s="117" t="n"/>
      <c r="AN237" s="117" t="n"/>
    </row>
    <row r="238">
      <c r="AM238" s="117" t="n"/>
      <c r="AN238" s="117" t="n"/>
    </row>
    <row r="239">
      <c r="AM239" s="117" t="n"/>
      <c r="AN239" s="117" t="n"/>
    </row>
    <row r="240">
      <c r="AM240" s="117" t="n"/>
      <c r="AN240" s="117" t="n"/>
    </row>
    <row r="241">
      <c r="AM241" s="117" t="n"/>
      <c r="AN241" s="117" t="n"/>
    </row>
    <row r="242">
      <c r="AM242" s="117" t="n"/>
      <c r="AN242" s="117" t="n"/>
    </row>
    <row r="243">
      <c r="AM243" s="117" t="n"/>
      <c r="AN243" s="117" t="n"/>
    </row>
    <row r="244">
      <c r="AM244" s="117" t="n"/>
      <c r="AN244" s="117" t="n"/>
    </row>
    <row r="245">
      <c r="AM245" s="117" t="n"/>
      <c r="AN245" s="117" t="n"/>
    </row>
    <row r="246">
      <c r="AM246" s="117" t="n"/>
      <c r="AN246" s="117" t="n"/>
    </row>
    <row r="247">
      <c r="AM247" s="117" t="n"/>
      <c r="AN247" s="117" t="n"/>
    </row>
    <row r="248">
      <c r="AM248" s="117" t="n"/>
      <c r="AN248" s="117" t="n"/>
    </row>
    <row r="249">
      <c r="AM249" s="117" t="n"/>
      <c r="AN249" s="117" t="n"/>
    </row>
    <row r="250">
      <c r="AM250" s="117" t="n"/>
      <c r="AN250" s="117" t="n"/>
    </row>
    <row r="251">
      <c r="AM251" s="117" t="n"/>
      <c r="AN251" s="117" t="n"/>
    </row>
    <row r="252">
      <c r="AM252" s="117" t="n"/>
      <c r="AN252" s="117" t="n"/>
    </row>
    <row r="253">
      <c r="AM253" s="117" t="n"/>
      <c r="AN253" s="117" t="n"/>
    </row>
    <row r="254">
      <c r="AM254" s="117" t="n"/>
      <c r="AN254" s="117" t="n"/>
    </row>
    <row r="255">
      <c r="AM255" s="117" t="n"/>
      <c r="AN255" s="117" t="n"/>
    </row>
    <row r="256">
      <c r="AM256" s="117" t="n"/>
      <c r="AN256" s="117" t="n"/>
    </row>
    <row r="257">
      <c r="AM257" s="117" t="n"/>
      <c r="AN257" s="117" t="n"/>
    </row>
    <row r="258">
      <c r="AM258" s="117" t="n"/>
      <c r="AN258" s="117" t="n"/>
    </row>
    <row r="259">
      <c r="AM259" s="117" t="n"/>
      <c r="AN259" s="117" t="n"/>
    </row>
    <row r="260">
      <c r="AM260" s="117" t="n"/>
      <c r="AN260" s="117" t="n"/>
    </row>
    <row r="261">
      <c r="AM261" s="117" t="n"/>
      <c r="AN261" s="117" t="n"/>
    </row>
    <row r="262">
      <c r="AM262" s="117" t="n"/>
      <c r="AN262" s="117" t="n"/>
    </row>
    <row r="263">
      <c r="AM263" s="117" t="n"/>
      <c r="AN263" s="117" t="n"/>
    </row>
    <row r="264">
      <c r="AM264" s="117" t="n"/>
      <c r="AN264" s="117" t="n"/>
    </row>
    <row r="265">
      <c r="AM265" s="117" t="n"/>
      <c r="AN265" s="117" t="n"/>
    </row>
    <row r="266">
      <c r="AM266" s="117" t="n"/>
      <c r="AN266" s="117" t="n"/>
    </row>
    <row r="267">
      <c r="AM267" s="117" t="n"/>
      <c r="AN267" s="117" t="n"/>
    </row>
    <row r="268">
      <c r="AM268" s="117" t="n"/>
      <c r="AN268" s="117" t="n"/>
    </row>
    <row r="269">
      <c r="AM269" s="117" t="n"/>
      <c r="AN269" s="117" t="n"/>
    </row>
    <row r="270">
      <c r="AM270" s="117" t="n"/>
      <c r="AN270" s="117" t="n"/>
    </row>
    <row r="271">
      <c r="AM271" s="117" t="n"/>
      <c r="AN271" s="117" t="n"/>
    </row>
    <row r="272">
      <c r="AM272" s="117" t="n"/>
      <c r="AN272" s="117" t="n"/>
    </row>
    <row r="273">
      <c r="AM273" s="117" t="n"/>
      <c r="AN273" s="117" t="n"/>
    </row>
    <row r="274">
      <c r="AM274" s="117" t="n"/>
      <c r="AN274" s="117" t="n"/>
    </row>
    <row r="275">
      <c r="AM275" s="117" t="n"/>
      <c r="AN275" s="117" t="n"/>
    </row>
    <row r="276">
      <c r="AM276" s="117" t="n"/>
      <c r="AN276" s="117" t="n"/>
    </row>
    <row r="277">
      <c r="AM277" s="117" t="n"/>
      <c r="AN277" s="117" t="n"/>
    </row>
    <row r="278">
      <c r="AM278" s="117" t="n"/>
      <c r="AN278" s="117" t="n"/>
    </row>
    <row r="279">
      <c r="AM279" s="117" t="n"/>
      <c r="AN279" s="117" t="n"/>
    </row>
    <row r="280">
      <c r="AM280" s="117" t="n"/>
      <c r="AN280" s="117" t="n"/>
    </row>
    <row r="281">
      <c r="AM281" s="117" t="n"/>
      <c r="AN281" s="117" t="n"/>
    </row>
    <row r="282">
      <c r="AM282" s="117" t="n"/>
      <c r="AN282" s="117" t="n"/>
    </row>
    <row r="283">
      <c r="AM283" s="117" t="n"/>
      <c r="AN283" s="117" t="n"/>
    </row>
    <row r="284">
      <c r="AM284" s="117" t="n"/>
      <c r="AN284" s="117" t="n"/>
    </row>
    <row r="285">
      <c r="AM285" s="117" t="n"/>
      <c r="AN285" s="117" t="n"/>
    </row>
    <row r="286">
      <c r="AM286" s="117" t="n"/>
      <c r="AN286" s="117" t="n"/>
    </row>
    <row r="287">
      <c r="AM287" s="117" t="n"/>
      <c r="AN287" s="117" t="n"/>
    </row>
    <row r="288">
      <c r="AM288" s="117" t="n"/>
      <c r="AN288" s="117" t="n"/>
    </row>
    <row r="289">
      <c r="AM289" s="117" t="n"/>
      <c r="AN289" s="117" t="n"/>
    </row>
    <row r="290">
      <c r="AM290" s="117" t="n"/>
      <c r="AN290" s="117" t="n"/>
    </row>
    <row r="291">
      <c r="AM291" s="117" t="n"/>
      <c r="AN291" s="117" t="n"/>
    </row>
    <row r="292">
      <c r="AM292" s="117" t="n"/>
      <c r="AN292" s="117" t="n"/>
    </row>
    <row r="293">
      <c r="AM293" s="117" t="n"/>
      <c r="AN293" s="117" t="n"/>
    </row>
    <row r="294">
      <c r="AM294" s="117" t="n"/>
      <c r="AN294" s="117" t="n"/>
    </row>
    <row r="295">
      <c r="AM295" s="117" t="n"/>
      <c r="AN295" s="117" t="n"/>
    </row>
    <row r="296">
      <c r="AM296" s="117" t="n"/>
      <c r="AN296" s="117" t="n"/>
    </row>
    <row r="297">
      <c r="AM297" s="117" t="n"/>
      <c r="AN297" s="117" t="n"/>
    </row>
    <row r="298">
      <c r="AM298" s="117" t="n"/>
      <c r="AN298" s="117" t="n"/>
    </row>
    <row r="299">
      <c r="AM299" s="117" t="n"/>
      <c r="AN299" s="117" t="n"/>
    </row>
    <row r="300">
      <c r="AM300" s="117" t="n"/>
      <c r="AN300" s="117" t="n"/>
    </row>
    <row r="301">
      <c r="AM301" s="117" t="n"/>
      <c r="AN301" s="117" t="n"/>
    </row>
    <row r="302">
      <c r="AM302" s="117" t="n"/>
      <c r="AN302" s="117" t="n"/>
    </row>
    <row r="303">
      <c r="AM303" s="117" t="n"/>
      <c r="AN303" s="117" t="n"/>
    </row>
  </sheetData>
  <pageMargins left="0.7" right="0.7" top="0.75" bottom="0.75" header="0.3" footer="0.3"/>
  <pageSetup orientation="portrait"/>
</worksheet>
</file>

<file path=xl/worksheets/sheet3.xml><?xml version="1.0" encoding="utf-8"?>
<worksheet xmlns="http://schemas.openxmlformats.org/spreadsheetml/2006/main">
  <sheetPr codeName="wrk_DStats_EX1">
    <outlinePr summaryBelow="1" summaryRight="1"/>
    <pageSetUpPr/>
  </sheetPr>
  <dimension ref="A1:AZ303"/>
  <sheetViews>
    <sheetView showGridLines="0" workbookViewId="0">
      <selection activeCell="A1" sqref="A1"/>
    </sheetView>
  </sheetViews>
  <sheetFormatPr baseColWidth="8" defaultColWidth="8.77734375" defaultRowHeight="14.4"/>
  <cols>
    <col width="20.6640625" customWidth="1" min="2" max="2"/>
    <col width="2.6640625" customWidth="1" min="3" max="3"/>
    <col width="15.6640625" customWidth="1" min="4" max="8"/>
    <col width="2.6640625" customWidth="1" min="9" max="9"/>
    <col width="15.6640625" customWidth="1" min="10" max="14"/>
    <col width="2.6640625" customWidth="1" min="15" max="15"/>
    <col width="15.6640625" customWidth="1" min="16" max="20"/>
    <col width="2.6640625" customWidth="1" min="21" max="21"/>
    <col width="15.6640625" customWidth="1" min="22" max="26"/>
    <col width="2.6640625" customWidth="1" min="27" max="27"/>
    <col width="8.6640625" customWidth="1" min="31" max="31"/>
    <col width="37.44140625" customWidth="1" min="32" max="32"/>
    <col width="46.6640625" bestFit="1" customWidth="1" min="33" max="33"/>
    <col width="15.6640625" customWidth="1" min="34" max="35"/>
    <col width="5.6640625" customWidth="1" min="36" max="36"/>
    <col width="8.6640625" customWidth="1" min="37" max="37"/>
    <col width="36.6640625" customWidth="1" min="38" max="38"/>
    <col width="46.6640625" customWidth="1" min="39" max="39"/>
    <col width="15.6640625" customWidth="1" min="40" max="40"/>
    <col width="5.6640625" customWidth="1" min="41" max="41"/>
    <col width="8.6640625" customWidth="1" min="42" max="42"/>
    <col width="30.6640625" customWidth="1" min="43" max="44"/>
    <col width="12.6640625" customWidth="1" min="45" max="47"/>
    <col width="15.6640625" customWidth="1" min="49" max="54"/>
  </cols>
  <sheetData>
    <row r="1" hidden="1"/>
    <row r="2" hidden="1"/>
    <row r="3" hidden="1"/>
    <row r="4" hidden="1"/>
    <row r="5" hidden="1"/>
    <row r="6" hidden="1"/>
    <row r="7" hidden="1"/>
    <row r="8" hidden="1"/>
    <row r="9" hidden="1"/>
    <row r="10" hidden="1"/>
    <row r="11" hidden="1"/>
    <row r="12" hidden="1"/>
    <row r="13" hidden="1"/>
    <row r="14" ht="15" customHeight="1" thickBot="1"/>
    <row r="15" ht="18.6" customHeight="1" thickBot="1">
      <c r="B15" s="1" t="n"/>
      <c r="C15" s="2" t="n"/>
      <c r="D15" s="114" t="inlineStr">
        <is>
          <t>RxAdvance HTA Groups Rebate1 - M003</t>
        </is>
      </c>
      <c r="E15" s="2" t="n"/>
      <c r="F15" s="2" t="n"/>
      <c r="G15" s="2" t="n"/>
      <c r="H15" s="2" t="n"/>
      <c r="I15" s="2" t="n"/>
      <c r="J15" s="2" t="n"/>
      <c r="K15" s="2" t="n"/>
      <c r="L15" s="2" t="n"/>
      <c r="M15" s="2" t="n"/>
      <c r="N15" s="2" t="n"/>
      <c r="O15" s="2" t="n"/>
      <c r="P15" s="2" t="n"/>
      <c r="Q15" s="2" t="n"/>
      <c r="R15" s="2" t="n"/>
      <c r="S15" s="2" t="n"/>
      <c r="T15" s="2" t="n"/>
      <c r="U15" s="2" t="n"/>
      <c r="V15" s="2" t="n"/>
      <c r="W15" s="2" t="n"/>
      <c r="X15" s="2" t="n"/>
      <c r="Y15" s="2" t="n"/>
      <c r="Z15" s="2" t="n"/>
      <c r="AA15" s="2" t="n"/>
      <c r="AB15" s="2" t="n"/>
      <c r="AC15" s="2" t="n"/>
      <c r="AD15" s="2" t="n"/>
      <c r="AE15" s="2" t="n"/>
      <c r="AF15" s="2" t="n"/>
      <c r="AG15" s="2" t="n"/>
      <c r="AH15" s="2" t="n"/>
      <c r="AI15" s="2" t="n"/>
      <c r="AJ15" s="2" t="n"/>
      <c r="AK15" s="2" t="n"/>
      <c r="AL15" s="2" t="n"/>
      <c r="AM15" s="2" t="n"/>
      <c r="AN15" s="3" t="n"/>
    </row>
    <row r="16" ht="15" customHeight="1" thickBot="1"/>
    <row r="17" ht="15" customHeight="1" thickBot="1">
      <c r="B17" s="4" t="n"/>
      <c r="C17" s="4" t="inlineStr">
        <is>
          <t>Start Date:</t>
        </is>
      </c>
      <c r="D17" s="115" t="inlineStr">
        <is>
          <t>01/01/2025</t>
        </is>
      </c>
      <c r="AD17" s="4" t="n"/>
      <c r="AE17" s="4" t="n"/>
      <c r="AF17" s="6" t="n">
        <v>2029</v>
      </c>
    </row>
    <row r="18">
      <c r="B18" s="4" t="n"/>
      <c r="C18" s="4" t="inlineStr">
        <is>
          <t>End Date:</t>
        </is>
      </c>
      <c r="D18" s="116" t="inlineStr">
        <is>
          <t>11/30/2025</t>
        </is>
      </c>
      <c r="AJ18" s="117" t="n"/>
    </row>
    <row r="19" ht="15" customHeight="1" thickBot="1">
      <c r="B19" s="4" t="n"/>
      <c r="C19" s="4" t="inlineStr">
        <is>
          <t>Total Months:</t>
        </is>
      </c>
      <c r="D19" s="9" t="n">
        <v>11</v>
      </c>
    </row>
    <row r="20" ht="15" customHeight="1" thickBot="1"/>
    <row r="21" ht="15" customHeight="1" thickBot="1">
      <c r="B21" s="10" t="n"/>
      <c r="C21" s="10" t="n"/>
      <c r="D21" s="11" t="inlineStr">
        <is>
          <t xml:space="preserve">Base Yr Claims </t>
        </is>
      </c>
      <c r="E21" s="12" t="n"/>
      <c r="F21" s="12" t="n"/>
      <c r="G21" s="13" t="n"/>
      <c r="H21" s="14" t="n"/>
      <c r="AE21" s="11" t="inlineStr">
        <is>
          <t>Forecast based on time period: 2029</t>
        </is>
      </c>
      <c r="AF21" s="12" t="n"/>
      <c r="AG21" s="12" t="n"/>
      <c r="AH21" s="12" t="n"/>
      <c r="AI21" s="12" t="n"/>
      <c r="AJ21" s="12" t="n"/>
      <c r="AK21" s="12" t="n"/>
      <c r="AL21" s="12" t="n"/>
      <c r="AM21" s="15" t="n"/>
      <c r="AN21" s="15" t="n"/>
    </row>
    <row r="22" ht="15" customHeight="1" thickBot="1">
      <c r="B22" s="10" t="n"/>
      <c r="C22" s="10" t="n"/>
      <c r="D22" s="16" t="n"/>
      <c r="E22" s="16" t="n"/>
      <c r="F22" s="16" t="n"/>
      <c r="G22" s="17" t="n"/>
      <c r="H22" s="18" t="n"/>
    </row>
    <row r="23" ht="15" customHeight="1" thickBot="1">
      <c r="B23" s="19" t="n"/>
      <c r="C23" s="10" t="n"/>
      <c r="D23" s="20" t="inlineStr">
        <is>
          <t>w Exclusions</t>
        </is>
      </c>
      <c r="E23" s="21" t="n"/>
      <c r="F23" s="21" t="n"/>
      <c r="G23" s="21" t="n"/>
      <c r="H23" s="22" t="n"/>
      <c r="AE23" s="20" t="inlineStr">
        <is>
          <t>Overall - Rebatable</t>
        </is>
      </c>
      <c r="AF23" s="21" t="n"/>
      <c r="AG23" s="21" t="n"/>
      <c r="AH23" s="23" t="n"/>
      <c r="AI23" s="23" t="n"/>
      <c r="AK23" s="24" t="inlineStr">
        <is>
          <t>Overall - Non Rebatable (Brand Only)</t>
        </is>
      </c>
      <c r="AL23" s="25" t="n"/>
      <c r="AM23" s="25" t="n"/>
      <c r="AN23" s="26" t="n"/>
    </row>
    <row r="24" ht="30.3" customHeight="1" thickBot="1">
      <c r="B24" s="27" t="inlineStr">
        <is>
          <t>Brand</t>
        </is>
      </c>
      <c r="C24" s="10" t="n"/>
      <c r="D24" s="28" t="inlineStr">
        <is>
          <t>Rx Count</t>
        </is>
      </c>
      <c r="E24" s="29" t="inlineStr">
        <is>
          <t>Quantity</t>
        </is>
      </c>
      <c r="F24" s="29" t="inlineStr">
        <is>
          <t>Days Supply</t>
        </is>
      </c>
      <c r="G24" s="29" t="inlineStr">
        <is>
          <t>Avg Qnty</t>
        </is>
      </c>
      <c r="H24" s="30" t="inlineStr">
        <is>
          <t>Avg DS</t>
        </is>
      </c>
      <c r="I24" s="31" t="n"/>
      <c r="J24" s="31" t="n"/>
      <c r="K24" s="31" t="n"/>
      <c r="L24" s="31" t="n"/>
      <c r="M24" s="31" t="n"/>
      <c r="N24" s="31" t="n"/>
      <c r="O24" s="31" t="n"/>
      <c r="P24" s="31" t="n"/>
      <c r="Q24" s="31" t="n"/>
      <c r="R24" s="31" t="n"/>
      <c r="S24" s="31" t="n"/>
      <c r="T24" s="31" t="n"/>
      <c r="U24" s="31" t="n"/>
      <c r="V24" s="31" t="n"/>
      <c r="W24" s="31" t="n"/>
      <c r="X24" s="31" t="n"/>
      <c r="Y24" s="31" t="n"/>
      <c r="Z24" s="31" t="n"/>
      <c r="AA24" s="31" t="n"/>
      <c r="AE24" s="32" t="inlineStr">
        <is>
          <t>Rank</t>
        </is>
      </c>
      <c r="AF24" s="33" t="inlineStr">
        <is>
          <t>Drug Name</t>
        </is>
      </c>
      <c r="AG24" s="33" t="inlineStr">
        <is>
          <t>Therapeutic Class</t>
        </is>
      </c>
      <c r="AH24" s="33" t="inlineStr">
        <is>
          <t>Total Rebates</t>
        </is>
      </c>
      <c r="AI24" s="34" t="inlineStr">
        <is>
          <t>Scripts</t>
        </is>
      </c>
      <c r="AK24" s="35" t="inlineStr">
        <is>
          <t>Rank</t>
        </is>
      </c>
      <c r="AL24" s="36" t="inlineStr">
        <is>
          <t>Drug Name</t>
        </is>
      </c>
      <c r="AM24" s="36" t="inlineStr">
        <is>
          <t>Therapeutic Class</t>
        </is>
      </c>
      <c r="AN24" s="37" t="inlineStr">
        <is>
          <t>Scripts</t>
        </is>
      </c>
    </row>
    <row r="25">
      <c r="B25" s="38" t="inlineStr">
        <is>
          <t>Retail 30</t>
        </is>
      </c>
      <c r="C25" s="10" t="n"/>
      <c r="D25" s="39" t="n">
        <v>44407</v>
      </c>
      <c r="E25" s="40" t="n">
        <v>1305880.3</v>
      </c>
      <c r="F25" s="40" t="n">
        <v>1071061</v>
      </c>
      <c r="G25" s="41" t="n">
        <v>29.40708221676763</v>
      </c>
      <c r="H25" s="42" t="n">
        <v>24.11919292003513</v>
      </c>
      <c r="I25" s="31" t="n"/>
      <c r="J25" s="31" t="n"/>
      <c r="K25" s="31" t="n"/>
      <c r="L25" s="31" t="n"/>
      <c r="M25" s="31" t="n"/>
      <c r="N25" s="31" t="n"/>
      <c r="O25" s="31" t="n"/>
      <c r="P25" s="31" t="n"/>
      <c r="Q25" s="31" t="n"/>
      <c r="R25" s="31" t="n"/>
      <c r="S25" s="31" t="n"/>
      <c r="T25" s="31" t="n"/>
      <c r="U25" s="31" t="n"/>
      <c r="V25" s="31" t="n"/>
      <c r="W25" s="31" t="n"/>
      <c r="X25" s="31" t="n"/>
      <c r="Y25" s="31" t="n"/>
      <c r="Z25" s="31" t="n"/>
      <c r="AA25" s="31" t="n"/>
      <c r="AE25" s="118" t="n">
        <v>1</v>
      </c>
      <c r="AF25" s="44" t="inlineStr">
        <is>
          <t>MOUNJARO</t>
        </is>
      </c>
      <c r="AG25" s="44" t="inlineStr">
        <is>
          <t>GLUCAGON-LIKE PEPTIDE-1 AGONISTS (GLP1)</t>
        </is>
      </c>
      <c r="AH25" s="119" t="n">
        <v>7751805.566195067</v>
      </c>
      <c r="AI25" s="46" t="n">
        <v>10641.30259354557</v>
      </c>
      <c r="AK25" s="120" t="n">
        <v>1</v>
      </c>
      <c r="AL25" s="44" t="inlineStr">
        <is>
          <t>OZEMPIC</t>
        </is>
      </c>
      <c r="AM25" s="44" t="inlineStr">
        <is>
          <t>GLUCAGON-LIKE PEPTIDE-1 AGONISTS (GLP1)</t>
        </is>
      </c>
      <c r="AN25" s="48" t="n">
        <v>5195.096501583942</v>
      </c>
    </row>
    <row r="26">
      <c r="B26" s="49" t="inlineStr">
        <is>
          <t>Retail 90</t>
        </is>
      </c>
      <c r="C26" s="10" t="n"/>
      <c r="D26" s="50" t="n">
        <v>17744</v>
      </c>
      <c r="E26" s="51" t="n">
        <v>1740177.99</v>
      </c>
      <c r="F26" s="51" t="n">
        <v>1314049</v>
      </c>
      <c r="G26" s="52" t="n">
        <v>98.07134749774572</v>
      </c>
      <c r="H26" s="53" t="n">
        <v>74.05596257889991</v>
      </c>
      <c r="I26" s="31" t="n"/>
      <c r="J26" s="31" t="n"/>
      <c r="K26" s="31" t="n"/>
      <c r="L26" s="31" t="n"/>
      <c r="M26" s="31" t="n"/>
      <c r="N26" s="31" t="n"/>
      <c r="O26" s="31" t="n"/>
      <c r="P26" s="31" t="n"/>
      <c r="Q26" s="31" t="n"/>
      <c r="R26" s="31" t="n"/>
      <c r="S26" s="31" t="n"/>
      <c r="T26" s="31" t="n"/>
      <c r="U26" s="31" t="n"/>
      <c r="V26" s="31" t="n"/>
      <c r="W26" s="31" t="n"/>
      <c r="X26" s="31" t="n"/>
      <c r="Y26" s="31" t="n"/>
      <c r="Z26" s="31" t="n"/>
      <c r="AA26" s="31" t="n"/>
      <c r="AE26" s="121" t="n">
        <v>2</v>
      </c>
      <c r="AF26" t="inlineStr">
        <is>
          <t>BREZTRI AEROSPHERE</t>
        </is>
      </c>
      <c r="AG26" t="inlineStr">
        <is>
          <t>LABA LAMA COMBO</t>
        </is>
      </c>
      <c r="AH26" s="122" t="n">
        <v>777838.394519011</v>
      </c>
      <c r="AI26" s="56" t="n">
        <v>1445.543953873443</v>
      </c>
      <c r="AK26" s="123" t="n">
        <v>2</v>
      </c>
      <c r="AL26" t="inlineStr">
        <is>
          <t>JARDIANCE</t>
        </is>
      </c>
      <c r="AM26" t="inlineStr">
        <is>
          <t>SGLT-2 INHIBITORS &amp; COMBOS</t>
        </is>
      </c>
      <c r="AN26" s="58" t="n">
        <v>8420.772164753418</v>
      </c>
    </row>
    <row r="27" ht="15" customHeight="1" thickBot="1">
      <c r="B27" s="59" t="inlineStr">
        <is>
          <t>Mail</t>
        </is>
      </c>
      <c r="C27" s="10" t="n"/>
      <c r="D27" s="60" t="n">
        <v>304</v>
      </c>
      <c r="E27" s="61" t="n">
        <v>35974</v>
      </c>
      <c r="F27" s="61" t="n">
        <v>26733</v>
      </c>
      <c r="G27" s="62" t="n">
        <v>118.3355263157895</v>
      </c>
      <c r="H27" s="63" t="n">
        <v>87.9375</v>
      </c>
      <c r="I27" s="31" t="n"/>
      <c r="J27" s="31" t="n"/>
      <c r="K27" s="31" t="n"/>
      <c r="L27" s="31" t="n"/>
      <c r="M27" s="31" t="n"/>
      <c r="N27" s="31" t="n"/>
      <c r="O27" s="31" t="n"/>
      <c r="P27" s="31" t="n"/>
      <c r="Q27" s="31" t="n"/>
      <c r="R27" s="31" t="n"/>
      <c r="S27" s="31" t="n"/>
      <c r="T27" s="31" t="n"/>
      <c r="U27" s="31" t="n"/>
      <c r="V27" s="31" t="n"/>
      <c r="W27" s="31" t="n"/>
      <c r="X27" s="31" t="n"/>
      <c r="Y27" s="31" t="n"/>
      <c r="Z27" s="31" t="n"/>
      <c r="AA27" s="31" t="n"/>
      <c r="AE27" s="121" t="n">
        <v>3</v>
      </c>
      <c r="AF27" t="inlineStr">
        <is>
          <t>TRULICITY</t>
        </is>
      </c>
      <c r="AG27" t="inlineStr">
        <is>
          <t>GLUCAGON-LIKE PEPTIDE-1 AGONISTS (GLP1)</t>
        </is>
      </c>
      <c r="AH27" s="122" t="n">
        <v>728342.3037163914</v>
      </c>
      <c r="AI27" s="56" t="n">
        <v>1028.254351944796</v>
      </c>
      <c r="AK27" s="123" t="n">
        <v>3</v>
      </c>
      <c r="AL27" t="inlineStr">
        <is>
          <t>TRELEGY ELLIPTA</t>
        </is>
      </c>
      <c r="AM27" t="inlineStr">
        <is>
          <t>LABA LAMA COMBO</t>
        </is>
      </c>
      <c r="AN27" s="58" t="n">
        <v>3349.173526006324</v>
      </c>
    </row>
    <row r="28" ht="15" customHeight="1" thickTop="1">
      <c r="B28" s="64" t="inlineStr">
        <is>
          <t>Non-Specialty</t>
        </is>
      </c>
      <c r="C28" s="10" t="n"/>
      <c r="D28" s="65" t="n">
        <v>62455</v>
      </c>
      <c r="E28" s="66" t="n">
        <v>3082032.29</v>
      </c>
      <c r="F28" s="66" t="n">
        <v>2411843</v>
      </c>
      <c r="G28" s="67" t="n">
        <v>49.34804723400849</v>
      </c>
      <c r="H28" s="68" t="n">
        <v>38.61729245056441</v>
      </c>
      <c r="I28" s="31" t="n"/>
      <c r="J28" s="31" t="n"/>
      <c r="K28" s="31" t="n"/>
      <c r="L28" s="31" t="n"/>
      <c r="M28" s="31" t="n"/>
      <c r="N28" s="31" t="n"/>
      <c r="O28" s="31" t="n"/>
      <c r="P28" s="31" t="n"/>
      <c r="Q28" s="31" t="n"/>
      <c r="R28" s="31" t="n"/>
      <c r="S28" s="31" t="n"/>
      <c r="T28" s="31" t="n"/>
      <c r="U28" s="31" t="n"/>
      <c r="V28" s="31" t="n"/>
      <c r="W28" s="31" t="n"/>
      <c r="X28" s="31" t="n"/>
      <c r="Y28" s="31" t="n"/>
      <c r="Z28" s="31" t="n"/>
      <c r="AA28" s="31" t="n"/>
      <c r="AE28" s="121" t="n">
        <v>4</v>
      </c>
      <c r="AF28" t="inlineStr">
        <is>
          <t>GEMTESA</t>
        </is>
      </c>
      <c r="AG28" t="inlineStr">
        <is>
          <t>URINARY ANTISPASMODICS &amp; OAB DRUGS</t>
        </is>
      </c>
      <c r="AH28" s="122" t="n">
        <v>453716.6716498772</v>
      </c>
      <c r="AI28" s="56" t="n">
        <v>747.6050199721097</v>
      </c>
      <c r="AK28" s="123" t="n">
        <v>4</v>
      </c>
      <c r="AL28" t="inlineStr">
        <is>
          <t>ENBREL SURECLICK</t>
        </is>
      </c>
      <c r="AM28" t="inlineStr">
        <is>
          <t>IMMUNOMODULATORS</t>
        </is>
      </c>
      <c r="AN28" s="58" t="n">
        <v>160.8933221752015</v>
      </c>
    </row>
    <row r="29" ht="15" customHeight="1" thickBot="1">
      <c r="B29" s="59" t="inlineStr">
        <is>
          <t>Specialty</t>
        </is>
      </c>
      <c r="C29" s="10" t="n"/>
      <c r="D29" s="60" t="n">
        <v>485</v>
      </c>
      <c r="E29" s="61" t="n">
        <v>18752</v>
      </c>
      <c r="F29" s="61" t="n">
        <v>16264</v>
      </c>
      <c r="G29" s="62" t="n">
        <v>38.66391752577319</v>
      </c>
      <c r="H29" s="63" t="n">
        <v>33.5340206185567</v>
      </c>
      <c r="I29" s="31" t="n"/>
      <c r="J29" s="31" t="n"/>
      <c r="K29" s="31" t="n"/>
      <c r="L29" s="31" t="n"/>
      <c r="M29" s="31" t="n"/>
      <c r="N29" s="31" t="n"/>
      <c r="O29" s="31" t="n"/>
      <c r="P29" s="31" t="n"/>
      <c r="Q29" s="31" t="n"/>
      <c r="R29" s="31" t="n"/>
      <c r="S29" s="31" t="n"/>
      <c r="T29" s="31" t="n"/>
      <c r="U29" s="31" t="n"/>
      <c r="V29" s="31" t="n"/>
      <c r="W29" s="31" t="n"/>
      <c r="X29" s="31" t="n"/>
      <c r="Y29" s="31" t="n"/>
      <c r="Z29" s="31" t="n"/>
      <c r="AA29" s="31" t="n"/>
      <c r="AE29" s="121" t="n">
        <v>5</v>
      </c>
      <c r="AF29" t="inlineStr">
        <is>
          <t>CREON</t>
        </is>
      </c>
      <c r="AG29" t="inlineStr">
        <is>
          <t>DIGESTIVE ENZYMES</t>
        </is>
      </c>
      <c r="AH29" s="122" t="n">
        <v>232740.7056095825</v>
      </c>
      <c r="AI29" s="56" t="n">
        <v>212.4125022456222</v>
      </c>
      <c r="AK29" s="123" t="n">
        <v>5</v>
      </c>
      <c r="AL29" t="inlineStr">
        <is>
          <t>RYBELSUS</t>
        </is>
      </c>
      <c r="AM29" t="inlineStr">
        <is>
          <t>GLUCAGON-LIKE PEPTIDE-1 AGONISTS (GLP1)</t>
        </is>
      </c>
      <c r="AN29" s="58" t="n">
        <v>896.2858789679237</v>
      </c>
    </row>
    <row r="30" ht="15.6" customHeight="1" thickBot="1" thickTop="1">
      <c r="B30" s="69" t="inlineStr">
        <is>
          <t>Total</t>
        </is>
      </c>
      <c r="C30" s="10" t="n"/>
      <c r="D30" s="70" t="n">
        <v>62939.99999999999</v>
      </c>
      <c r="E30" s="71" t="n">
        <v>3100784.29</v>
      </c>
      <c r="F30" s="71" t="n">
        <v>2428107</v>
      </c>
      <c r="G30" s="72" t="n">
        <v>49.26571798538291</v>
      </c>
      <c r="H30" s="73" t="n">
        <v>38.57812202097236</v>
      </c>
      <c r="I30" s="31" t="n"/>
      <c r="J30" s="31" t="n"/>
      <c r="K30" s="31" t="n"/>
      <c r="L30" s="31" t="n"/>
      <c r="M30" s="31" t="n"/>
      <c r="N30" s="31" t="n"/>
      <c r="O30" s="31" t="n"/>
      <c r="P30" s="31" t="n"/>
      <c r="Q30" s="31" t="n"/>
      <c r="R30" s="31" t="n"/>
      <c r="S30" s="31" t="n"/>
      <c r="T30" s="31" t="n"/>
      <c r="U30" s="31" t="n"/>
      <c r="V30" s="31" t="n"/>
      <c r="W30" s="31" t="n"/>
      <c r="X30" s="31" t="n"/>
      <c r="Y30" s="31" t="n"/>
      <c r="Z30" s="31" t="n"/>
      <c r="AA30" s="31" t="n"/>
      <c r="AE30" s="121" t="n">
        <v>6</v>
      </c>
      <c r="AF30" t="inlineStr">
        <is>
          <t>ANORO ELLIPTA</t>
        </is>
      </c>
      <c r="AG30" t="inlineStr">
        <is>
          <t>LABA LAMA COMBO</t>
        </is>
      </c>
      <c r="AH30" s="122" t="n">
        <v>215435.8497525222</v>
      </c>
      <c r="AI30" s="56" t="n">
        <v>557.7555438461457</v>
      </c>
      <c r="AK30" s="123" t="n">
        <v>6</v>
      </c>
      <c r="AL30" t="inlineStr">
        <is>
          <t>IBRANCE</t>
        </is>
      </c>
      <c r="AM30" t="inlineStr">
        <is>
          <t>ONCOLOGY</t>
        </is>
      </c>
      <c r="AN30" s="58" t="n">
        <v>34.97712223447874</v>
      </c>
    </row>
    <row r="31">
      <c r="B31" s="10" t="n"/>
      <c r="C31" s="10" t="n"/>
      <c r="D31" s="74" t="n"/>
      <c r="E31" s="74" t="n"/>
      <c r="F31" s="74" t="n"/>
      <c r="G31" s="75" t="n"/>
      <c r="H31" s="76" t="n"/>
      <c r="I31" s="31" t="n"/>
      <c r="J31" s="31" t="n"/>
      <c r="K31" s="31" t="n"/>
      <c r="L31" s="31" t="n"/>
      <c r="M31" s="31" t="n"/>
      <c r="N31" s="31" t="n"/>
      <c r="O31" s="31" t="n"/>
      <c r="P31" s="31" t="n"/>
      <c r="Q31" s="31" t="n"/>
      <c r="R31" s="31" t="n"/>
      <c r="S31" s="31" t="n"/>
      <c r="T31" s="31" t="n"/>
      <c r="U31" s="31" t="n"/>
      <c r="V31" s="31" t="n"/>
      <c r="W31" s="31" t="n"/>
      <c r="X31" s="31" t="n"/>
      <c r="Y31" s="31" t="n"/>
      <c r="Z31" s="31" t="n"/>
      <c r="AA31" s="31" t="n"/>
      <c r="AE31" s="121" t="n">
        <v>7</v>
      </c>
      <c r="AF31" t="inlineStr">
        <is>
          <t>FREESTYLE LIBRE 3 PLUS/SENSOR/GLUCOSE MONITORING SYSTEM</t>
        </is>
      </c>
      <c r="AG31" t="inlineStr">
        <is>
          <t>DIABETES MONITORING AND TESTING SUPPLIES</t>
        </is>
      </c>
      <c r="AH31" s="122" t="n">
        <v>198692.1838050455</v>
      </c>
      <c r="AI31" s="56" t="n">
        <v>2035.572267133469</v>
      </c>
      <c r="AK31" s="123" t="n">
        <v>7</v>
      </c>
      <c r="AL31" t="inlineStr">
        <is>
          <t>IMBRUVICA</t>
        </is>
      </c>
      <c r="AM31" t="inlineStr">
        <is>
          <t>ONCOLOGY</t>
        </is>
      </c>
      <c r="AN31" s="58" t="n">
        <v>61.78711170375239</v>
      </c>
      <c r="AW31" s="77" t="n"/>
      <c r="AX31" s="78" t="n"/>
      <c r="AY31" s="78" t="n"/>
      <c r="AZ31" s="78" t="n"/>
    </row>
    <row r="32" ht="15" customHeight="1" thickBot="1">
      <c r="B32" s="27" t="inlineStr">
        <is>
          <t>Generic</t>
        </is>
      </c>
      <c r="C32" s="10" t="n"/>
      <c r="D32" s="79" t="n"/>
      <c r="E32" s="79" t="n"/>
      <c r="F32" s="79" t="n"/>
      <c r="G32" s="79" t="n"/>
      <c r="H32" s="80" t="n"/>
      <c r="I32" s="31" t="n"/>
      <c r="J32" s="31" t="n"/>
      <c r="K32" s="31" t="n"/>
      <c r="L32" s="31" t="n"/>
      <c r="M32" s="31" t="n"/>
      <c r="N32" s="31" t="n"/>
      <c r="O32" s="31" t="n"/>
      <c r="P32" s="31" t="n"/>
      <c r="Q32" s="31" t="n"/>
      <c r="R32" s="31" t="n"/>
      <c r="S32" s="31" t="n"/>
      <c r="T32" s="31" t="n"/>
      <c r="U32" s="31" t="n"/>
      <c r="V32" s="31" t="n"/>
      <c r="W32" s="31" t="n"/>
      <c r="X32" s="31" t="n"/>
      <c r="Y32" s="31" t="n"/>
      <c r="Z32" s="31" t="n"/>
      <c r="AA32" s="31" t="n"/>
      <c r="AE32" s="121" t="n">
        <v>8</v>
      </c>
      <c r="AF32" t="inlineStr">
        <is>
          <t>STIOLTO RESPIMAT</t>
        </is>
      </c>
      <c r="AG32" t="inlineStr">
        <is>
          <t>LABA LAMA COMBO</t>
        </is>
      </c>
      <c r="AH32" s="122" t="n">
        <v>197754.9873629129</v>
      </c>
      <c r="AI32" s="56" t="n">
        <v>463.3661441183365</v>
      </c>
      <c r="AK32" s="123" t="n">
        <v>8</v>
      </c>
      <c r="AL32" t="inlineStr">
        <is>
          <t>XTANDI</t>
        </is>
      </c>
      <c r="AM32" t="inlineStr">
        <is>
          <t>ONCOLOGY</t>
        </is>
      </c>
      <c r="AN32" s="58" t="n">
        <v>31.36781874262045</v>
      </c>
    </row>
    <row r="33">
      <c r="B33" s="38" t="inlineStr">
        <is>
          <t>Retail 30</t>
        </is>
      </c>
      <c r="C33" s="10" t="n"/>
      <c r="D33" s="39" t="n">
        <v>214100</v>
      </c>
      <c r="E33" s="40" t="n">
        <v>11823157.497</v>
      </c>
      <c r="F33" s="40" t="n">
        <v>5157527</v>
      </c>
      <c r="G33" s="41" t="n">
        <v>55.22259456795889</v>
      </c>
      <c r="H33" s="42" t="n">
        <v>24.08933675852406</v>
      </c>
      <c r="I33" s="31" t="n"/>
      <c r="J33" s="31" t="n"/>
      <c r="K33" s="31" t="n"/>
      <c r="L33" s="31" t="n"/>
      <c r="M33" s="31" t="n"/>
      <c r="N33" s="31" t="n"/>
      <c r="O33" s="31" t="n"/>
      <c r="P33" s="31" t="n"/>
      <c r="Q33" s="31" t="n"/>
      <c r="R33" s="31" t="n"/>
      <c r="S33" s="31" t="n"/>
      <c r="T33" s="31" t="n"/>
      <c r="U33" s="31" t="n"/>
      <c r="V33" s="31" t="n"/>
      <c r="W33" s="31" t="n"/>
      <c r="X33" s="31" t="n"/>
      <c r="Y33" s="31" t="n"/>
      <c r="Z33" s="31" t="n"/>
      <c r="AA33" s="31" t="n"/>
      <c r="AE33" s="121" t="n">
        <v>9</v>
      </c>
      <c r="AF33" t="inlineStr">
        <is>
          <t>SPIRIVA RESPIMAT</t>
        </is>
      </c>
      <c r="AG33" t="inlineStr">
        <is>
          <t>LAMA/ACH</t>
        </is>
      </c>
      <c r="AH33" s="122" t="n">
        <v>141906.624262088</v>
      </c>
      <c r="AI33" s="56" t="n">
        <v>376.6467564756085</v>
      </c>
      <c r="AK33" s="123" t="n">
        <v>9</v>
      </c>
      <c r="AL33" t="inlineStr">
        <is>
          <t>OFEV</t>
        </is>
      </c>
      <c r="AM33" t="inlineStr">
        <is>
          <t>PULMONARY FIBROSIS AGENTS</t>
        </is>
      </c>
      <c r="AN33" s="58" t="n">
        <v>16.15672088103491</v>
      </c>
    </row>
    <row r="34">
      <c r="B34" s="49" t="inlineStr">
        <is>
          <t>Retail 90</t>
        </is>
      </c>
      <c r="C34" s="10" t="n"/>
      <c r="D34" s="50" t="n">
        <v>222830</v>
      </c>
      <c r="E34" s="51" t="n">
        <v>23377403.918</v>
      </c>
      <c r="F34" s="51" t="n">
        <v>19385429</v>
      </c>
      <c r="G34" s="52" t="n">
        <v>104.911384993044</v>
      </c>
      <c r="H34" s="53" t="n">
        <v>86.99649508593996</v>
      </c>
      <c r="I34" s="31" t="n"/>
      <c r="J34" s="31" t="n"/>
      <c r="K34" s="31" t="n"/>
      <c r="L34" s="31" t="n"/>
      <c r="M34" s="31" t="n"/>
      <c r="N34" s="31" t="n"/>
      <c r="O34" s="31" t="n"/>
      <c r="P34" s="31" t="n"/>
      <c r="Q34" s="31" t="n"/>
      <c r="R34" s="31" t="n"/>
      <c r="S34" s="31" t="n"/>
      <c r="T34" s="31" t="n"/>
      <c r="U34" s="31" t="n"/>
      <c r="V34" s="31" t="n"/>
      <c r="W34" s="31" t="n"/>
      <c r="X34" s="31" t="n"/>
      <c r="Y34" s="31" t="n"/>
      <c r="Z34" s="31" t="n"/>
      <c r="AA34" s="31" t="n"/>
      <c r="AE34" s="121" t="n">
        <v>10</v>
      </c>
      <c r="AF34" t="inlineStr">
        <is>
          <t>EMGALITY</t>
        </is>
      </c>
      <c r="AG34" t="inlineStr">
        <is>
          <t>MIGRAINE PRODUCTS</t>
        </is>
      </c>
      <c r="AH34" s="122" t="n">
        <v>139069.4066315507</v>
      </c>
      <c r="AI34" s="56" t="n">
        <v>259.2755881015717</v>
      </c>
      <c r="AK34" s="123" t="n">
        <v>10</v>
      </c>
      <c r="AL34" t="inlineStr">
        <is>
          <t>AUSTEDO XR</t>
        </is>
      </c>
      <c r="AM34" t="inlineStr">
        <is>
          <t>MOVEMENT DISORDER DRUG THERAPY</t>
        </is>
      </c>
      <c r="AN34" s="58" t="n">
        <v>29.56202142375365</v>
      </c>
    </row>
    <row r="35" ht="15" customHeight="1" thickBot="1">
      <c r="B35" s="59" t="inlineStr">
        <is>
          <t>Mail</t>
        </is>
      </c>
      <c r="C35" s="10" t="n"/>
      <c r="D35" s="60" t="n">
        <v>3478</v>
      </c>
      <c r="E35" s="61" t="n">
        <v>403509.3</v>
      </c>
      <c r="F35" s="61" t="n">
        <v>308442</v>
      </c>
      <c r="G35" s="62" t="n">
        <v>116.0176250718804</v>
      </c>
      <c r="H35" s="63" t="n">
        <v>88.68372627947096</v>
      </c>
      <c r="I35" s="31" t="n"/>
      <c r="J35" s="31" t="n"/>
      <c r="K35" s="31" t="n"/>
      <c r="L35" s="31" t="n"/>
      <c r="M35" s="31" t="n"/>
      <c r="N35" s="31" t="n"/>
      <c r="O35" s="31" t="n"/>
      <c r="P35" s="31" t="n"/>
      <c r="Q35" s="31" t="n"/>
      <c r="R35" s="31" t="n"/>
      <c r="S35" s="31" t="n"/>
      <c r="T35" s="31" t="n"/>
      <c r="U35" s="31" t="n"/>
      <c r="V35" s="31" t="n"/>
      <c r="W35" s="31" t="n"/>
      <c r="X35" s="31" t="n"/>
      <c r="Y35" s="31" t="n"/>
      <c r="Z35" s="31" t="n"/>
      <c r="AA35" s="31" t="n"/>
      <c r="AE35" s="121" t="n">
        <v>11</v>
      </c>
      <c r="AF35" t="inlineStr">
        <is>
          <t>ZENPEP</t>
        </is>
      </c>
      <c r="AG35" t="inlineStr">
        <is>
          <t>DIGESTIVE ENZYMES</t>
        </is>
      </c>
      <c r="AH35" s="122" t="n">
        <v>138614.8865263913</v>
      </c>
      <c r="AI35" s="56" t="n">
        <v>48.16329992778642</v>
      </c>
      <c r="AK35" s="123" t="n">
        <v>11</v>
      </c>
      <c r="AL35" t="inlineStr">
        <is>
          <t>FLUZONE HIGH-DOSE 2025-2026</t>
        </is>
      </c>
      <c r="AM35" t="inlineStr">
        <is>
          <t>VACCINES</t>
        </is>
      </c>
      <c r="AN35" s="58" t="n">
        <v>4420.085415685923</v>
      </c>
    </row>
    <row r="36" ht="15" customHeight="1" thickTop="1">
      <c r="B36" s="64" t="inlineStr">
        <is>
          <t>Non-Specialty</t>
        </is>
      </c>
      <c r="C36" s="10" t="n"/>
      <c r="D36" s="65" t="n">
        <v>440408</v>
      </c>
      <c r="E36" s="66" t="n">
        <v>35604070.715</v>
      </c>
      <c r="F36" s="66" t="n">
        <v>24851398</v>
      </c>
      <c r="G36" s="67" t="n">
        <v>80.84337867386604</v>
      </c>
      <c r="H36" s="68" t="n">
        <v>56.42812573795208</v>
      </c>
      <c r="I36" s="31" t="n"/>
      <c r="J36" s="31" t="n"/>
      <c r="K36" s="31" t="n"/>
      <c r="L36" s="31" t="n"/>
      <c r="M36" s="31" t="n"/>
      <c r="N36" s="31" t="n"/>
      <c r="O36" s="31" t="n"/>
      <c r="P36" s="31" t="n"/>
      <c r="Q36" s="31" t="n"/>
      <c r="R36" s="31" t="n"/>
      <c r="S36" s="31" t="n"/>
      <c r="T36" s="31" t="n"/>
      <c r="U36" s="31" t="n"/>
      <c r="V36" s="31" t="n"/>
      <c r="W36" s="31" t="n"/>
      <c r="X36" s="31" t="n"/>
      <c r="Y36" s="31" t="n"/>
      <c r="Z36" s="31" t="n"/>
      <c r="AA36" s="31" t="n"/>
      <c r="AE36" s="121" t="n">
        <v>12</v>
      </c>
      <c r="AF36" t="inlineStr">
        <is>
          <t>PAXLOVID</t>
        </is>
      </c>
      <c r="AG36" t="inlineStr">
        <is>
          <t>MISC. ANTIVIRALS</t>
        </is>
      </c>
      <c r="AH36" s="122" t="n">
        <v>123881.0795628932</v>
      </c>
      <c r="AI36" s="56" t="n">
        <v>430.1207812819064</v>
      </c>
      <c r="AK36" s="123" t="n">
        <v>12</v>
      </c>
      <c r="AL36" t="inlineStr">
        <is>
          <t>ELIQUIS</t>
        </is>
      </c>
      <c r="AM36" t="inlineStr">
        <is>
          <t>ORAL ANTICOAGULANTS</t>
        </is>
      </c>
      <c r="AN36" s="58" t="n">
        <v>1095.895799426073</v>
      </c>
    </row>
    <row r="37" ht="15" customHeight="1" thickBot="1">
      <c r="B37" s="59" t="inlineStr">
        <is>
          <t>Specialty</t>
        </is>
      </c>
      <c r="C37" s="10" t="n"/>
      <c r="D37" s="60" t="n">
        <v>0</v>
      </c>
      <c r="E37" s="61" t="n">
        <v>0</v>
      </c>
      <c r="F37" s="61" t="n">
        <v>0</v>
      </c>
      <c r="G37" s="62" t="n">
        <v>0</v>
      </c>
      <c r="H37" s="63" t="n">
        <v>0</v>
      </c>
      <c r="I37" s="31" t="n"/>
      <c r="J37" s="31" t="n"/>
      <c r="K37" s="31" t="n"/>
      <c r="L37" s="31" t="n"/>
      <c r="M37" s="31" t="n"/>
      <c r="N37" s="31" t="n"/>
      <c r="O37" s="31" t="n"/>
      <c r="P37" s="31" t="n"/>
      <c r="Q37" s="31" t="n"/>
      <c r="R37" s="31" t="n"/>
      <c r="S37" s="31" t="n"/>
      <c r="T37" s="31" t="n"/>
      <c r="U37" s="31" t="n"/>
      <c r="V37" s="31" t="n"/>
      <c r="W37" s="31" t="n"/>
      <c r="X37" s="31" t="n"/>
      <c r="Y37" s="31" t="n"/>
      <c r="Z37" s="31" t="n"/>
      <c r="AA37" s="31" t="n"/>
      <c r="AE37" s="121" t="n">
        <v>13</v>
      </c>
      <c r="AF37" t="inlineStr">
        <is>
          <t>AIMOVIG</t>
        </is>
      </c>
      <c r="AG37" t="inlineStr">
        <is>
          <t>MIGRAINE PRODUCTS</t>
        </is>
      </c>
      <c r="AH37" s="122" t="n">
        <v>91289.05012820753</v>
      </c>
      <c r="AI37" s="56" t="n">
        <v>197.8287724243206</v>
      </c>
      <c r="AK37" s="123" t="n">
        <v>13</v>
      </c>
      <c r="AL37" t="inlineStr">
        <is>
          <t>SHINGRIX</t>
        </is>
      </c>
      <c r="AM37" t="inlineStr">
        <is>
          <t>VACCINES</t>
        </is>
      </c>
      <c r="AN37" s="58" t="n">
        <v>1332.509857589424</v>
      </c>
    </row>
    <row r="38" ht="15.6" customHeight="1" thickBot="1" thickTop="1">
      <c r="B38" s="69" t="inlineStr">
        <is>
          <t>Total</t>
        </is>
      </c>
      <c r="C38" s="10" t="n"/>
      <c r="D38" s="70" t="n">
        <v>440408</v>
      </c>
      <c r="E38" s="71" t="n">
        <v>35604070.715</v>
      </c>
      <c r="F38" s="71" t="n">
        <v>24851398</v>
      </c>
      <c r="G38" s="72" t="n">
        <v>80.84337867386606</v>
      </c>
      <c r="H38" s="73" t="n">
        <v>56.42812573795208</v>
      </c>
      <c r="I38" s="31" t="n"/>
      <c r="J38" s="31" t="n"/>
      <c r="K38" s="31" t="n"/>
      <c r="L38" s="31" t="n"/>
      <c r="M38" s="31" t="n"/>
      <c r="N38" s="31" t="n"/>
      <c r="O38" s="31" t="n"/>
      <c r="P38" s="31" t="n"/>
      <c r="Q38" s="31" t="n"/>
      <c r="R38" s="31" t="n"/>
      <c r="S38" s="31" t="n"/>
      <c r="T38" s="31" t="n"/>
      <c r="U38" s="31" t="n"/>
      <c r="V38" s="31" t="n"/>
      <c r="W38" s="31" t="n"/>
      <c r="X38" s="31" t="n"/>
      <c r="Y38" s="31" t="n"/>
      <c r="Z38" s="31" t="n"/>
      <c r="AA38" s="31" t="n"/>
      <c r="AE38" s="121" t="n">
        <v>14</v>
      </c>
      <c r="AF38" t="inlineStr">
        <is>
          <t>LOKELMA</t>
        </is>
      </c>
      <c r="AG38" t="inlineStr">
        <is>
          <t>POTASSIUM REMOVING AGENTS</t>
        </is>
      </c>
      <c r="AH38" s="122" t="n">
        <v>84168.98660304656</v>
      </c>
      <c r="AI38" s="56" t="n">
        <v>131.4141574777028</v>
      </c>
      <c r="AK38" s="123" t="n">
        <v>14</v>
      </c>
      <c r="AL38" t="inlineStr">
        <is>
          <t>CALQUENCE</t>
        </is>
      </c>
      <c r="AM38" t="inlineStr">
        <is>
          <t>ONCOLOGY</t>
        </is>
      </c>
      <c r="AN38" s="58" t="n">
        <v>21.06378808082468</v>
      </c>
    </row>
    <row r="39">
      <c r="B39" s="10" t="n"/>
      <c r="C39" s="10" t="n"/>
      <c r="D39" s="74" t="n"/>
      <c r="E39" s="74" t="n"/>
      <c r="F39" s="74" t="n"/>
      <c r="G39" s="75" t="n"/>
      <c r="H39" s="76" t="n"/>
      <c r="I39" s="31" t="n"/>
      <c r="J39" s="31" t="n"/>
      <c r="K39" s="31" t="n"/>
      <c r="L39" s="31" t="n"/>
      <c r="M39" s="31" t="n"/>
      <c r="N39" s="31" t="n"/>
      <c r="O39" s="31" t="n"/>
      <c r="P39" s="31" t="n"/>
      <c r="Q39" s="31" t="n"/>
      <c r="R39" s="31" t="n"/>
      <c r="S39" s="31" t="n"/>
      <c r="T39" s="31" t="n"/>
      <c r="U39" s="31" t="n"/>
      <c r="V39" s="31" t="n"/>
      <c r="W39" s="31" t="n"/>
      <c r="X39" s="31" t="n"/>
      <c r="Y39" s="31" t="n"/>
      <c r="Z39" s="31" t="n"/>
      <c r="AA39" s="31" t="n"/>
      <c r="AE39" s="121" t="n">
        <v>15</v>
      </c>
      <c r="AF39" t="inlineStr">
        <is>
          <t>ROCKLATAN</t>
        </is>
      </c>
      <c r="AG39" t="inlineStr">
        <is>
          <t>OPHTHALMICS - RHO KINASE INHIBITOR &amp; COMBOS</t>
        </is>
      </c>
      <c r="AH39" s="122" t="n">
        <v>77595.17294414854</v>
      </c>
      <c r="AI39" s="56" t="n">
        <v>199.9598321495294</v>
      </c>
      <c r="AK39" s="123" t="n">
        <v>15</v>
      </c>
      <c r="AL39" t="inlineStr">
        <is>
          <t>OTEZLA</t>
        </is>
      </c>
      <c r="AM39" t="inlineStr">
        <is>
          <t>IMMUNOMODULATORS</t>
        </is>
      </c>
      <c r="AN39" s="58" t="n">
        <v>46.688669788426</v>
      </c>
    </row>
    <row r="40" ht="15" customHeight="1" thickBot="1">
      <c r="B40" s="27" t="inlineStr">
        <is>
          <t>Total</t>
        </is>
      </c>
      <c r="C40" s="10" t="n"/>
      <c r="D40" s="79" t="n"/>
      <c r="E40" s="79" t="n"/>
      <c r="F40" s="79" t="n"/>
      <c r="G40" s="79" t="n"/>
      <c r="H40" s="80" t="n"/>
      <c r="I40" s="31" t="n"/>
      <c r="J40" s="31" t="n"/>
      <c r="K40" s="31" t="n"/>
      <c r="L40" s="31" t="n"/>
      <c r="M40" s="31" t="n"/>
      <c r="N40" s="31" t="n"/>
      <c r="O40" s="31" t="n"/>
      <c r="P40" s="31" t="n"/>
      <c r="Q40" s="31" t="n"/>
      <c r="R40" s="31" t="n"/>
      <c r="S40" s="31" t="n"/>
      <c r="T40" s="31" t="n"/>
      <c r="U40" s="31" t="n"/>
      <c r="V40" s="31" t="n"/>
      <c r="W40" s="31" t="n"/>
      <c r="X40" s="31" t="n"/>
      <c r="Y40" s="31" t="n"/>
      <c r="Z40" s="31" t="n"/>
      <c r="AA40" s="31" t="n"/>
      <c r="AE40" s="121" t="n">
        <v>16</v>
      </c>
      <c r="AF40" t="inlineStr">
        <is>
          <t>OMNIPOD 5 DEXCOM G7G6 PODS (GEN 5)</t>
        </is>
      </c>
      <c r="AG40" t="inlineStr">
        <is>
          <t>INSULIN ADMINISTRATION SUPPLIES</t>
        </is>
      </c>
      <c r="AH40" s="122" t="n">
        <v>76410.89018174462</v>
      </c>
      <c r="AI40" s="56" t="n">
        <v>216.7065464595476</v>
      </c>
      <c r="AK40" s="123" t="n">
        <v>16</v>
      </c>
      <c r="AL40" t="inlineStr">
        <is>
          <t>STELARA</t>
        </is>
      </c>
      <c r="AM40" t="inlineStr">
        <is>
          <t>IMMUNOMODULATORS</t>
        </is>
      </c>
      <c r="AN40" s="58" t="n">
        <v>15.49343102427867</v>
      </c>
    </row>
    <row r="41">
      <c r="B41" s="38" t="inlineStr">
        <is>
          <t>Retail 30</t>
        </is>
      </c>
      <c r="C41" s="10" t="n"/>
      <c r="D41" s="39" t="n">
        <v>258507</v>
      </c>
      <c r="E41" s="40" t="n">
        <v>13129037.797</v>
      </c>
      <c r="F41" s="40" t="n">
        <v>6228588</v>
      </c>
      <c r="G41" s="41" t="n">
        <v>50.78793919313596</v>
      </c>
      <c r="H41" s="42" t="n">
        <v>24.09446552704569</v>
      </c>
      <c r="I41" s="31" t="n"/>
      <c r="J41" s="31" t="n"/>
      <c r="K41" s="31" t="n"/>
      <c r="L41" s="31" t="n"/>
      <c r="M41" s="31" t="n"/>
      <c r="N41" s="31" t="n"/>
      <c r="O41" s="31" t="n"/>
      <c r="P41" s="31" t="n"/>
      <c r="Q41" s="31" t="n"/>
      <c r="R41" s="31" t="n"/>
      <c r="S41" s="31" t="n"/>
      <c r="T41" s="31" t="n"/>
      <c r="U41" s="31" t="n"/>
      <c r="V41" s="31" t="n"/>
      <c r="W41" s="31" t="n"/>
      <c r="X41" s="31" t="n"/>
      <c r="Y41" s="31" t="n"/>
      <c r="Z41" s="31" t="n"/>
      <c r="AA41" s="31" t="n"/>
      <c r="AE41" s="121" t="n">
        <v>17</v>
      </c>
      <c r="AF41" t="inlineStr">
        <is>
          <t>TOUJEO SOLOSTAR</t>
        </is>
      </c>
      <c r="AG41" t="inlineStr">
        <is>
          <t>BASAL INSULIN</t>
        </is>
      </c>
      <c r="AH41" s="122" t="n">
        <v>68861.68769616076</v>
      </c>
      <c r="AI41" s="56" t="n">
        <v>110.8071082090793</v>
      </c>
      <c r="AK41" s="123" t="n">
        <v>17</v>
      </c>
      <c r="AL41" t="inlineStr">
        <is>
          <t>VRAYLAR</t>
        </is>
      </c>
      <c r="AM41" t="inlineStr">
        <is>
          <t>ATYPICAL ANTIPSYCHOTICS</t>
        </is>
      </c>
      <c r="AN41" s="58" t="n">
        <v>148.2966943454398</v>
      </c>
    </row>
    <row r="42">
      <c r="B42" s="49" t="inlineStr">
        <is>
          <t>Retail 90</t>
        </is>
      </c>
      <c r="C42" s="10" t="n"/>
      <c r="D42" s="50" t="n">
        <v>240574</v>
      </c>
      <c r="E42" s="51" t="n">
        <v>25117581.908</v>
      </c>
      <c r="F42" s="51" t="n">
        <v>20699478</v>
      </c>
      <c r="G42" s="52" t="n">
        <v>104.4068848171457</v>
      </c>
      <c r="H42" s="53" t="n">
        <v>86.04204111832534</v>
      </c>
      <c r="I42" s="31" t="n"/>
      <c r="J42" s="31" t="n"/>
      <c r="K42" s="31" t="n"/>
      <c r="L42" s="31" t="n"/>
      <c r="M42" s="31" t="n"/>
      <c r="N42" s="31" t="n"/>
      <c r="O42" s="31" t="n"/>
      <c r="P42" s="31" t="n"/>
      <c r="Q42" s="31" t="n"/>
      <c r="R42" s="31" t="n"/>
      <c r="S42" s="31" t="n"/>
      <c r="T42" s="31" t="n"/>
      <c r="U42" s="31" t="n"/>
      <c r="V42" s="31" t="n"/>
      <c r="W42" s="31" t="n"/>
      <c r="X42" s="31" t="n"/>
      <c r="Y42" s="31" t="n"/>
      <c r="Z42" s="31" t="n"/>
      <c r="AA42" s="31" t="n"/>
      <c r="AE42" s="121" t="n">
        <v>18</v>
      </c>
      <c r="AF42" t="inlineStr">
        <is>
          <t>QULIPTA</t>
        </is>
      </c>
      <c r="AG42" t="inlineStr">
        <is>
          <t>MIGRAINE PRODUCTS</t>
        </is>
      </c>
      <c r="AH42" s="122" t="n">
        <v>67286.40026732096</v>
      </c>
      <c r="AI42" s="56" t="n">
        <v>65.9429241414402</v>
      </c>
      <c r="AK42" s="123" t="n">
        <v>18</v>
      </c>
      <c r="AL42" t="inlineStr">
        <is>
          <t>ENBREL MINI</t>
        </is>
      </c>
      <c r="AM42" t="inlineStr">
        <is>
          <t>IMMUNOMODULATORS</t>
        </is>
      </c>
      <c r="AN42" s="58" t="n">
        <v>28.60325727559139</v>
      </c>
    </row>
    <row r="43" ht="15" customHeight="1" thickBot="1">
      <c r="B43" s="59" t="inlineStr">
        <is>
          <t>Mail</t>
        </is>
      </c>
      <c r="C43" s="10" t="n"/>
      <c r="D43" s="60" t="n">
        <v>3782</v>
      </c>
      <c r="E43" s="61" t="n">
        <v>439483.3</v>
      </c>
      <c r="F43" s="61" t="n">
        <v>335175</v>
      </c>
      <c r="G43" s="62" t="n">
        <v>116.2039397144368</v>
      </c>
      <c r="H43" s="63" t="n">
        <v>88.62374405076679</v>
      </c>
      <c r="I43" s="31" t="n"/>
      <c r="J43" s="31" t="n"/>
      <c r="K43" s="31" t="n"/>
      <c r="L43" s="31" t="n"/>
      <c r="M43" s="31" t="n"/>
      <c r="N43" s="31" t="n"/>
      <c r="O43" s="31" t="n"/>
      <c r="P43" s="31" t="n"/>
      <c r="Q43" s="31" t="n"/>
      <c r="R43" s="31" t="n"/>
      <c r="S43" s="31" t="n"/>
      <c r="T43" s="31" t="n"/>
      <c r="U43" s="31" t="n"/>
      <c r="V43" s="31" t="n"/>
      <c r="W43" s="31" t="n"/>
      <c r="X43" s="31" t="n"/>
      <c r="Y43" s="31" t="n"/>
      <c r="Z43" s="31" t="n"/>
      <c r="AA43" s="31" t="n"/>
      <c r="AE43" s="121" t="n">
        <v>19</v>
      </c>
      <c r="AF43" t="inlineStr">
        <is>
          <t>TOUJEO MAX SOLOSTAR</t>
        </is>
      </c>
      <c r="AG43" t="inlineStr">
        <is>
          <t>BASAL INSULIN</t>
        </is>
      </c>
      <c r="AH43" s="122" t="n">
        <v>67270.80184550272</v>
      </c>
      <c r="AI43" s="56" t="n">
        <v>62.16008509289813</v>
      </c>
      <c r="AK43" s="123" t="n">
        <v>19</v>
      </c>
      <c r="AL43" t="inlineStr">
        <is>
          <t>OHTUVAYRE</t>
        </is>
      </c>
      <c r="AM43" t="inlineStr">
        <is>
          <t>PDE3 &amp; PDE4 INHIBITORS</t>
        </is>
      </c>
      <c r="AN43" s="58" t="n">
        <v>79.97220556497759</v>
      </c>
    </row>
    <row r="44" ht="15.6" customHeight="1" thickBot="1" thickTop="1">
      <c r="B44" s="64" t="inlineStr">
        <is>
          <t>Non-Specialty</t>
        </is>
      </c>
      <c r="C44" s="10" t="n"/>
      <c r="D44" s="65" t="n">
        <v>502863</v>
      </c>
      <c r="E44" s="66" t="n">
        <v>38686103.005</v>
      </c>
      <c r="F44" s="66" t="n">
        <v>27263241</v>
      </c>
      <c r="G44" s="67" t="n">
        <v>76.93169512372157</v>
      </c>
      <c r="H44" s="68" t="n">
        <v>54.21604094952303</v>
      </c>
      <c r="I44" s="31" t="n"/>
      <c r="J44" s="31" t="n"/>
      <c r="K44" s="31" t="n"/>
      <c r="L44" s="31" t="n"/>
      <c r="M44" s="31" t="n"/>
      <c r="N44" s="31" t="n"/>
      <c r="O44" s="31" t="n"/>
      <c r="P44" s="31" t="n"/>
      <c r="Q44" s="31" t="n"/>
      <c r="R44" s="31" t="n"/>
      <c r="S44" s="31" t="n"/>
      <c r="T44" s="31" t="n"/>
      <c r="U44" s="31" t="n"/>
      <c r="V44" s="31" t="n"/>
      <c r="W44" s="31" t="n"/>
      <c r="X44" s="31" t="n"/>
      <c r="Y44" s="31" t="n"/>
      <c r="Z44" s="31" t="n"/>
      <c r="AA44" s="31" t="n"/>
      <c r="AE44" s="124" t="n">
        <v>20</v>
      </c>
      <c r="AF44" s="82" t="inlineStr">
        <is>
          <t>XTAMPZA ER</t>
        </is>
      </c>
      <c r="AG44" s="82" t="inlineStr">
        <is>
          <t>OPIOID AGONISTS &amp; COMBOS</t>
        </is>
      </c>
      <c r="AH44" s="125" t="n">
        <v>63144.63416840845</v>
      </c>
      <c r="AI44" s="84" t="n">
        <v>158.3819594713257</v>
      </c>
      <c r="AK44" s="126" t="n">
        <v>20</v>
      </c>
      <c r="AL44" s="86" t="inlineStr">
        <is>
          <t>NUPLAZID</t>
        </is>
      </c>
      <c r="AM44" s="86" t="inlineStr">
        <is>
          <t>ATYPICAL ANTIPSYCHOTICS</t>
        </is>
      </c>
      <c r="AN44" s="87" t="n">
        <v>42.16278564723289</v>
      </c>
    </row>
    <row r="45" ht="15" customHeight="1" thickBot="1">
      <c r="B45" s="59" t="inlineStr">
        <is>
          <t>Specialty</t>
        </is>
      </c>
      <c r="C45" s="10" t="n"/>
      <c r="D45" s="60" t="n">
        <v>485</v>
      </c>
      <c r="E45" s="61" t="n">
        <v>18752</v>
      </c>
      <c r="F45" s="61" t="n">
        <v>16264</v>
      </c>
      <c r="G45" s="62" t="n">
        <v>38.66391752577319</v>
      </c>
      <c r="H45" s="63" t="n">
        <v>33.5340206185567</v>
      </c>
      <c r="I45" s="31" t="n"/>
      <c r="J45" s="31" t="n"/>
      <c r="K45" s="31" t="n"/>
      <c r="L45" s="31" t="n"/>
      <c r="M45" s="31" t="n"/>
      <c r="N45" s="31" t="n"/>
      <c r="O45" s="31" t="n"/>
      <c r="P45" s="31" t="n"/>
      <c r="Q45" s="31" t="n"/>
      <c r="R45" s="31" t="n"/>
      <c r="S45" s="31" t="n"/>
      <c r="T45" s="31" t="n"/>
      <c r="U45" s="31" t="n"/>
      <c r="V45" s="31" t="n"/>
      <c r="W45" s="31" t="n"/>
      <c r="X45" s="31" t="n"/>
      <c r="Y45" s="31" t="n"/>
      <c r="Z45" s="31" t="n"/>
      <c r="AA45" s="31" t="n"/>
    </row>
    <row r="46" ht="15.6" customHeight="1" thickBot="1" thickTop="1">
      <c r="B46" s="69" t="inlineStr">
        <is>
          <t>Total</t>
        </is>
      </c>
      <c r="C46" s="10" t="n"/>
      <c r="D46" s="70" t="n">
        <v>503348</v>
      </c>
      <c r="E46" s="71" t="n">
        <v>38704855.005</v>
      </c>
      <c r="F46" s="71" t="n">
        <v>27279505</v>
      </c>
      <c r="G46" s="72" t="n">
        <v>76.89482228001303</v>
      </c>
      <c r="H46" s="73" t="n">
        <v>54.19611282850036</v>
      </c>
      <c r="I46" s="31" t="n"/>
      <c r="J46" s="31" t="n"/>
      <c r="K46" s="31" t="n"/>
      <c r="L46" s="31" t="n"/>
      <c r="M46" s="31" t="n"/>
      <c r="N46" s="31" t="n"/>
      <c r="O46" s="31" t="n"/>
      <c r="P46" s="31" t="n"/>
      <c r="Q46" s="31" t="n"/>
      <c r="R46" s="31" t="n"/>
      <c r="S46" s="31" t="n"/>
      <c r="T46" s="31" t="n"/>
      <c r="U46" s="31" t="n"/>
      <c r="V46" s="31" t="n"/>
      <c r="W46" s="31" t="n"/>
      <c r="X46" s="31" t="n"/>
      <c r="Y46" s="31" t="n"/>
      <c r="Z46" s="31" t="n"/>
      <c r="AA46" s="31" t="n"/>
    </row>
    <row r="47" ht="15" customHeight="1" thickBot="1">
      <c r="AE47" s="20" t="inlineStr">
        <is>
          <t>Overall - Brand Only</t>
        </is>
      </c>
      <c r="AF47" s="21" t="n"/>
      <c r="AG47" s="23" t="n"/>
      <c r="AH47" s="23" t="n"/>
    </row>
    <row r="48" ht="34.95" customHeight="1" thickBot="1">
      <c r="B48" s="88" t="n"/>
      <c r="C48" s="88" t="n"/>
      <c r="D48" s="88" t="n"/>
      <c r="E48" s="88" t="n"/>
      <c r="F48" s="88" t="n"/>
      <c r="G48" s="88" t="n"/>
      <c r="H48" s="88" t="n"/>
      <c r="I48" s="88" t="n"/>
      <c r="J48" s="88" t="n"/>
      <c r="K48" s="88" t="n"/>
      <c r="L48" s="88" t="n"/>
      <c r="M48" s="88" t="n"/>
      <c r="N48" s="88" t="n"/>
      <c r="O48" s="88" t="n"/>
      <c r="P48" s="88" t="n"/>
      <c r="Q48" s="88" t="n"/>
      <c r="R48" s="88" t="n"/>
      <c r="S48" s="88" t="n"/>
      <c r="T48" s="88" t="n"/>
      <c r="U48" s="88" t="n"/>
      <c r="V48" s="88" t="n"/>
      <c r="W48" s="88" t="n"/>
      <c r="X48" s="88" t="n"/>
      <c r="Y48" s="88" t="n"/>
      <c r="Z48" s="88" t="n"/>
      <c r="AA48" s="88" t="n"/>
      <c r="AE48" s="32" t="inlineStr">
        <is>
          <t>Rank</t>
        </is>
      </c>
      <c r="AF48" s="33" t="inlineStr">
        <is>
          <t>Therapeutic Class</t>
        </is>
      </c>
      <c r="AG48" s="33" t="inlineStr">
        <is>
          <t>Total Rebates</t>
        </is>
      </c>
      <c r="AH48" s="34" t="inlineStr">
        <is>
          <t>Brand Scripts</t>
        </is>
      </c>
    </row>
    <row r="49" ht="15" customHeight="1" thickTop="1">
      <c r="AE49" s="118" t="n">
        <v>1</v>
      </c>
      <c r="AF49" s="44" t="inlineStr">
        <is>
          <t>GLUCAGON-LIKE PEPTIDE-1 AGONISTS (GLP1)</t>
        </is>
      </c>
      <c r="AG49" s="119" t="n">
        <v>8480147.869911458</v>
      </c>
      <c r="AH49" s="46" t="n">
        <v>17760.98313710272</v>
      </c>
    </row>
    <row r="50" ht="15" customHeight="1" thickBot="1">
      <c r="AE50" s="121" t="n">
        <v>2</v>
      </c>
      <c r="AF50" t="inlineStr">
        <is>
          <t>LABA LAMA COMBO</t>
        </is>
      </c>
      <c r="AG50" s="122" t="n">
        <v>1210721.385579455</v>
      </c>
      <c r="AH50" s="56" t="n">
        <v>6356.681979750578</v>
      </c>
    </row>
    <row r="51" ht="15" customHeight="1" thickBot="1">
      <c r="D51" s="11" t="inlineStr">
        <is>
          <t>Base Yr</t>
        </is>
      </c>
      <c r="E51" s="12" t="n"/>
      <c r="F51" s="12" t="n"/>
      <c r="G51" s="13" t="n"/>
      <c r="H51" s="14" t="n"/>
      <c r="J51" s="11" t="n">
        <v>2029</v>
      </c>
      <c r="K51" s="12" t="n"/>
      <c r="L51" s="12" t="n"/>
      <c r="M51" s="13" t="n"/>
      <c r="N51" s="14" t="n"/>
      <c r="P51" s="11" t="n">
        <v>2028</v>
      </c>
      <c r="Q51" s="12" t="n"/>
      <c r="R51" s="12" t="n"/>
      <c r="S51" s="13" t="n"/>
      <c r="T51" s="14" t="n"/>
      <c r="V51" s="11" t="n">
        <v>2029</v>
      </c>
      <c r="W51" s="12" t="n"/>
      <c r="X51" s="12" t="n"/>
      <c r="Y51" s="13" t="n"/>
      <c r="Z51" s="14" t="n"/>
      <c r="AE51" s="121" t="n">
        <v>3</v>
      </c>
      <c r="AF51" t="inlineStr">
        <is>
          <t>URINARY ANTISPASMODICS &amp; OAB DRUGS</t>
        </is>
      </c>
      <c r="AG51" s="122" t="n">
        <v>453716.6716498772</v>
      </c>
      <c r="AH51" s="56" t="n">
        <v>770.1496372286871</v>
      </c>
    </row>
    <row r="52" ht="15" customHeight="1" thickBot="1">
      <c r="B52" s="27" t="inlineStr">
        <is>
          <t>Excl - Brand</t>
        </is>
      </c>
      <c r="D52" s="28" t="inlineStr">
        <is>
          <t>R30</t>
        </is>
      </c>
      <c r="E52" s="29" t="inlineStr">
        <is>
          <t>R90</t>
        </is>
      </c>
      <c r="F52" s="29" t="inlineStr">
        <is>
          <t>Mail</t>
        </is>
      </c>
      <c r="G52" s="29" t="inlineStr">
        <is>
          <t>Specialty</t>
        </is>
      </c>
      <c r="H52" s="30" t="inlineStr">
        <is>
          <t>Total</t>
        </is>
      </c>
      <c r="J52" s="28" t="inlineStr">
        <is>
          <t>R30</t>
        </is>
      </c>
      <c r="K52" s="29" t="inlineStr">
        <is>
          <t>R90</t>
        </is>
      </c>
      <c r="L52" s="29" t="inlineStr">
        <is>
          <t>Mail</t>
        </is>
      </c>
      <c r="M52" s="29" t="inlineStr">
        <is>
          <t>Specialty</t>
        </is>
      </c>
      <c r="N52" s="30" t="inlineStr">
        <is>
          <t>Total</t>
        </is>
      </c>
      <c r="P52" s="28" t="inlineStr">
        <is>
          <t>R30</t>
        </is>
      </c>
      <c r="Q52" s="29" t="inlineStr">
        <is>
          <t>R90</t>
        </is>
      </c>
      <c r="R52" s="29" t="inlineStr">
        <is>
          <t>Mail</t>
        </is>
      </c>
      <c r="S52" s="29" t="inlineStr">
        <is>
          <t>Specialty</t>
        </is>
      </c>
      <c r="T52" s="30" t="inlineStr">
        <is>
          <t>Total</t>
        </is>
      </c>
      <c r="V52" s="28" t="inlineStr">
        <is>
          <t>R30</t>
        </is>
      </c>
      <c r="W52" s="29" t="inlineStr">
        <is>
          <t>R90</t>
        </is>
      </c>
      <c r="X52" s="29" t="inlineStr">
        <is>
          <t>Mail</t>
        </is>
      </c>
      <c r="Y52" s="29" t="inlineStr">
        <is>
          <t>Specialty</t>
        </is>
      </c>
      <c r="Z52" s="30" t="inlineStr">
        <is>
          <t>Total</t>
        </is>
      </c>
      <c r="AE52" s="121" t="n">
        <v>4</v>
      </c>
      <c r="AF52" t="inlineStr">
        <is>
          <t>DIGESTIVE ENZYMES</t>
        </is>
      </c>
      <c r="AG52" s="122" t="n">
        <v>371355.5921359737</v>
      </c>
      <c r="AH52" s="56" t="n">
        <v>260.5758021734086</v>
      </c>
    </row>
    <row r="53">
      <c r="B53" s="38" t="inlineStr">
        <is>
          <t>OTCs</t>
        </is>
      </c>
      <c r="D53" s="127" t="n">
        <v>0</v>
      </c>
      <c r="E53" s="128" t="n">
        <v>0</v>
      </c>
      <c r="F53" s="128" t="n">
        <v>0</v>
      </c>
      <c r="G53" s="128" t="n">
        <v>0</v>
      </c>
      <c r="H53" s="129" t="n">
        <v>0</v>
      </c>
      <c r="J53" s="127" t="n">
        <v>0</v>
      </c>
      <c r="K53" s="128" t="n">
        <v>0</v>
      </c>
      <c r="L53" s="128" t="n">
        <v>0</v>
      </c>
      <c r="M53" s="128" t="n">
        <v>0</v>
      </c>
      <c r="N53" s="129" t="n">
        <v>0</v>
      </c>
      <c r="P53" s="127" t="n">
        <v>0</v>
      </c>
      <c r="Q53" s="128" t="n">
        <v>0</v>
      </c>
      <c r="R53" s="128" t="n">
        <v>0</v>
      </c>
      <c r="S53" s="128" t="n">
        <v>0</v>
      </c>
      <c r="T53" s="129" t="n">
        <v>0</v>
      </c>
      <c r="V53" s="127" t="n">
        <v>0</v>
      </c>
      <c r="W53" s="128" t="n">
        <v>0</v>
      </c>
      <c r="X53" s="128" t="n">
        <v>0</v>
      </c>
      <c r="Y53" s="128" t="n">
        <v>0</v>
      </c>
      <c r="Z53" s="129" t="n">
        <v>0</v>
      </c>
      <c r="AE53" s="121" t="n">
        <v>5</v>
      </c>
      <c r="AF53" t="inlineStr">
        <is>
          <t>MIGRAINE PRODUCTS</t>
        </is>
      </c>
      <c r="AG53" s="122" t="n">
        <v>351725.0475507301</v>
      </c>
      <c r="AH53" s="56" t="n">
        <v>582.9953975231873</v>
      </c>
    </row>
    <row r="54">
      <c r="B54" s="49" t="inlineStr">
        <is>
          <t>Devices</t>
        </is>
      </c>
      <c r="D54" s="130" t="n">
        <v>0</v>
      </c>
      <c r="E54" s="131" t="n">
        <v>0</v>
      </c>
      <c r="F54" s="131" t="n">
        <v>0</v>
      </c>
      <c r="G54" s="131" t="n">
        <v>0</v>
      </c>
      <c r="H54" s="132" t="n">
        <v>0</v>
      </c>
      <c r="J54" s="130" t="n">
        <v>0</v>
      </c>
      <c r="K54" s="131" t="n">
        <v>0</v>
      </c>
      <c r="L54" s="131" t="n">
        <v>0</v>
      </c>
      <c r="M54" s="131" t="n">
        <v>0</v>
      </c>
      <c r="N54" s="132" t="n">
        <v>0</v>
      </c>
      <c r="P54" s="130" t="n">
        <v>0</v>
      </c>
      <c r="Q54" s="131" t="n">
        <v>0</v>
      </c>
      <c r="R54" s="131" t="n">
        <v>0</v>
      </c>
      <c r="S54" s="131" t="n">
        <v>0</v>
      </c>
      <c r="T54" s="132" t="n">
        <v>0</v>
      </c>
      <c r="V54" s="130" t="n">
        <v>0</v>
      </c>
      <c r="W54" s="131" t="n">
        <v>0</v>
      </c>
      <c r="X54" s="131" t="n">
        <v>0</v>
      </c>
      <c r="Y54" s="131" t="n">
        <v>0</v>
      </c>
      <c r="Z54" s="132" t="n">
        <v>0</v>
      </c>
      <c r="AE54" s="121" t="n">
        <v>6</v>
      </c>
      <c r="AF54" t="inlineStr">
        <is>
          <t>DIABETES MONITORING AND TESTING SUPPLIES</t>
        </is>
      </c>
      <c r="AG54" s="122" t="n">
        <v>212443.9720813232</v>
      </c>
      <c r="AH54" s="56" t="n">
        <v>2208.371887906786</v>
      </c>
    </row>
    <row r="55">
      <c r="B55" s="64" t="inlineStr">
        <is>
          <t>Vaccines</t>
        </is>
      </c>
      <c r="D55" s="130" t="n">
        <v>0</v>
      </c>
      <c r="E55" s="131" t="n">
        <v>0</v>
      </c>
      <c r="F55" s="131" t="n">
        <v>0</v>
      </c>
      <c r="G55" s="131" t="n">
        <v>0</v>
      </c>
      <c r="H55" s="132" t="n">
        <v>0</v>
      </c>
      <c r="J55" s="130" t="n">
        <v>0</v>
      </c>
      <c r="K55" s="131" t="n">
        <v>0</v>
      </c>
      <c r="L55" s="131" t="n">
        <v>0</v>
      </c>
      <c r="M55" s="131" t="n">
        <v>0</v>
      </c>
      <c r="N55" s="132" t="n">
        <v>0</v>
      </c>
      <c r="P55" s="130" t="n">
        <v>0</v>
      </c>
      <c r="Q55" s="131" t="n">
        <v>0</v>
      </c>
      <c r="R55" s="131" t="n">
        <v>0</v>
      </c>
      <c r="S55" s="131" t="n">
        <v>0</v>
      </c>
      <c r="T55" s="132" t="n">
        <v>0</v>
      </c>
      <c r="V55" s="130" t="n">
        <v>0</v>
      </c>
      <c r="W55" s="131" t="n">
        <v>0</v>
      </c>
      <c r="X55" s="131" t="n">
        <v>0</v>
      </c>
      <c r="Y55" s="131" t="n">
        <v>0</v>
      </c>
      <c r="Z55" s="132" t="n">
        <v>0</v>
      </c>
      <c r="AE55" s="121" t="n">
        <v>7</v>
      </c>
      <c r="AF55" t="inlineStr">
        <is>
          <t>BASAL INSULIN</t>
        </is>
      </c>
      <c r="AG55" s="122" t="n">
        <v>179429.5985283569</v>
      </c>
      <c r="AH55" s="56" t="n">
        <v>1630.332910074935</v>
      </c>
    </row>
    <row r="56">
      <c r="B56" s="64" t="inlineStr">
        <is>
          <t>Repackaged</t>
        </is>
      </c>
      <c r="D56" s="130" t="n">
        <v>0</v>
      </c>
      <c r="E56" s="131" t="n">
        <v>0</v>
      </c>
      <c r="F56" s="131" t="n">
        <v>0</v>
      </c>
      <c r="G56" s="131" t="n">
        <v>0</v>
      </c>
      <c r="H56" s="132" t="n">
        <v>0</v>
      </c>
      <c r="J56" s="130" t="n">
        <v>0</v>
      </c>
      <c r="K56" s="131" t="n">
        <v>0</v>
      </c>
      <c r="L56" s="131" t="n">
        <v>0</v>
      </c>
      <c r="M56" s="131" t="n">
        <v>0</v>
      </c>
      <c r="N56" s="132" t="n">
        <v>0</v>
      </c>
      <c r="P56" s="130" t="n">
        <v>0</v>
      </c>
      <c r="Q56" s="131" t="n">
        <v>0</v>
      </c>
      <c r="R56" s="131" t="n">
        <v>0</v>
      </c>
      <c r="S56" s="131" t="n">
        <v>0</v>
      </c>
      <c r="T56" s="132" t="n">
        <v>0</v>
      </c>
      <c r="V56" s="130" t="n">
        <v>0</v>
      </c>
      <c r="W56" s="131" t="n">
        <v>0</v>
      </c>
      <c r="X56" s="131" t="n">
        <v>0</v>
      </c>
      <c r="Y56" s="131" t="n">
        <v>0</v>
      </c>
      <c r="Z56" s="132" t="n">
        <v>0</v>
      </c>
      <c r="AE56" s="121" t="n">
        <v>8</v>
      </c>
      <c r="AF56" t="inlineStr">
        <is>
          <t>LAMA/ACH</t>
        </is>
      </c>
      <c r="AG56" s="122" t="n">
        <v>167746.7557622799</v>
      </c>
      <c r="AH56" s="56" t="n">
        <v>411.0858053593449</v>
      </c>
    </row>
    <row r="57">
      <c r="B57" s="64" t="inlineStr">
        <is>
          <t>MSBs</t>
        </is>
      </c>
      <c r="D57" s="130" t="n">
        <v>0</v>
      </c>
      <c r="E57" s="131" t="n">
        <v>0</v>
      </c>
      <c r="F57" s="131" t="n">
        <v>0</v>
      </c>
      <c r="G57" s="131" t="n">
        <v>0</v>
      </c>
      <c r="H57" s="132" t="n">
        <v>0</v>
      </c>
      <c r="J57" s="130" t="n">
        <v>0</v>
      </c>
      <c r="K57" s="131" t="n">
        <v>0</v>
      </c>
      <c r="L57" s="131" t="n">
        <v>0</v>
      </c>
      <c r="M57" s="131" t="n">
        <v>0</v>
      </c>
      <c r="N57" s="132" t="n">
        <v>0</v>
      </c>
      <c r="P57" s="130" t="n">
        <v>0</v>
      </c>
      <c r="Q57" s="131" t="n">
        <v>0</v>
      </c>
      <c r="R57" s="131" t="n">
        <v>0</v>
      </c>
      <c r="S57" s="131" t="n">
        <v>0</v>
      </c>
      <c r="T57" s="132" t="n">
        <v>0</v>
      </c>
      <c r="V57" s="130" t="n">
        <v>0</v>
      </c>
      <c r="W57" s="131" t="n">
        <v>0</v>
      </c>
      <c r="X57" s="131" t="n">
        <v>0</v>
      </c>
      <c r="Y57" s="131" t="n">
        <v>0</v>
      </c>
      <c r="Z57" s="132" t="n">
        <v>0</v>
      </c>
      <c r="AE57" s="121" t="n">
        <v>9</v>
      </c>
      <c r="AF57" t="inlineStr">
        <is>
          <t>MISC. ANTIVIRALS</t>
        </is>
      </c>
      <c r="AG57" s="122" t="n">
        <v>147832.4418971785</v>
      </c>
      <c r="AH57" s="56" t="n">
        <v>512.2543978080996</v>
      </c>
    </row>
    <row r="58">
      <c r="B58" s="64" t="inlineStr">
        <is>
          <t>Non FDA Approved</t>
        </is>
      </c>
      <c r="D58" s="130" t="n">
        <v>0</v>
      </c>
      <c r="E58" s="131" t="n">
        <v>6</v>
      </c>
      <c r="F58" s="131" t="n">
        <v>0</v>
      </c>
      <c r="G58" s="131" t="n">
        <v>0</v>
      </c>
      <c r="H58" s="132" t="n">
        <v>6</v>
      </c>
      <c r="J58" s="130" t="n">
        <v>0</v>
      </c>
      <c r="K58" s="131" t="n">
        <v>6.885489488627885</v>
      </c>
      <c r="L58" s="131" t="n">
        <v>0</v>
      </c>
      <c r="M58" s="131" t="n">
        <v>0</v>
      </c>
      <c r="N58" s="132" t="n">
        <v>6.885489488627885</v>
      </c>
      <c r="P58" s="130" t="n">
        <v>0</v>
      </c>
      <c r="Q58" s="131" t="n">
        <v>7.09762893823543</v>
      </c>
      <c r="R58" s="131" t="n">
        <v>0</v>
      </c>
      <c r="S58" s="131" t="n">
        <v>0</v>
      </c>
      <c r="T58" s="132" t="n">
        <v>7.09762893823543</v>
      </c>
      <c r="V58" s="130" t="n">
        <v>0</v>
      </c>
      <c r="W58" s="131" t="n">
        <v>7.29938773026082</v>
      </c>
      <c r="X58" s="131" t="n">
        <v>0</v>
      </c>
      <c r="Y58" s="131" t="n">
        <v>0</v>
      </c>
      <c r="Z58" s="132" t="n">
        <v>7.29938773026082</v>
      </c>
      <c r="AE58" s="121" t="n">
        <v>10</v>
      </c>
      <c r="AF58" t="inlineStr">
        <is>
          <t>POTASSIUM REMOVING AGENTS</t>
        </is>
      </c>
      <c r="AG58" s="122" t="n">
        <v>117286.1785696812</v>
      </c>
      <c r="AH58" s="56" t="n">
        <v>181.1384332800769</v>
      </c>
    </row>
    <row r="59">
      <c r="B59" s="64" t="inlineStr">
        <is>
          <t>LDD</t>
        </is>
      </c>
      <c r="D59" s="130" t="n">
        <v>18</v>
      </c>
      <c r="E59" s="131" t="n">
        <v>0</v>
      </c>
      <c r="F59" s="131" t="n">
        <v>0</v>
      </c>
      <c r="G59" s="131" t="n">
        <v>1</v>
      </c>
      <c r="H59" s="132" t="n">
        <v>19</v>
      </c>
      <c r="J59" s="130" t="n">
        <v>24.87719139716617</v>
      </c>
      <c r="K59" s="131" t="n">
        <v>0</v>
      </c>
      <c r="L59" s="131" t="n">
        <v>0</v>
      </c>
      <c r="M59" s="131" t="n">
        <v>0.6176590635903295</v>
      </c>
      <c r="N59" s="132" t="n">
        <v>25.4948504607565</v>
      </c>
      <c r="P59" s="130" t="n">
        <v>27.65663487526179</v>
      </c>
      <c r="Q59" s="131" t="n">
        <v>0</v>
      </c>
      <c r="R59" s="131" t="n">
        <v>0</v>
      </c>
      <c r="S59" s="131" t="n">
        <v>0.6107794764899804</v>
      </c>
      <c r="T59" s="132" t="n">
        <v>28.26741435175177</v>
      </c>
      <c r="V59" s="130" t="n">
        <v>31.05175440243663</v>
      </c>
      <c r="W59" s="131" t="n">
        <v>0</v>
      </c>
      <c r="X59" s="131" t="n">
        <v>0</v>
      </c>
      <c r="Y59" s="131" t="n">
        <v>0.6430482566932423</v>
      </c>
      <c r="Z59" s="132" t="n">
        <v>31.69480265912987</v>
      </c>
      <c r="AE59" s="121" t="n">
        <v>11</v>
      </c>
      <c r="AF59" t="inlineStr">
        <is>
          <t>INSULIN ADMINISTRATION SUPPLIES</t>
        </is>
      </c>
      <c r="AG59" s="122" t="n">
        <v>115424.9789155394</v>
      </c>
      <c r="AH59" s="56" t="n">
        <v>297.4403578856535</v>
      </c>
    </row>
    <row r="60">
      <c r="B60" s="64" t="inlineStr">
        <is>
          <t>Institutional NDCs</t>
        </is>
      </c>
      <c r="D60" s="130" t="n">
        <v>11</v>
      </c>
      <c r="E60" s="131" t="n">
        <v>0</v>
      </c>
      <c r="F60" s="131" t="n">
        <v>0</v>
      </c>
      <c r="G60" s="131" t="n">
        <v>0</v>
      </c>
      <c r="H60" s="132" t="n">
        <v>11</v>
      </c>
      <c r="J60" s="130" t="n">
        <v>12.15752497820848</v>
      </c>
      <c r="K60" s="131" t="n">
        <v>0</v>
      </c>
      <c r="L60" s="131" t="n">
        <v>0</v>
      </c>
      <c r="M60" s="131" t="n">
        <v>0</v>
      </c>
      <c r="N60" s="132" t="n">
        <v>12.15752497820848</v>
      </c>
      <c r="P60" s="130" t="n">
        <v>6.618249046619539</v>
      </c>
      <c r="Q60" s="131" t="n">
        <v>0</v>
      </c>
      <c r="R60" s="131" t="n">
        <v>0</v>
      </c>
      <c r="S60" s="131" t="n">
        <v>0</v>
      </c>
      <c r="T60" s="132" t="n">
        <v>6.618249046619539</v>
      </c>
      <c r="V60" s="130" t="n">
        <v>6.034114128367583</v>
      </c>
      <c r="W60" s="131" t="n">
        <v>0</v>
      </c>
      <c r="X60" s="131" t="n">
        <v>0</v>
      </c>
      <c r="Y60" s="131" t="n">
        <v>0</v>
      </c>
      <c r="Z60" s="132" t="n">
        <v>6.034114128367583</v>
      </c>
      <c r="AE60" s="121" t="n">
        <v>12</v>
      </c>
      <c r="AF60" t="inlineStr">
        <is>
          <t>OPHTHALMICS - RHO KINASE INHIBITOR &amp; COMBOS</t>
        </is>
      </c>
      <c r="AG60" s="122" t="n">
        <v>110735.9686150908</v>
      </c>
      <c r="AH60" s="56" t="n">
        <v>291.0410122385821</v>
      </c>
    </row>
    <row r="61">
      <c r="B61" s="64" t="inlineStr">
        <is>
          <t>Formulary Exclusions</t>
        </is>
      </c>
      <c r="D61" s="130" t="n">
        <v>3636</v>
      </c>
      <c r="E61" s="131" t="n">
        <v>1603</v>
      </c>
      <c r="F61" s="131" t="n">
        <v>32</v>
      </c>
      <c r="G61" s="131" t="n">
        <v>0</v>
      </c>
      <c r="H61" s="132" t="n">
        <v>5271</v>
      </c>
      <c r="J61" s="130" t="n">
        <v>6044.873869593554</v>
      </c>
      <c r="K61" s="131" t="n">
        <v>3778.992897518413</v>
      </c>
      <c r="L61" s="131" t="n">
        <v>69.29836851932255</v>
      </c>
      <c r="M61" s="131" t="n">
        <v>0</v>
      </c>
      <c r="N61" s="132" t="n">
        <v>9893.16513563129</v>
      </c>
      <c r="P61" s="130" t="n">
        <v>6228.77688994102</v>
      </c>
      <c r="Q61" s="131" t="n">
        <v>3999.114543167051</v>
      </c>
      <c r="R61" s="131" t="n">
        <v>73.5852791072068</v>
      </c>
      <c r="S61" s="131" t="n">
        <v>0</v>
      </c>
      <c r="T61" s="132" t="n">
        <v>10301.47671221528</v>
      </c>
      <c r="V61" s="130" t="n">
        <v>6447.101264258589</v>
      </c>
      <c r="W61" s="131" t="n">
        <v>4230.066745339465</v>
      </c>
      <c r="X61" s="131" t="n">
        <v>77.66240762792478</v>
      </c>
      <c r="Y61" s="131" t="n">
        <v>0</v>
      </c>
      <c r="Z61" s="132" t="n">
        <v>10754.83041722598</v>
      </c>
      <c r="AE61" s="121" t="n">
        <v>13</v>
      </c>
      <c r="AF61" t="inlineStr">
        <is>
          <t>OPIOID AGONISTS &amp; COMBOS</t>
        </is>
      </c>
      <c r="AG61" s="122" t="n">
        <v>63144.63416840845</v>
      </c>
      <c r="AH61" s="56" t="n">
        <v>158.3819594713257</v>
      </c>
    </row>
    <row r="62">
      <c r="B62" s="64" t="inlineStr">
        <is>
          <t>Synthroid</t>
        </is>
      </c>
      <c r="D62" s="130" t="n">
        <v>331</v>
      </c>
      <c r="E62" s="131" t="n">
        <v>641</v>
      </c>
      <c r="F62" s="131" t="n">
        <v>4</v>
      </c>
      <c r="G62" s="131" t="n">
        <v>0</v>
      </c>
      <c r="H62" s="132" t="n">
        <v>976</v>
      </c>
      <c r="J62" s="130" t="n">
        <v>351.9287478386029</v>
      </c>
      <c r="K62" s="131" t="n">
        <v>695.2653220010801</v>
      </c>
      <c r="L62" s="131" t="n">
        <v>4.363987808065344</v>
      </c>
      <c r="M62" s="131" t="n">
        <v>0</v>
      </c>
      <c r="N62" s="132" t="n">
        <v>1051.558057647748</v>
      </c>
      <c r="P62" s="130" t="n">
        <v>344.8677977438759</v>
      </c>
      <c r="Q62" s="131" t="n">
        <v>695.6708181072372</v>
      </c>
      <c r="R62" s="131" t="n">
        <v>4.376881306996877</v>
      </c>
      <c r="S62" s="131" t="n">
        <v>0</v>
      </c>
      <c r="T62" s="132" t="n">
        <v>1044.91549715811</v>
      </c>
      <c r="V62" s="130" t="n">
        <v>337.2252462051625</v>
      </c>
      <c r="W62" s="131" t="n">
        <v>693.7423997998153</v>
      </c>
      <c r="X62" s="131" t="n">
        <v>4.349920807420687</v>
      </c>
      <c r="Y62" s="131" t="n">
        <v>0</v>
      </c>
      <c r="Z62" s="132" t="n">
        <v>1035.317566812398</v>
      </c>
      <c r="AE62" s="121" t="n">
        <v>14</v>
      </c>
      <c r="AF62" t="inlineStr">
        <is>
          <t>SEDATIVE HYPNOTICS</t>
        </is>
      </c>
      <c r="AG62" s="122" t="n">
        <v>60872.08663939586</v>
      </c>
      <c r="AH62" s="56" t="n">
        <v>159.0815880037875</v>
      </c>
    </row>
    <row r="63">
      <c r="B63" s="64" t="inlineStr">
        <is>
          <t>Misc</t>
        </is>
      </c>
      <c r="D63" s="130" t="n">
        <v>1712</v>
      </c>
      <c r="E63" s="131" t="n">
        <v>1322</v>
      </c>
      <c r="F63" s="131" t="n">
        <v>21</v>
      </c>
      <c r="G63" s="131" t="n">
        <v>2977</v>
      </c>
      <c r="H63" s="132" t="n">
        <v>6032</v>
      </c>
      <c r="J63" s="130" t="n">
        <v>2692.467611904198</v>
      </c>
      <c r="K63" s="131" t="n">
        <v>2139.409809914607</v>
      </c>
      <c r="L63" s="131" t="n">
        <v>34.42048685206294</v>
      </c>
      <c r="M63" s="131" t="n">
        <v>4055.662939861252</v>
      </c>
      <c r="N63" s="132" t="n">
        <v>8921.960848532119</v>
      </c>
      <c r="P63" s="130" t="n">
        <v>3161.627253255683</v>
      </c>
      <c r="Q63" s="131" t="n">
        <v>2604.953328398546</v>
      </c>
      <c r="R63" s="131" t="n">
        <v>42.03577551248003</v>
      </c>
      <c r="S63" s="131" t="n">
        <v>4367.592784770583</v>
      </c>
      <c r="T63" s="132" t="n">
        <v>10176.20914193729</v>
      </c>
      <c r="V63" s="130" t="n">
        <v>3718.42453944005</v>
      </c>
      <c r="W63" s="131" t="n">
        <v>3171.189177178967</v>
      </c>
      <c r="X63" s="131" t="n">
        <v>51.03255827472316</v>
      </c>
      <c r="Y63" s="131" t="n">
        <v>4661.350612147647</v>
      </c>
      <c r="Z63" s="132" t="n">
        <v>11601.99688704139</v>
      </c>
      <c r="AE63" s="121" t="n">
        <v>15</v>
      </c>
      <c r="AF63" t="inlineStr">
        <is>
          <t>OPHTHALMIC INTEGRIN ANTAGONIST</t>
        </is>
      </c>
      <c r="AG63" s="122" t="n">
        <v>47255.29362033777</v>
      </c>
      <c r="AH63" s="56" t="n">
        <v>47.79547641194044</v>
      </c>
    </row>
    <row r="64">
      <c r="B64" s="64" t="inlineStr">
        <is>
          <t>Specialty</t>
        </is>
      </c>
      <c r="D64" s="133" t="n">
        <v>0</v>
      </c>
      <c r="E64" s="134" t="n">
        <v>0</v>
      </c>
      <c r="F64" s="134" t="n">
        <v>0</v>
      </c>
      <c r="G64" s="134" t="n">
        <v>2977</v>
      </c>
      <c r="H64" s="135" t="n">
        <v>2977</v>
      </c>
      <c r="J64" s="133" t="n">
        <v>0</v>
      </c>
      <c r="K64" s="134" t="n">
        <v>0</v>
      </c>
      <c r="L64" s="134" t="n">
        <v>0</v>
      </c>
      <c r="M64" s="134" t="n">
        <v>4055.659530255103</v>
      </c>
      <c r="N64" s="135" t="n">
        <v>4055.659530255103</v>
      </c>
      <c r="P64" s="133" t="n">
        <v>0</v>
      </c>
      <c r="Q64" s="134" t="n">
        <v>0</v>
      </c>
      <c r="R64" s="134" t="n">
        <v>0</v>
      </c>
      <c r="S64" s="134" t="n">
        <v>4367.589286582866</v>
      </c>
      <c r="T64" s="135" t="n">
        <v>4367.589286582866</v>
      </c>
      <c r="V64" s="133" t="n">
        <v>0</v>
      </c>
      <c r="W64" s="134" t="n">
        <v>0</v>
      </c>
      <c r="X64" s="134" t="n">
        <v>0</v>
      </c>
      <c r="Y64" s="134" t="n">
        <v>4661.347007650006</v>
      </c>
      <c r="Z64" s="135" t="n">
        <v>4661.347007650006</v>
      </c>
      <c r="AE64" s="121" t="n">
        <v>16</v>
      </c>
      <c r="AF64" t="inlineStr">
        <is>
          <t>INHALED CORTICOSTEROIDS (ICS)</t>
        </is>
      </c>
      <c r="AG64" s="122" t="n">
        <v>44861.28355293498</v>
      </c>
      <c r="AH64" s="56" t="n">
        <v>230.0268456153516</v>
      </c>
    </row>
    <row r="65">
      <c r="A65" s="98" t="inlineStr">
        <is>
          <t>Added MFP row but needs adjusting for non-CY(Should just need adjustment in Exclusion Summary)</t>
        </is>
      </c>
      <c r="B65" s="64" t="inlineStr">
        <is>
          <t>MFP 2026, 2027</t>
        </is>
      </c>
      <c r="D65" s="133" t="n">
        <v>0</v>
      </c>
      <c r="E65" s="134" t="n">
        <v>0</v>
      </c>
      <c r="F65" s="134" t="n">
        <v>0</v>
      </c>
      <c r="G65" s="134" t="n">
        <v>0</v>
      </c>
      <c r="H65" s="135" t="n">
        <v>0</v>
      </c>
      <c r="J65" s="133" t="n">
        <v>0</v>
      </c>
      <c r="K65" s="134" t="n">
        <v>0</v>
      </c>
      <c r="L65" s="134" t="n">
        <v>0</v>
      </c>
      <c r="M65" s="134" t="n">
        <v>0</v>
      </c>
      <c r="N65" s="135" t="n">
        <v>0</v>
      </c>
      <c r="P65" s="133" t="n">
        <v>0</v>
      </c>
      <c r="Q65" s="134" t="n">
        <v>0</v>
      </c>
      <c r="R65" s="134" t="n">
        <v>0</v>
      </c>
      <c r="S65" s="134" t="n">
        <v>0</v>
      </c>
      <c r="T65" s="135" t="n">
        <v>0</v>
      </c>
      <c r="V65" s="133" t="n">
        <v>0</v>
      </c>
      <c r="W65" s="134" t="n">
        <v>0</v>
      </c>
      <c r="X65" s="134" t="n">
        <v>0</v>
      </c>
      <c r="Y65" s="134" t="n">
        <v>0</v>
      </c>
      <c r="Z65" s="135" t="n">
        <v>0</v>
      </c>
      <c r="AE65" s="121" t="n">
        <v>17</v>
      </c>
      <c r="AF65" t="inlineStr">
        <is>
          <t>BASAL &amp; GLP-1 COMBO</t>
        </is>
      </c>
      <c r="AG65" s="122" t="n">
        <v>38532.48022031422</v>
      </c>
      <c r="AH65" s="56" t="n">
        <v>49.54789391462894</v>
      </c>
    </row>
    <row r="66">
      <c r="A66" s="99" t="n"/>
      <c r="B66" s="100" t="inlineStr">
        <is>
          <t>ENTER DESC</t>
        </is>
      </c>
      <c r="D66" s="133" t="n">
        <v>0</v>
      </c>
      <c r="E66" s="134" t="n">
        <v>0</v>
      </c>
      <c r="F66" s="134" t="n">
        <v>0</v>
      </c>
      <c r="G66" s="134" t="n">
        <v>0</v>
      </c>
      <c r="H66" s="135" t="n">
        <v>0</v>
      </c>
      <c r="J66" s="133" t="n">
        <v>0</v>
      </c>
      <c r="K66" s="134" t="n">
        <v>0</v>
      </c>
      <c r="L66" s="134" t="n">
        <v>0</v>
      </c>
      <c r="M66" s="134" t="n">
        <v>0</v>
      </c>
      <c r="N66" s="135" t="n">
        <v>0</v>
      </c>
      <c r="P66" s="133" t="n">
        <v>0</v>
      </c>
      <c r="Q66" s="134" t="n">
        <v>0</v>
      </c>
      <c r="R66" s="134" t="n">
        <v>0</v>
      </c>
      <c r="S66" s="134" t="n">
        <v>0</v>
      </c>
      <c r="T66" s="135" t="n">
        <v>0</v>
      </c>
      <c r="V66" s="133" t="n">
        <v>0</v>
      </c>
      <c r="W66" s="134" t="n">
        <v>0</v>
      </c>
      <c r="X66" s="134" t="n">
        <v>0</v>
      </c>
      <c r="Y66" s="134" t="n">
        <v>0</v>
      </c>
      <c r="Z66" s="135" t="n">
        <v>0</v>
      </c>
      <c r="AE66" s="121" t="n">
        <v>18</v>
      </c>
      <c r="AF66" t="inlineStr">
        <is>
          <t>RAPID ACTING</t>
        </is>
      </c>
      <c r="AG66" s="122" t="n">
        <v>38445.45197364724</v>
      </c>
      <c r="AH66" s="56" t="n">
        <v>729.0747371838038</v>
      </c>
    </row>
    <row r="67" ht="15" customHeight="1" thickBot="1">
      <c r="B67" s="59" t="inlineStr">
        <is>
          <t>Non-Rebatable</t>
        </is>
      </c>
      <c r="D67" s="136" t="n">
        <v>0</v>
      </c>
      <c r="E67" s="137" t="n">
        <v>0</v>
      </c>
      <c r="F67" s="137" t="n">
        <v>0</v>
      </c>
      <c r="G67" s="137" t="n">
        <v>0</v>
      </c>
      <c r="H67" s="138" t="n">
        <v>0</v>
      </c>
      <c r="J67" s="139" t="n">
        <v>32665.80535718387</v>
      </c>
      <c r="K67" s="140" t="n">
        <v>14983.82477133271</v>
      </c>
      <c r="L67" s="140" t="n">
        <v>202.3739864950116</v>
      </c>
      <c r="M67" s="140" t="n">
        <v>552.1088310115437</v>
      </c>
      <c r="N67" s="141" t="n">
        <v>48404.11294602313</v>
      </c>
      <c r="P67" s="139" t="n">
        <v>29468.774697933</v>
      </c>
      <c r="Q67" s="140" t="n">
        <v>10340.41686575612</v>
      </c>
      <c r="R67" s="140" t="n">
        <v>142.2558187419964</v>
      </c>
      <c r="S67" s="140" t="n">
        <v>529.4434178862319</v>
      </c>
      <c r="T67" s="141" t="n">
        <v>40480.89080031734</v>
      </c>
      <c r="V67" s="139" t="n">
        <v>27700.89671012675</v>
      </c>
      <c r="W67" s="140" t="n">
        <v>8009.429015133595</v>
      </c>
      <c r="X67" s="140" t="n">
        <v>115.5740789429929</v>
      </c>
      <c r="Y67" s="140" t="n">
        <v>507.7439456670621</v>
      </c>
      <c r="Z67" s="141" t="n">
        <v>36333.6437498704</v>
      </c>
      <c r="AE67" s="121" t="n">
        <v>19</v>
      </c>
      <c r="AF67" t="inlineStr">
        <is>
          <t>OPHTHALMICS - MISC.</t>
        </is>
      </c>
      <c r="AG67" s="122" t="n">
        <v>36554.73731701937</v>
      </c>
      <c r="AH67" s="56" t="n">
        <v>63.56123947609334</v>
      </c>
    </row>
    <row r="68" ht="15.6" customHeight="1" thickBot="1" thickTop="1">
      <c r="B68" s="69" t="inlineStr">
        <is>
          <t>Total</t>
        </is>
      </c>
      <c r="D68" s="142" t="n">
        <v>5708</v>
      </c>
      <c r="E68" s="143" t="n">
        <v>3572</v>
      </c>
      <c r="F68" s="143" t="n">
        <v>57</v>
      </c>
      <c r="G68" s="143" t="n">
        <v>2978</v>
      </c>
      <c r="H68" s="144" t="n">
        <v>15292</v>
      </c>
      <c r="J68" s="142" t="n">
        <v>41792.1103028956</v>
      </c>
      <c r="K68" s="143" t="n">
        <v>21604.37829025543</v>
      </c>
      <c r="L68" s="143" t="n">
        <v>310.4568296744625</v>
      </c>
      <c r="M68" s="143" t="n">
        <v>4608.389429936386</v>
      </c>
      <c r="N68" s="144" t="n">
        <v>72370.99438301698</v>
      </c>
      <c r="P68" s="142" t="n">
        <v>39238.32152279546</v>
      </c>
      <c r="Q68" s="143" t="n">
        <v>17647.25318436719</v>
      </c>
      <c r="R68" s="143" t="n">
        <v>262.2537546686801</v>
      </c>
      <c r="S68" s="143" t="n">
        <v>4897.646982133305</v>
      </c>
      <c r="T68" s="144" t="n">
        <v>66413.06473054748</v>
      </c>
      <c r="V68" s="142" t="n">
        <v>38240.73362856136</v>
      </c>
      <c r="W68" s="143" t="n">
        <v>16111.7267251821</v>
      </c>
      <c r="X68" s="143" t="n">
        <v>248.6189656530615</v>
      </c>
      <c r="Y68" s="143" t="n">
        <v>5169.737606071402</v>
      </c>
      <c r="Z68" s="144" t="n">
        <v>64432.16393311792</v>
      </c>
      <c r="AE68" s="124" t="n">
        <v>20</v>
      </c>
      <c r="AF68" s="82" t="inlineStr">
        <is>
          <t>ESTROGENS &amp; COMBOS</t>
        </is>
      </c>
      <c r="AG68" s="125" t="n">
        <v>33469.28133743782</v>
      </c>
      <c r="AH68" s="84" t="n">
        <v>129.7528050071253</v>
      </c>
    </row>
    <row r="69" ht="15" customHeight="1" thickBot="1">
      <c r="D69" s="145" t="n"/>
      <c r="E69" s="145" t="n"/>
      <c r="F69" s="145" t="n"/>
      <c r="G69" s="145" t="n"/>
      <c r="H69" s="145" t="n"/>
      <c r="J69" s="145" t="n"/>
      <c r="K69" s="145" t="n"/>
      <c r="L69" s="145" t="n"/>
      <c r="M69" s="145" t="n"/>
      <c r="N69" s="145" t="n"/>
      <c r="P69" s="145" t="n"/>
      <c r="Q69" s="145" t="n"/>
      <c r="R69" s="145" t="n"/>
      <c r="S69" s="145" t="n"/>
      <c r="T69" s="145" t="n"/>
      <c r="V69" s="145" t="n"/>
      <c r="W69" s="145" t="n"/>
      <c r="X69" s="145" t="n"/>
      <c r="Y69" s="145" t="n"/>
      <c r="Z69" s="145" t="n"/>
    </row>
    <row r="70" ht="15" customHeight="1" thickBot="1">
      <c r="B70" s="27" t="inlineStr">
        <is>
          <t>Excl - Generic</t>
        </is>
      </c>
      <c r="D70" s="28" t="inlineStr">
        <is>
          <t>R30</t>
        </is>
      </c>
      <c r="E70" s="29" t="inlineStr">
        <is>
          <t>R90</t>
        </is>
      </c>
      <c r="F70" s="29" t="inlineStr">
        <is>
          <t>Mail</t>
        </is>
      </c>
      <c r="G70" s="29" t="inlineStr">
        <is>
          <t>Specialty</t>
        </is>
      </c>
      <c r="H70" s="30" t="inlineStr">
        <is>
          <t>Total</t>
        </is>
      </c>
      <c r="J70" s="28" t="inlineStr">
        <is>
          <t>R30</t>
        </is>
      </c>
      <c r="K70" s="29" t="inlineStr">
        <is>
          <t>R90</t>
        </is>
      </c>
      <c r="L70" s="29" t="inlineStr">
        <is>
          <t>Mail</t>
        </is>
      </c>
      <c r="M70" s="29" t="inlineStr">
        <is>
          <t>Specialty</t>
        </is>
      </c>
      <c r="N70" s="30" t="inlineStr">
        <is>
          <t>Total</t>
        </is>
      </c>
      <c r="P70" s="28" t="inlineStr">
        <is>
          <t>R30</t>
        </is>
      </c>
      <c r="Q70" s="29" t="inlineStr">
        <is>
          <t>R90</t>
        </is>
      </c>
      <c r="R70" s="29" t="inlineStr">
        <is>
          <t>Mail</t>
        </is>
      </c>
      <c r="S70" s="29" t="inlineStr">
        <is>
          <t>Specialty</t>
        </is>
      </c>
      <c r="T70" s="30" t="inlineStr">
        <is>
          <t>Total</t>
        </is>
      </c>
      <c r="V70" s="28" t="inlineStr">
        <is>
          <t>R30</t>
        </is>
      </c>
      <c r="W70" s="29" t="inlineStr">
        <is>
          <t>R90</t>
        </is>
      </c>
      <c r="X70" s="29" t="inlineStr">
        <is>
          <t>Mail</t>
        </is>
      </c>
      <c r="Y70" s="29" t="inlineStr">
        <is>
          <t>Specialty</t>
        </is>
      </c>
      <c r="Z70" s="30" t="inlineStr">
        <is>
          <t>Total</t>
        </is>
      </c>
    </row>
    <row r="71">
      <c r="B71" s="38" t="inlineStr">
        <is>
          <t>OTCs</t>
        </is>
      </c>
      <c r="D71" s="127" t="n">
        <v>0</v>
      </c>
      <c r="E71" s="128" t="n">
        <v>0</v>
      </c>
      <c r="F71" s="128" t="n">
        <v>0</v>
      </c>
      <c r="G71" s="128" t="n">
        <v>0</v>
      </c>
      <c r="H71" s="129" t="n">
        <v>0</v>
      </c>
      <c r="J71" s="127" t="n">
        <v>0</v>
      </c>
      <c r="K71" s="128" t="n">
        <v>0</v>
      </c>
      <c r="L71" s="128" t="n">
        <v>0</v>
      </c>
      <c r="M71" s="128" t="n">
        <v>0</v>
      </c>
      <c r="N71" s="129" t="n">
        <v>0</v>
      </c>
      <c r="P71" s="127" t="n">
        <v>0</v>
      </c>
      <c r="Q71" s="128" t="n">
        <v>0</v>
      </c>
      <c r="R71" s="128" t="n">
        <v>0</v>
      </c>
      <c r="S71" s="128" t="n">
        <v>0</v>
      </c>
      <c r="T71" s="129" t="n">
        <v>0</v>
      </c>
      <c r="V71" s="127" t="n">
        <v>0</v>
      </c>
      <c r="W71" s="128" t="n">
        <v>0</v>
      </c>
      <c r="X71" s="128" t="n">
        <v>0</v>
      </c>
      <c r="Y71" s="128" t="n">
        <v>0</v>
      </c>
      <c r="Z71" s="129" t="n">
        <v>0</v>
      </c>
    </row>
    <row r="72">
      <c r="B72" s="49" t="inlineStr">
        <is>
          <t>Devices</t>
        </is>
      </c>
      <c r="D72" s="130" t="n">
        <v>0</v>
      </c>
      <c r="E72" s="131" t="n">
        <v>0</v>
      </c>
      <c r="F72" s="131" t="n">
        <v>0</v>
      </c>
      <c r="G72" s="131" t="n">
        <v>0</v>
      </c>
      <c r="H72" s="132" t="n">
        <v>0</v>
      </c>
      <c r="J72" s="130" t="n">
        <v>0</v>
      </c>
      <c r="K72" s="131" t="n">
        <v>0</v>
      </c>
      <c r="L72" s="131" t="n">
        <v>0</v>
      </c>
      <c r="M72" s="131" t="n">
        <v>0</v>
      </c>
      <c r="N72" s="132" t="n">
        <v>0</v>
      </c>
      <c r="P72" s="130" t="n">
        <v>0</v>
      </c>
      <c r="Q72" s="131" t="n">
        <v>0</v>
      </c>
      <c r="R72" s="131" t="n">
        <v>0</v>
      </c>
      <c r="S72" s="131" t="n">
        <v>0</v>
      </c>
      <c r="T72" s="132" t="n">
        <v>0</v>
      </c>
      <c r="V72" s="130" t="n">
        <v>0</v>
      </c>
      <c r="W72" s="131" t="n">
        <v>0</v>
      </c>
      <c r="X72" s="131" t="n">
        <v>0</v>
      </c>
      <c r="Y72" s="131" t="n">
        <v>0</v>
      </c>
      <c r="Z72" s="132" t="n">
        <v>0</v>
      </c>
    </row>
    <row r="73">
      <c r="B73" s="64" t="inlineStr">
        <is>
          <t>Vaccines</t>
        </is>
      </c>
      <c r="D73" s="130" t="n">
        <v>0</v>
      </c>
      <c r="E73" s="131" t="n">
        <v>0</v>
      </c>
      <c r="F73" s="131" t="n">
        <v>0</v>
      </c>
      <c r="G73" s="131" t="n">
        <v>0</v>
      </c>
      <c r="H73" s="132" t="n">
        <v>0</v>
      </c>
      <c r="J73" s="130" t="n">
        <v>0</v>
      </c>
      <c r="K73" s="131" t="n">
        <v>0</v>
      </c>
      <c r="L73" s="131" t="n">
        <v>0</v>
      </c>
      <c r="M73" s="131" t="n">
        <v>0</v>
      </c>
      <c r="N73" s="132" t="n">
        <v>0</v>
      </c>
      <c r="P73" s="130" t="n">
        <v>0</v>
      </c>
      <c r="Q73" s="131" t="n">
        <v>0</v>
      </c>
      <c r="R73" s="131" t="n">
        <v>0</v>
      </c>
      <c r="S73" s="131" t="n">
        <v>0</v>
      </c>
      <c r="T73" s="132" t="n">
        <v>0</v>
      </c>
      <c r="V73" s="130" t="n">
        <v>0</v>
      </c>
      <c r="W73" s="131" t="n">
        <v>0</v>
      </c>
      <c r="X73" s="131" t="n">
        <v>0</v>
      </c>
      <c r="Y73" s="131" t="n">
        <v>0</v>
      </c>
      <c r="Z73" s="132" t="n">
        <v>0</v>
      </c>
    </row>
    <row r="74">
      <c r="B74" s="64" t="inlineStr">
        <is>
          <t>Repackaged</t>
        </is>
      </c>
      <c r="D74" s="130" t="n">
        <v>0</v>
      </c>
      <c r="E74" s="131" t="n">
        <v>0</v>
      </c>
      <c r="F74" s="131" t="n">
        <v>0</v>
      </c>
      <c r="G74" s="131" t="n">
        <v>0</v>
      </c>
      <c r="H74" s="132" t="n">
        <v>0</v>
      </c>
      <c r="J74" s="130" t="n">
        <v>0</v>
      </c>
      <c r="K74" s="131" t="n">
        <v>0</v>
      </c>
      <c r="L74" s="131" t="n">
        <v>0</v>
      </c>
      <c r="M74" s="131" t="n">
        <v>0</v>
      </c>
      <c r="N74" s="132" t="n">
        <v>0</v>
      </c>
      <c r="P74" s="130" t="n">
        <v>0</v>
      </c>
      <c r="Q74" s="131" t="n">
        <v>0</v>
      </c>
      <c r="R74" s="131" t="n">
        <v>0</v>
      </c>
      <c r="S74" s="131" t="n">
        <v>0</v>
      </c>
      <c r="T74" s="132" t="n">
        <v>0</v>
      </c>
      <c r="V74" s="130" t="n">
        <v>0</v>
      </c>
      <c r="W74" s="131" t="n">
        <v>0</v>
      </c>
      <c r="X74" s="131" t="n">
        <v>0</v>
      </c>
      <c r="Y74" s="131" t="n">
        <v>0</v>
      </c>
      <c r="Z74" s="132" t="n">
        <v>0</v>
      </c>
    </row>
    <row r="75">
      <c r="B75" s="64" t="inlineStr">
        <is>
          <t>MSBs</t>
        </is>
      </c>
      <c r="D75" s="130" t="n">
        <v>0</v>
      </c>
      <c r="E75" s="131" t="n">
        <v>0</v>
      </c>
      <c r="F75" s="131" t="n">
        <v>0</v>
      </c>
      <c r="G75" s="131" t="n">
        <v>0</v>
      </c>
      <c r="H75" s="132" t="n">
        <v>0</v>
      </c>
      <c r="J75" s="130" t="n">
        <v>0</v>
      </c>
      <c r="K75" s="131" t="n">
        <v>0</v>
      </c>
      <c r="L75" s="131" t="n">
        <v>0</v>
      </c>
      <c r="M75" s="131" t="n">
        <v>0</v>
      </c>
      <c r="N75" s="132" t="n">
        <v>0</v>
      </c>
      <c r="P75" s="130" t="n">
        <v>0</v>
      </c>
      <c r="Q75" s="131" t="n">
        <v>0</v>
      </c>
      <c r="R75" s="131" t="n">
        <v>0</v>
      </c>
      <c r="S75" s="131" t="n">
        <v>0</v>
      </c>
      <c r="T75" s="132" t="n">
        <v>0</v>
      </c>
      <c r="V75" s="130" t="n">
        <v>0</v>
      </c>
      <c r="W75" s="131" t="n">
        <v>0</v>
      </c>
      <c r="X75" s="131" t="n">
        <v>0</v>
      </c>
      <c r="Y75" s="131" t="n">
        <v>0</v>
      </c>
      <c r="Z75" s="132" t="n">
        <v>0</v>
      </c>
    </row>
    <row r="76">
      <c r="B76" s="64" t="inlineStr">
        <is>
          <t>Non FDA Approved</t>
        </is>
      </c>
      <c r="D76" s="130" t="n">
        <v>0</v>
      </c>
      <c r="E76" s="131" t="n">
        <v>0</v>
      </c>
      <c r="F76" s="131" t="n">
        <v>0</v>
      </c>
      <c r="G76" s="131" t="n">
        <v>0</v>
      </c>
      <c r="H76" s="132" t="n">
        <v>0</v>
      </c>
      <c r="J76" s="130" t="n">
        <v>0</v>
      </c>
      <c r="K76" s="131" t="n">
        <v>0</v>
      </c>
      <c r="L76" s="131" t="n">
        <v>0</v>
      </c>
      <c r="M76" s="131" t="n">
        <v>0</v>
      </c>
      <c r="N76" s="132" t="n">
        <v>0</v>
      </c>
      <c r="P76" s="130" t="n">
        <v>0</v>
      </c>
      <c r="Q76" s="131" t="n">
        <v>0</v>
      </c>
      <c r="R76" s="131" t="n">
        <v>0</v>
      </c>
      <c r="S76" s="131" t="n">
        <v>0</v>
      </c>
      <c r="T76" s="132" t="n">
        <v>0</v>
      </c>
      <c r="V76" s="130" t="n">
        <v>0</v>
      </c>
      <c r="W76" s="131" t="n">
        <v>0</v>
      </c>
      <c r="X76" s="131" t="n">
        <v>0</v>
      </c>
      <c r="Y76" s="131" t="n">
        <v>0</v>
      </c>
      <c r="Z76" s="132" t="n">
        <v>0</v>
      </c>
    </row>
    <row r="77">
      <c r="B77" s="64" t="inlineStr">
        <is>
          <t>LDD</t>
        </is>
      </c>
      <c r="D77" s="130" t="n">
        <v>0</v>
      </c>
      <c r="E77" s="131" t="n">
        <v>0</v>
      </c>
      <c r="F77" s="131" t="n">
        <v>0</v>
      </c>
      <c r="G77" s="131" t="n">
        <v>0</v>
      </c>
      <c r="H77" s="132" t="n">
        <v>0</v>
      </c>
      <c r="J77" s="130" t="n">
        <v>0</v>
      </c>
      <c r="K77" s="131" t="n">
        <v>0</v>
      </c>
      <c r="L77" s="131" t="n">
        <v>0</v>
      </c>
      <c r="M77" s="131" t="n">
        <v>0.7494770222813295</v>
      </c>
      <c r="N77" s="132" t="n">
        <v>0.7494770222813295</v>
      </c>
      <c r="P77" s="130" t="n">
        <v>0</v>
      </c>
      <c r="Q77" s="131" t="n">
        <v>0</v>
      </c>
      <c r="R77" s="131" t="n">
        <v>0</v>
      </c>
      <c r="S77" s="131" t="n">
        <v>0.8356985266883201</v>
      </c>
      <c r="T77" s="132" t="n">
        <v>0.8356985266883201</v>
      </c>
      <c r="V77" s="130" t="n">
        <v>0</v>
      </c>
      <c r="W77" s="131" t="n">
        <v>0</v>
      </c>
      <c r="X77" s="131" t="n">
        <v>0</v>
      </c>
      <c r="Y77" s="131" t="n">
        <v>0.8963748172115763</v>
      </c>
      <c r="Z77" s="132" t="n">
        <v>0.8963748172115763</v>
      </c>
    </row>
    <row r="78">
      <c r="B78" s="64" t="inlineStr">
        <is>
          <t>Institutional NDCs</t>
        </is>
      </c>
      <c r="D78" s="130" t="n">
        <v>12</v>
      </c>
      <c r="E78" s="131" t="n">
        <v>0</v>
      </c>
      <c r="F78" s="131" t="n">
        <v>0</v>
      </c>
      <c r="G78" s="131" t="n">
        <v>0</v>
      </c>
      <c r="H78" s="132" t="n">
        <v>12</v>
      </c>
      <c r="J78" s="130" t="n">
        <v>14.09182804708895</v>
      </c>
      <c r="K78" s="131" t="n">
        <v>0</v>
      </c>
      <c r="L78" s="131" t="n">
        <v>0</v>
      </c>
      <c r="M78" s="131" t="n">
        <v>0</v>
      </c>
      <c r="N78" s="132" t="n">
        <v>14.09182804708895</v>
      </c>
      <c r="P78" s="130" t="n">
        <v>19.96087013213621</v>
      </c>
      <c r="Q78" s="131" t="n">
        <v>0</v>
      </c>
      <c r="R78" s="131" t="n">
        <v>0</v>
      </c>
      <c r="S78" s="131" t="n">
        <v>0</v>
      </c>
      <c r="T78" s="132" t="n">
        <v>19.96087013213621</v>
      </c>
      <c r="V78" s="130" t="n">
        <v>22.02775740512093</v>
      </c>
      <c r="W78" s="131" t="n">
        <v>0</v>
      </c>
      <c r="X78" s="131" t="n">
        <v>0</v>
      </c>
      <c r="Y78" s="131" t="n">
        <v>0</v>
      </c>
      <c r="Z78" s="132" t="n">
        <v>22.02775740512093</v>
      </c>
    </row>
    <row r="79" ht="15" customHeight="1">
      <c r="B79" s="64" t="inlineStr">
        <is>
          <t>Formulary Exclusions</t>
        </is>
      </c>
      <c r="D79" s="130" t="n">
        <v>2019</v>
      </c>
      <c r="E79" s="131" t="n">
        <v>2404</v>
      </c>
      <c r="F79" s="131" t="n">
        <v>10</v>
      </c>
      <c r="G79" s="131" t="n">
        <v>0</v>
      </c>
      <c r="H79" s="132" t="n">
        <v>4433</v>
      </c>
      <c r="J79" s="130" t="n">
        <v>2476.941695579429</v>
      </c>
      <c r="K79" s="131" t="n">
        <v>2849.092396586792</v>
      </c>
      <c r="L79" s="131" t="n">
        <v>11.82289063599359</v>
      </c>
      <c r="M79" s="131" t="n">
        <v>0</v>
      </c>
      <c r="N79" s="132" t="n">
        <v>5337.856982802215</v>
      </c>
      <c r="P79" s="130" t="n">
        <v>2558.682056625254</v>
      </c>
      <c r="Q79" s="131" t="n">
        <v>2925.262718709263</v>
      </c>
      <c r="R79" s="131" t="n">
        <v>12.15252135439121</v>
      </c>
      <c r="S79" s="131" t="n">
        <v>0</v>
      </c>
      <c r="T79" s="132" t="n">
        <v>5496.097296688908</v>
      </c>
      <c r="V79" s="130" t="n">
        <v>2611.881295037885</v>
      </c>
      <c r="W79" s="131" t="n">
        <v>2984.036659919333</v>
      </c>
      <c r="X79" s="131" t="n">
        <v>12.40600426369416</v>
      </c>
      <c r="Y79" s="131" t="n">
        <v>0</v>
      </c>
      <c r="Z79" s="132" t="n">
        <v>5608.323959220912</v>
      </c>
    </row>
    <row r="80">
      <c r="B80" s="64" t="inlineStr">
        <is>
          <t>Synthroid</t>
        </is>
      </c>
      <c r="D80" s="130" t="n">
        <v>0</v>
      </c>
      <c r="E80" s="131" t="n">
        <v>0</v>
      </c>
      <c r="F80" s="131" t="n">
        <v>0</v>
      </c>
      <c r="G80" s="131" t="n">
        <v>0</v>
      </c>
      <c r="H80" s="132" t="n">
        <v>0</v>
      </c>
      <c r="J80" s="130" t="n">
        <v>0</v>
      </c>
      <c r="K80" s="131" t="n">
        <v>0</v>
      </c>
      <c r="L80" s="131" t="n">
        <v>0</v>
      </c>
      <c r="M80" s="131" t="n">
        <v>0</v>
      </c>
      <c r="N80" s="132" t="n">
        <v>0</v>
      </c>
      <c r="P80" s="130" t="n">
        <v>0</v>
      </c>
      <c r="Q80" s="131" t="n">
        <v>0</v>
      </c>
      <c r="R80" s="131" t="n">
        <v>0</v>
      </c>
      <c r="S80" s="131" t="n">
        <v>0</v>
      </c>
      <c r="T80" s="132" t="n">
        <v>0</v>
      </c>
      <c r="V80" s="130" t="n">
        <v>0</v>
      </c>
      <c r="W80" s="131" t="n">
        <v>0</v>
      </c>
      <c r="X80" s="131" t="n">
        <v>0</v>
      </c>
      <c r="Y80" s="131" t="n">
        <v>0</v>
      </c>
      <c r="Z80" s="132" t="n">
        <v>0</v>
      </c>
    </row>
    <row r="81">
      <c r="B81" s="64" t="inlineStr">
        <is>
          <t>Misc</t>
        </is>
      </c>
      <c r="D81" s="130" t="n">
        <v>20</v>
      </c>
      <c r="E81" s="131" t="n">
        <v>0</v>
      </c>
      <c r="F81" s="131" t="n">
        <v>0</v>
      </c>
      <c r="G81" s="131" t="n">
        <v>383</v>
      </c>
      <c r="H81" s="132" t="n">
        <v>403</v>
      </c>
      <c r="J81" s="130" t="n">
        <v>22.84568983718054</v>
      </c>
      <c r="K81" s="131" t="n">
        <v>0</v>
      </c>
      <c r="L81" s="131" t="n">
        <v>0</v>
      </c>
      <c r="M81" s="131" t="n">
        <v>646.2757591213291</v>
      </c>
      <c r="N81" s="132" t="n">
        <v>669.1214489585096</v>
      </c>
      <c r="P81" s="130" t="n">
        <v>35.63096672660322</v>
      </c>
      <c r="Q81" s="131" t="n">
        <v>0</v>
      </c>
      <c r="R81" s="131" t="n">
        <v>0</v>
      </c>
      <c r="S81" s="131" t="n">
        <v>732.1357703742319</v>
      </c>
      <c r="T81" s="132" t="n">
        <v>767.7667371008351</v>
      </c>
      <c r="V81" s="130" t="n">
        <v>53.71684799538343</v>
      </c>
      <c r="W81" s="131" t="n">
        <v>0</v>
      </c>
      <c r="X81" s="131" t="n">
        <v>0</v>
      </c>
      <c r="Y81" s="131" t="n">
        <v>880.0595490867236</v>
      </c>
      <c r="Z81" s="132" t="n">
        <v>933.776397082107</v>
      </c>
    </row>
    <row r="82">
      <c r="B82" s="64" t="inlineStr">
        <is>
          <t>Specialty</t>
        </is>
      </c>
      <c r="D82" s="133" t="n">
        <v>0</v>
      </c>
      <c r="E82" s="134" t="n">
        <v>0</v>
      </c>
      <c r="F82" s="134" t="n">
        <v>0</v>
      </c>
      <c r="G82" s="134" t="n">
        <v>383</v>
      </c>
      <c r="H82" s="135" t="n">
        <v>383</v>
      </c>
      <c r="J82" s="133" t="n">
        <v>0</v>
      </c>
      <c r="K82" s="134" t="n">
        <v>0</v>
      </c>
      <c r="L82" s="134" t="n">
        <v>0</v>
      </c>
      <c r="M82" s="134" t="n">
        <v>646.2757591213291</v>
      </c>
      <c r="N82" s="135" t="n">
        <v>646.2757591213291</v>
      </c>
      <c r="P82" s="133" t="n">
        <v>0</v>
      </c>
      <c r="Q82" s="134" t="n">
        <v>0</v>
      </c>
      <c r="R82" s="134" t="n">
        <v>0</v>
      </c>
      <c r="S82" s="134" t="n">
        <v>732.1357703742319</v>
      </c>
      <c r="T82" s="135" t="n">
        <v>732.1357703742319</v>
      </c>
      <c r="V82" s="133" t="n">
        <v>0</v>
      </c>
      <c r="W82" s="134" t="n">
        <v>0</v>
      </c>
      <c r="X82" s="134" t="n">
        <v>0</v>
      </c>
      <c r="Y82" s="134" t="n">
        <v>880.0595490867236</v>
      </c>
      <c r="Z82" s="135" t="n">
        <v>880.0595490867236</v>
      </c>
    </row>
    <row r="83">
      <c r="A83" s="98" t="inlineStr">
        <is>
          <t>Added MFP row but needs adjusting for non-CY</t>
        </is>
      </c>
      <c r="B83" s="64" t="inlineStr">
        <is>
          <t>MFP 2026, 2027</t>
        </is>
      </c>
      <c r="D83" s="133" t="n">
        <v>0</v>
      </c>
      <c r="E83" s="134" t="n">
        <v>0</v>
      </c>
      <c r="F83" s="134" t="n">
        <v>0</v>
      </c>
      <c r="G83" s="134" t="n">
        <v>0</v>
      </c>
      <c r="H83" s="135" t="n">
        <v>0</v>
      </c>
      <c r="J83" s="133" t="n">
        <v>0</v>
      </c>
      <c r="K83" s="134" t="n">
        <v>0</v>
      </c>
      <c r="L83" s="134" t="n">
        <v>0</v>
      </c>
      <c r="M83" s="134" t="n">
        <v>0</v>
      </c>
      <c r="N83" s="135" t="n">
        <v>0</v>
      </c>
      <c r="P83" s="133" t="n">
        <v>0</v>
      </c>
      <c r="Q83" s="134" t="n">
        <v>0</v>
      </c>
      <c r="R83" s="134" t="n">
        <v>0</v>
      </c>
      <c r="S83" s="134" t="n">
        <v>0</v>
      </c>
      <c r="T83" s="135" t="n">
        <v>0</v>
      </c>
      <c r="V83" s="133" t="n">
        <v>0</v>
      </c>
      <c r="W83" s="134" t="n">
        <v>0</v>
      </c>
      <c r="X83" s="134" t="n">
        <v>0</v>
      </c>
      <c r="Y83" s="134" t="n">
        <v>0</v>
      </c>
      <c r="Z83" s="135" t="n">
        <v>0</v>
      </c>
    </row>
    <row r="84">
      <c r="B84" s="100">
        <f>$B$66</f>
        <v/>
      </c>
      <c r="D84" s="133" t="n">
        <v>0</v>
      </c>
      <c r="E84" s="134" t="n">
        <v>0</v>
      </c>
      <c r="F84" s="134" t="n">
        <v>0</v>
      </c>
      <c r="G84" s="134" t="n">
        <v>0</v>
      </c>
      <c r="H84" s="135" t="n">
        <v>0</v>
      </c>
      <c r="J84" s="133" t="n">
        <v>0</v>
      </c>
      <c r="K84" s="134" t="n">
        <v>0</v>
      </c>
      <c r="L84" s="134" t="n">
        <v>0</v>
      </c>
      <c r="M84" s="134" t="n">
        <v>0</v>
      </c>
      <c r="N84" s="135" t="n">
        <v>0</v>
      </c>
      <c r="P84" s="133" t="n">
        <v>0</v>
      </c>
      <c r="Q84" s="134" t="n">
        <v>0</v>
      </c>
      <c r="R84" s="134" t="n">
        <v>0</v>
      </c>
      <c r="S84" s="134" t="n">
        <v>0</v>
      </c>
      <c r="T84" s="135" t="n">
        <v>0</v>
      </c>
      <c r="V84" s="133" t="n">
        <v>0</v>
      </c>
      <c r="W84" s="134" t="n">
        <v>0</v>
      </c>
      <c r="X84" s="134" t="n">
        <v>0</v>
      </c>
      <c r="Y84" s="134" t="n">
        <v>0</v>
      </c>
      <c r="Z84" s="135" t="n">
        <v>0</v>
      </c>
    </row>
    <row r="85" ht="15" customHeight="1" thickBot="1">
      <c r="B85" s="59" t="inlineStr">
        <is>
          <t>Non-Rebatable</t>
        </is>
      </c>
      <c r="D85" s="136" t="n">
        <v>0</v>
      </c>
      <c r="E85" s="137" t="n">
        <v>0</v>
      </c>
      <c r="F85" s="137" t="n">
        <v>0</v>
      </c>
      <c r="G85" s="137" t="n">
        <v>0</v>
      </c>
      <c r="H85" s="138" t="n">
        <v>0</v>
      </c>
      <c r="J85" s="139" t="n">
        <v>239343.9668228973</v>
      </c>
      <c r="K85" s="140" t="n">
        <v>246638.3140649248</v>
      </c>
      <c r="L85" s="140" t="n">
        <v>3884.037794688341</v>
      </c>
      <c r="M85" s="140" t="n">
        <v>0</v>
      </c>
      <c r="N85" s="141" t="n">
        <v>489866.3186825104</v>
      </c>
      <c r="P85" s="139" t="n">
        <v>244499.1255482345</v>
      </c>
      <c r="Q85" s="140" t="n">
        <v>252865.283451084</v>
      </c>
      <c r="R85" s="140" t="n">
        <v>3973.333705512458</v>
      </c>
      <c r="S85" s="140" t="n">
        <v>0</v>
      </c>
      <c r="T85" s="141" t="n">
        <v>501337.7427048309</v>
      </c>
      <c r="V85" s="139" t="n">
        <v>248584.5047241183</v>
      </c>
      <c r="W85" s="140" t="n">
        <v>256728.376959773</v>
      </c>
      <c r="X85" s="140" t="n">
        <v>4026.4599762026</v>
      </c>
      <c r="Y85" s="140" t="n">
        <v>0</v>
      </c>
      <c r="Z85" s="141" t="n">
        <v>509339.3416600939</v>
      </c>
    </row>
    <row r="86" ht="15.6" customHeight="1" thickBot="1" thickTop="1">
      <c r="B86" s="69" t="inlineStr">
        <is>
          <t>Total</t>
        </is>
      </c>
      <c r="D86" s="142" t="n">
        <v>2051</v>
      </c>
      <c r="E86" s="143" t="n">
        <v>2404</v>
      </c>
      <c r="F86" s="143" t="n">
        <v>10</v>
      </c>
      <c r="G86" s="143" t="n">
        <v>383</v>
      </c>
      <c r="H86" s="144" t="n">
        <v>5231</v>
      </c>
      <c r="J86" s="142" t="n">
        <v>241857.846036361</v>
      </c>
      <c r="K86" s="143" t="n">
        <v>249487.4064615115</v>
      </c>
      <c r="L86" s="143" t="n">
        <v>3895.860685324335</v>
      </c>
      <c r="M86" s="143" t="n">
        <v>647.0252361436104</v>
      </c>
      <c r="N86" s="144" t="n">
        <v>496534.4141784618</v>
      </c>
      <c r="P86" s="142" t="n">
        <v>247113.3994417185</v>
      </c>
      <c r="Q86" s="143" t="n">
        <v>255790.5461697932</v>
      </c>
      <c r="R86" s="143" t="n">
        <v>3985.486226866849</v>
      </c>
      <c r="S86" s="143" t="n">
        <v>732.9714689009203</v>
      </c>
      <c r="T86" s="144" t="n">
        <v>508354.5390776537</v>
      </c>
      <c r="V86" s="142" t="n">
        <v>251272.1306245567</v>
      </c>
      <c r="W86" s="143" t="n">
        <v>259712.4136196924</v>
      </c>
      <c r="X86" s="143" t="n">
        <v>4038.865980466294</v>
      </c>
      <c r="Y86" s="143" t="n">
        <v>880.9559239039352</v>
      </c>
      <c r="Z86" s="144" t="n">
        <v>516784.4256977059</v>
      </c>
    </row>
    <row r="87" ht="15" customHeight="1" thickBot="1">
      <c r="D87" s="145" t="n"/>
      <c r="E87" s="145" t="n"/>
      <c r="F87" s="145" t="n"/>
      <c r="G87" s="145" t="n"/>
      <c r="H87" s="145" t="n"/>
      <c r="J87" s="145" t="n"/>
      <c r="K87" s="145" t="n"/>
      <c r="L87" s="145" t="n"/>
      <c r="M87" s="145" t="n"/>
      <c r="N87" s="145" t="n"/>
      <c r="P87" s="145" t="n"/>
      <c r="Q87" s="145" t="n"/>
      <c r="R87" s="145" t="n"/>
      <c r="S87" s="145" t="n"/>
      <c r="T87" s="145" t="n"/>
      <c r="V87" s="145" t="n"/>
      <c r="W87" s="145" t="n"/>
      <c r="X87" s="145" t="n"/>
      <c r="Y87" s="145" t="n"/>
      <c r="Z87" s="145" t="n"/>
    </row>
    <row r="88" ht="15" customHeight="1" thickBot="1">
      <c r="B88" s="27" t="inlineStr">
        <is>
          <t>Excl - Total</t>
        </is>
      </c>
      <c r="D88" s="28" t="inlineStr">
        <is>
          <t>R30</t>
        </is>
      </c>
      <c r="E88" s="29" t="inlineStr">
        <is>
          <t>R90</t>
        </is>
      </c>
      <c r="F88" s="29" t="inlineStr">
        <is>
          <t>Mail</t>
        </is>
      </c>
      <c r="G88" s="29" t="inlineStr">
        <is>
          <t>Specialty</t>
        </is>
      </c>
      <c r="H88" s="30" t="inlineStr">
        <is>
          <t>Total</t>
        </is>
      </c>
      <c r="J88" s="28" t="inlineStr">
        <is>
          <t>R30</t>
        </is>
      </c>
      <c r="K88" s="29" t="inlineStr">
        <is>
          <t>R90</t>
        </is>
      </c>
      <c r="L88" s="29" t="inlineStr">
        <is>
          <t>Mail</t>
        </is>
      </c>
      <c r="M88" s="29" t="inlineStr">
        <is>
          <t>Specialty</t>
        </is>
      </c>
      <c r="N88" s="30" t="inlineStr">
        <is>
          <t>Total</t>
        </is>
      </c>
      <c r="P88" s="28" t="inlineStr">
        <is>
          <t>R30</t>
        </is>
      </c>
      <c r="Q88" s="29" t="inlineStr">
        <is>
          <t>R90</t>
        </is>
      </c>
      <c r="R88" s="29" t="inlineStr">
        <is>
          <t>Mail</t>
        </is>
      </c>
      <c r="S88" s="29" t="inlineStr">
        <is>
          <t>Specialty</t>
        </is>
      </c>
      <c r="T88" s="30" t="inlineStr">
        <is>
          <t>Total</t>
        </is>
      </c>
      <c r="V88" s="28" t="inlineStr">
        <is>
          <t>R30</t>
        </is>
      </c>
      <c r="W88" s="29" t="inlineStr">
        <is>
          <t>R90</t>
        </is>
      </c>
      <c r="X88" s="29" t="inlineStr">
        <is>
          <t>Mail</t>
        </is>
      </c>
      <c r="Y88" s="29" t="inlineStr">
        <is>
          <t>Specialty</t>
        </is>
      </c>
      <c r="Z88" s="30" t="inlineStr">
        <is>
          <t>Total</t>
        </is>
      </c>
    </row>
    <row r="89">
      <c r="B89" s="38" t="inlineStr">
        <is>
          <t>OTCs</t>
        </is>
      </c>
      <c r="D89" s="127" t="n">
        <v>0</v>
      </c>
      <c r="E89" s="128" t="n">
        <v>0</v>
      </c>
      <c r="F89" s="128" t="n">
        <v>0</v>
      </c>
      <c r="G89" s="128" t="n">
        <v>0</v>
      </c>
      <c r="H89" s="129" t="n">
        <v>0</v>
      </c>
      <c r="J89" s="127" t="n">
        <v>0</v>
      </c>
      <c r="K89" s="128" t="n">
        <v>0</v>
      </c>
      <c r="L89" s="128" t="n">
        <v>0</v>
      </c>
      <c r="M89" s="128" t="n">
        <v>0</v>
      </c>
      <c r="N89" s="129" t="n">
        <v>0</v>
      </c>
      <c r="P89" s="127" t="n">
        <v>0</v>
      </c>
      <c r="Q89" s="128" t="n">
        <v>0</v>
      </c>
      <c r="R89" s="128" t="n">
        <v>0</v>
      </c>
      <c r="S89" s="128" t="n">
        <v>0</v>
      </c>
      <c r="T89" s="129" t="n">
        <v>0</v>
      </c>
      <c r="V89" s="127" t="n">
        <v>0</v>
      </c>
      <c r="W89" s="128" t="n">
        <v>0</v>
      </c>
      <c r="X89" s="128" t="n">
        <v>0</v>
      </c>
      <c r="Y89" s="128" t="n">
        <v>0</v>
      </c>
      <c r="Z89" s="129" t="n">
        <v>0</v>
      </c>
    </row>
    <row r="90">
      <c r="B90" s="49" t="inlineStr">
        <is>
          <t>Devices</t>
        </is>
      </c>
      <c r="D90" s="130" t="n">
        <v>0</v>
      </c>
      <c r="E90" s="131" t="n">
        <v>0</v>
      </c>
      <c r="F90" s="131" t="n">
        <v>0</v>
      </c>
      <c r="G90" s="131" t="n">
        <v>0</v>
      </c>
      <c r="H90" s="132" t="n">
        <v>0</v>
      </c>
      <c r="J90" s="130" t="n">
        <v>0</v>
      </c>
      <c r="K90" s="131" t="n">
        <v>0</v>
      </c>
      <c r="L90" s="131" t="n">
        <v>0</v>
      </c>
      <c r="M90" s="131" t="n">
        <v>0</v>
      </c>
      <c r="N90" s="132" t="n">
        <v>0</v>
      </c>
      <c r="P90" s="130" t="n">
        <v>0</v>
      </c>
      <c r="Q90" s="131" t="n">
        <v>0</v>
      </c>
      <c r="R90" s="131" t="n">
        <v>0</v>
      </c>
      <c r="S90" s="131" t="n">
        <v>0</v>
      </c>
      <c r="T90" s="132" t="n">
        <v>0</v>
      </c>
      <c r="V90" s="130" t="n">
        <v>0</v>
      </c>
      <c r="W90" s="131" t="n">
        <v>0</v>
      </c>
      <c r="X90" s="131" t="n">
        <v>0</v>
      </c>
      <c r="Y90" s="131" t="n">
        <v>0</v>
      </c>
      <c r="Z90" s="132" t="n">
        <v>0</v>
      </c>
    </row>
    <row r="91">
      <c r="B91" s="64" t="inlineStr">
        <is>
          <t>Vaccines</t>
        </is>
      </c>
      <c r="D91" s="130" t="n">
        <v>0</v>
      </c>
      <c r="E91" s="131" t="n">
        <v>0</v>
      </c>
      <c r="F91" s="131" t="n">
        <v>0</v>
      </c>
      <c r="G91" s="131" t="n">
        <v>0</v>
      </c>
      <c r="H91" s="132" t="n">
        <v>0</v>
      </c>
      <c r="J91" s="130" t="n">
        <v>0</v>
      </c>
      <c r="K91" s="131" t="n">
        <v>0</v>
      </c>
      <c r="L91" s="131" t="n">
        <v>0</v>
      </c>
      <c r="M91" s="131" t="n">
        <v>0</v>
      </c>
      <c r="N91" s="132" t="n">
        <v>0</v>
      </c>
      <c r="P91" s="130" t="n">
        <v>0</v>
      </c>
      <c r="Q91" s="131" t="n">
        <v>0</v>
      </c>
      <c r="R91" s="131" t="n">
        <v>0</v>
      </c>
      <c r="S91" s="131" t="n">
        <v>0</v>
      </c>
      <c r="T91" s="132" t="n">
        <v>0</v>
      </c>
      <c r="V91" s="130" t="n">
        <v>0</v>
      </c>
      <c r="W91" s="131" t="n">
        <v>0</v>
      </c>
      <c r="X91" s="131" t="n">
        <v>0</v>
      </c>
      <c r="Y91" s="131" t="n">
        <v>0</v>
      </c>
      <c r="Z91" s="132" t="n">
        <v>0</v>
      </c>
    </row>
    <row r="92">
      <c r="B92" s="64" t="inlineStr">
        <is>
          <t>Repackaged</t>
        </is>
      </c>
      <c r="D92" s="130" t="n">
        <v>0</v>
      </c>
      <c r="E92" s="131" t="n">
        <v>0</v>
      </c>
      <c r="F92" s="131" t="n">
        <v>0</v>
      </c>
      <c r="G92" s="131" t="n">
        <v>0</v>
      </c>
      <c r="H92" s="132" t="n">
        <v>0</v>
      </c>
      <c r="J92" s="130" t="n">
        <v>0</v>
      </c>
      <c r="K92" s="131" t="n">
        <v>0</v>
      </c>
      <c r="L92" s="131" t="n">
        <v>0</v>
      </c>
      <c r="M92" s="131" t="n">
        <v>0</v>
      </c>
      <c r="N92" s="132" t="n">
        <v>0</v>
      </c>
      <c r="P92" s="130" t="n">
        <v>0</v>
      </c>
      <c r="Q92" s="131" t="n">
        <v>0</v>
      </c>
      <c r="R92" s="131" t="n">
        <v>0</v>
      </c>
      <c r="S92" s="131" t="n">
        <v>0</v>
      </c>
      <c r="T92" s="132" t="n">
        <v>0</v>
      </c>
      <c r="V92" s="130" t="n">
        <v>0</v>
      </c>
      <c r="W92" s="131" t="n">
        <v>0</v>
      </c>
      <c r="X92" s="131" t="n">
        <v>0</v>
      </c>
      <c r="Y92" s="131" t="n">
        <v>0</v>
      </c>
      <c r="Z92" s="132" t="n">
        <v>0</v>
      </c>
    </row>
    <row r="93">
      <c r="B93" s="64" t="inlineStr">
        <is>
          <t>MSBs</t>
        </is>
      </c>
      <c r="D93" s="130" t="n">
        <v>0</v>
      </c>
      <c r="E93" s="131" t="n">
        <v>0</v>
      </c>
      <c r="F93" s="131" t="n">
        <v>0</v>
      </c>
      <c r="G93" s="131" t="n">
        <v>0</v>
      </c>
      <c r="H93" s="132" t="n">
        <v>0</v>
      </c>
      <c r="J93" s="130" t="n">
        <v>0</v>
      </c>
      <c r="K93" s="131" t="n">
        <v>0</v>
      </c>
      <c r="L93" s="131" t="n">
        <v>0</v>
      </c>
      <c r="M93" s="131" t="n">
        <v>0</v>
      </c>
      <c r="N93" s="132" t="n">
        <v>0</v>
      </c>
      <c r="P93" s="130" t="n">
        <v>0</v>
      </c>
      <c r="Q93" s="131" t="n">
        <v>0</v>
      </c>
      <c r="R93" s="131" t="n">
        <v>0</v>
      </c>
      <c r="S93" s="131" t="n">
        <v>0</v>
      </c>
      <c r="T93" s="132" t="n">
        <v>0</v>
      </c>
      <c r="V93" s="130" t="n">
        <v>0</v>
      </c>
      <c r="W93" s="131" t="n">
        <v>0</v>
      </c>
      <c r="X93" s="131" t="n">
        <v>0</v>
      </c>
      <c r="Y93" s="131" t="n">
        <v>0</v>
      </c>
      <c r="Z93" s="132" t="n">
        <v>0</v>
      </c>
    </row>
    <row r="94">
      <c r="B94" s="64" t="inlineStr">
        <is>
          <t>Non FDA Approved</t>
        </is>
      </c>
      <c r="D94" s="130" t="n">
        <v>0</v>
      </c>
      <c r="E94" s="131" t="n">
        <v>6</v>
      </c>
      <c r="F94" s="131" t="n">
        <v>0</v>
      </c>
      <c r="G94" s="131" t="n">
        <v>0</v>
      </c>
      <c r="H94" s="132" t="n">
        <v>6</v>
      </c>
      <c r="J94" s="130" t="n">
        <v>0</v>
      </c>
      <c r="K94" s="131" t="n">
        <v>6.885489488627885</v>
      </c>
      <c r="L94" s="131" t="n">
        <v>0</v>
      </c>
      <c r="M94" s="131" t="n">
        <v>0</v>
      </c>
      <c r="N94" s="132" t="n">
        <v>6.885489488627885</v>
      </c>
      <c r="P94" s="130" t="n">
        <v>0</v>
      </c>
      <c r="Q94" s="131" t="n">
        <v>7.09762893823543</v>
      </c>
      <c r="R94" s="131" t="n">
        <v>0</v>
      </c>
      <c r="S94" s="131" t="n">
        <v>0</v>
      </c>
      <c r="T94" s="132" t="n">
        <v>7.09762893823543</v>
      </c>
      <c r="V94" s="130" t="n">
        <v>0</v>
      </c>
      <c r="W94" s="131" t="n">
        <v>7.29938773026082</v>
      </c>
      <c r="X94" s="131" t="n">
        <v>0</v>
      </c>
      <c r="Y94" s="131" t="n">
        <v>0</v>
      </c>
      <c r="Z94" s="132" t="n">
        <v>7.29938773026082</v>
      </c>
    </row>
    <row r="95">
      <c r="B95" s="64" t="inlineStr">
        <is>
          <t>LDD</t>
        </is>
      </c>
      <c r="D95" s="130" t="n">
        <v>18</v>
      </c>
      <c r="E95" s="131" t="n">
        <v>0</v>
      </c>
      <c r="F95" s="131" t="n">
        <v>0</v>
      </c>
      <c r="G95" s="131" t="n">
        <v>1</v>
      </c>
      <c r="H95" s="132" t="n">
        <v>19</v>
      </c>
      <c r="J95" s="130" t="n">
        <v>24.87719139716617</v>
      </c>
      <c r="K95" s="131" t="n">
        <v>0</v>
      </c>
      <c r="L95" s="131" t="n">
        <v>0</v>
      </c>
      <c r="M95" s="131" t="n">
        <v>1.367136085871659</v>
      </c>
      <c r="N95" s="132" t="n">
        <v>26.24432748303783</v>
      </c>
      <c r="P95" s="130" t="n">
        <v>27.65663487526179</v>
      </c>
      <c r="Q95" s="131" t="n">
        <v>0</v>
      </c>
      <c r="R95" s="131" t="n">
        <v>0</v>
      </c>
      <c r="S95" s="131" t="n">
        <v>1.446478003178301</v>
      </c>
      <c r="T95" s="132" t="n">
        <v>29.10311287844009</v>
      </c>
      <c r="V95" s="130" t="n">
        <v>31.05175440243663</v>
      </c>
      <c r="W95" s="131" t="n">
        <v>0</v>
      </c>
      <c r="X95" s="131" t="n">
        <v>0</v>
      </c>
      <c r="Y95" s="131" t="n">
        <v>1.539423073904818</v>
      </c>
      <c r="Z95" s="132" t="n">
        <v>32.59117747634145</v>
      </c>
    </row>
    <row r="96">
      <c r="B96" s="64" t="inlineStr">
        <is>
          <t>Institutional NDCs</t>
        </is>
      </c>
      <c r="D96" s="130" t="n">
        <v>23</v>
      </c>
      <c r="E96" s="131" t="n">
        <v>0</v>
      </c>
      <c r="F96" s="131" t="n">
        <v>0</v>
      </c>
      <c r="G96" s="131" t="n">
        <v>0</v>
      </c>
      <c r="H96" s="132" t="n">
        <v>23</v>
      </c>
      <c r="J96" s="130" t="n">
        <v>26.24935302529743</v>
      </c>
      <c r="K96" s="131" t="n">
        <v>0</v>
      </c>
      <c r="L96" s="131" t="n">
        <v>0</v>
      </c>
      <c r="M96" s="131" t="n">
        <v>0</v>
      </c>
      <c r="N96" s="132" t="n">
        <v>26.24935302529743</v>
      </c>
      <c r="P96" s="130" t="n">
        <v>26.57911917875575</v>
      </c>
      <c r="Q96" s="131" t="n">
        <v>0</v>
      </c>
      <c r="R96" s="131" t="n">
        <v>0</v>
      </c>
      <c r="S96" s="131" t="n">
        <v>0</v>
      </c>
      <c r="T96" s="132" t="n">
        <v>26.57911917875575</v>
      </c>
      <c r="V96" s="130" t="n">
        <v>28.06187153348851</v>
      </c>
      <c r="W96" s="131" t="n">
        <v>0</v>
      </c>
      <c r="X96" s="131" t="n">
        <v>0</v>
      </c>
      <c r="Y96" s="131" t="n">
        <v>0</v>
      </c>
      <c r="Z96" s="132" t="n">
        <v>28.06187153348851</v>
      </c>
    </row>
    <row r="97">
      <c r="B97" s="64" t="inlineStr">
        <is>
          <t>Formulary Exclusions</t>
        </is>
      </c>
      <c r="D97" s="130" t="n">
        <v>5655</v>
      </c>
      <c r="E97" s="131" t="n">
        <v>4007</v>
      </c>
      <c r="F97" s="131" t="n">
        <v>42</v>
      </c>
      <c r="G97" s="131" t="n">
        <v>0</v>
      </c>
      <c r="H97" s="132" t="n">
        <v>9704</v>
      </c>
      <c r="J97" s="130" t="n">
        <v>8521.815565172983</v>
      </c>
      <c r="K97" s="131" t="n">
        <v>6628.085294105205</v>
      </c>
      <c r="L97" s="131" t="n">
        <v>81.12125915531615</v>
      </c>
      <c r="M97" s="131" t="n">
        <v>0</v>
      </c>
      <c r="N97" s="132" t="n">
        <v>15231.0221184335</v>
      </c>
      <c r="P97" s="130" t="n">
        <v>8787.458946566274</v>
      </c>
      <c r="Q97" s="131" t="n">
        <v>6924.377261876313</v>
      </c>
      <c r="R97" s="131" t="n">
        <v>85.73780046159801</v>
      </c>
      <c r="S97" s="131" t="n">
        <v>0</v>
      </c>
      <c r="T97" s="132" t="n">
        <v>15797.57400890418</v>
      </c>
      <c r="V97" s="130" t="n">
        <v>9058.982559296473</v>
      </c>
      <c r="W97" s="131" t="n">
        <v>7214.103405258798</v>
      </c>
      <c r="X97" s="131" t="n">
        <v>90.06841189161894</v>
      </c>
      <c r="Y97" s="131" t="n">
        <v>0</v>
      </c>
      <c r="Z97" s="132" t="n">
        <v>16363.15437644689</v>
      </c>
    </row>
    <row r="98">
      <c r="B98" s="64" t="inlineStr">
        <is>
          <t>Synthroid</t>
        </is>
      </c>
      <c r="D98" s="130" t="n">
        <v>331</v>
      </c>
      <c r="E98" s="131" t="n">
        <v>641</v>
      </c>
      <c r="F98" s="131" t="n">
        <v>4</v>
      </c>
      <c r="G98" s="131" t="n">
        <v>0</v>
      </c>
      <c r="H98" s="132" t="n">
        <v>976</v>
      </c>
      <c r="J98" s="130" t="n">
        <v>351.9287478386029</v>
      </c>
      <c r="K98" s="131" t="n">
        <v>695.2653220010801</v>
      </c>
      <c r="L98" s="131" t="n">
        <v>4.363987808065344</v>
      </c>
      <c r="M98" s="131" t="n">
        <v>0</v>
      </c>
      <c r="N98" s="132" t="n">
        <v>1051.558057647748</v>
      </c>
      <c r="P98" s="130" t="n">
        <v>344.8677977438759</v>
      </c>
      <c r="Q98" s="131" t="n">
        <v>695.6708181072372</v>
      </c>
      <c r="R98" s="131" t="n">
        <v>4.376881306996877</v>
      </c>
      <c r="S98" s="131" t="n">
        <v>0</v>
      </c>
      <c r="T98" s="132" t="n">
        <v>1044.91549715811</v>
      </c>
      <c r="V98" s="130" t="n">
        <v>337.2252462051625</v>
      </c>
      <c r="W98" s="131" t="n">
        <v>693.7423997998153</v>
      </c>
      <c r="X98" s="131" t="n">
        <v>4.349920807420687</v>
      </c>
      <c r="Y98" s="131" t="n">
        <v>0</v>
      </c>
      <c r="Z98" s="132" t="n">
        <v>1035.317566812398</v>
      </c>
    </row>
    <row r="99">
      <c r="B99" s="64" t="inlineStr">
        <is>
          <t>Misc</t>
        </is>
      </c>
      <c r="D99" s="130" t="n">
        <v>1732</v>
      </c>
      <c r="E99" s="131" t="n">
        <v>1322</v>
      </c>
      <c r="F99" s="131" t="n">
        <v>21</v>
      </c>
      <c r="G99" s="131" t="n">
        <v>3360</v>
      </c>
      <c r="H99" s="132" t="n">
        <v>6435</v>
      </c>
      <c r="J99" s="130" t="n">
        <v>2715.313301741378</v>
      </c>
      <c r="K99" s="131" t="n">
        <v>2139.409809914592</v>
      </c>
      <c r="L99" s="131" t="n">
        <v>34.42048685206373</v>
      </c>
      <c r="M99" s="131" t="n">
        <v>4701.938698982581</v>
      </c>
      <c r="N99" s="132" t="n">
        <v>9591.082297490615</v>
      </c>
      <c r="P99" s="130" t="n">
        <v>3197.258219982265</v>
      </c>
      <c r="Q99" s="131" t="n">
        <v>2604.95332839858</v>
      </c>
      <c r="R99" s="131" t="n">
        <v>42.03577551248054</v>
      </c>
      <c r="S99" s="131" t="n">
        <v>5099.728555144815</v>
      </c>
      <c r="T99" s="132" t="n">
        <v>10943.97587903814</v>
      </c>
      <c r="V99" s="130" t="n">
        <v>3772.141387435433</v>
      </c>
      <c r="W99" s="131" t="n">
        <v>3171.189177179011</v>
      </c>
      <c r="X99" s="131" t="n">
        <v>51.03255827472276</v>
      </c>
      <c r="Y99" s="131" t="n">
        <v>5541.410161234371</v>
      </c>
      <c r="Z99" s="132" t="n">
        <v>12535.77328412354</v>
      </c>
    </row>
    <row r="100">
      <c r="B100" s="64" t="inlineStr">
        <is>
          <t>Specialty</t>
        </is>
      </c>
      <c r="D100" s="133" t="n">
        <v>0</v>
      </c>
      <c r="E100" s="134" t="n">
        <v>0</v>
      </c>
      <c r="F100" s="134" t="n">
        <v>0</v>
      </c>
      <c r="G100" s="134" t="n">
        <v>3360</v>
      </c>
      <c r="H100" s="135" t="n">
        <v>3360</v>
      </c>
      <c r="J100" s="133" t="n">
        <v>0</v>
      </c>
      <c r="K100" s="134" t="n">
        <v>0</v>
      </c>
      <c r="L100" s="134" t="n">
        <v>0</v>
      </c>
      <c r="M100" s="134" t="n">
        <v>4701.935289376432</v>
      </c>
      <c r="N100" s="135" t="n">
        <v>4701.935289376432</v>
      </c>
      <c r="P100" s="133" t="n">
        <v>0</v>
      </c>
      <c r="Q100" s="134" t="n">
        <v>0</v>
      </c>
      <c r="R100" s="134" t="n">
        <v>0</v>
      </c>
      <c r="S100" s="134" t="n">
        <v>5099.725056957099</v>
      </c>
      <c r="T100" s="135" t="n">
        <v>5099.725056957099</v>
      </c>
      <c r="V100" s="133" t="n">
        <v>0</v>
      </c>
      <c r="W100" s="134" t="n">
        <v>0</v>
      </c>
      <c r="X100" s="134" t="n">
        <v>0</v>
      </c>
      <c r="Y100" s="134" t="n">
        <v>5541.40655673673</v>
      </c>
      <c r="Z100" s="135" t="n">
        <v>5541.40655673673</v>
      </c>
    </row>
    <row r="101">
      <c r="A101" s="98" t="inlineStr">
        <is>
          <t>Added MFP row but needs adjusting for non-CY</t>
        </is>
      </c>
      <c r="B101" s="64" t="inlineStr">
        <is>
          <t>MFP 2026, 2027</t>
        </is>
      </c>
      <c r="D101" s="133" t="n">
        <v>0</v>
      </c>
      <c r="E101" s="134" t="n">
        <v>0</v>
      </c>
      <c r="F101" s="134" t="n">
        <v>0</v>
      </c>
      <c r="G101" s="134" t="n">
        <v>0</v>
      </c>
      <c r="H101" s="135" t="n">
        <v>0</v>
      </c>
      <c r="J101" s="133" t="n">
        <v>0</v>
      </c>
      <c r="K101" s="134" t="n">
        <v>0</v>
      </c>
      <c r="L101" s="134" t="n">
        <v>0</v>
      </c>
      <c r="M101" s="134" t="n">
        <v>0</v>
      </c>
      <c r="N101" s="135" t="n">
        <v>0</v>
      </c>
      <c r="P101" s="133" t="n">
        <v>0</v>
      </c>
      <c r="Q101" s="134" t="n">
        <v>0</v>
      </c>
      <c r="R101" s="134" t="n">
        <v>0</v>
      </c>
      <c r="S101" s="134" t="n">
        <v>0</v>
      </c>
      <c r="T101" s="135" t="n">
        <v>0</v>
      </c>
      <c r="V101" s="133" t="n">
        <v>0</v>
      </c>
      <c r="W101" s="134" t="n">
        <v>0</v>
      </c>
      <c r="X101" s="134" t="n">
        <v>0</v>
      </c>
      <c r="Y101" s="134" t="n">
        <v>0</v>
      </c>
      <c r="Z101" s="135" t="n">
        <v>0</v>
      </c>
    </row>
    <row r="102">
      <c r="B102" s="100">
        <f>$B$66</f>
        <v/>
      </c>
      <c r="D102" s="133" t="n">
        <v>0</v>
      </c>
      <c r="E102" s="134" t="n">
        <v>0</v>
      </c>
      <c r="F102" s="134" t="n">
        <v>0</v>
      </c>
      <c r="G102" s="134" t="n">
        <v>0</v>
      </c>
      <c r="H102" s="135" t="n">
        <v>0</v>
      </c>
      <c r="J102" s="133" t="n">
        <v>0</v>
      </c>
      <c r="K102" s="134" t="n">
        <v>0</v>
      </c>
      <c r="L102" s="134" t="n">
        <v>0</v>
      </c>
      <c r="M102" s="134" t="n">
        <v>0</v>
      </c>
      <c r="N102" s="135" t="n">
        <v>0</v>
      </c>
      <c r="P102" s="133" t="n">
        <v>0</v>
      </c>
      <c r="Q102" s="134" t="n">
        <v>0</v>
      </c>
      <c r="R102" s="134" t="n">
        <v>0</v>
      </c>
      <c r="S102" s="134" t="n">
        <v>0</v>
      </c>
      <c r="T102" s="135" t="n">
        <v>0</v>
      </c>
      <c r="V102" s="133" t="n">
        <v>0</v>
      </c>
      <c r="W102" s="134" t="n">
        <v>0</v>
      </c>
      <c r="X102" s="134" t="n">
        <v>0</v>
      </c>
      <c r="Y102" s="134" t="n">
        <v>0</v>
      </c>
      <c r="Z102" s="135" t="n">
        <v>0</v>
      </c>
    </row>
    <row r="103" ht="15" customHeight="1" thickBot="1">
      <c r="B103" s="59" t="inlineStr">
        <is>
          <t>Non-Rebatable</t>
        </is>
      </c>
      <c r="D103" s="136" t="n">
        <v>0</v>
      </c>
      <c r="E103" s="137" t="n">
        <v>0</v>
      </c>
      <c r="F103" s="137" t="n">
        <v>0</v>
      </c>
      <c r="G103" s="137" t="n">
        <v>0</v>
      </c>
      <c r="H103" s="138" t="n">
        <v>0</v>
      </c>
      <c r="J103" s="139" t="n">
        <v>272009.7721800812</v>
      </c>
      <c r="K103" s="140" t="n">
        <v>261622.1388362575</v>
      </c>
      <c r="L103" s="140" t="n">
        <v>4086.411781183353</v>
      </c>
      <c r="M103" s="140" t="n">
        <v>552.1088310115437</v>
      </c>
      <c r="N103" s="141" t="n">
        <v>538270.4316285335</v>
      </c>
      <c r="P103" s="139" t="n">
        <v>273967.9002461676</v>
      </c>
      <c r="Q103" s="140" t="n">
        <v>263205.7003168401</v>
      </c>
      <c r="R103" s="140" t="n">
        <v>4115.589524254454</v>
      </c>
      <c r="S103" s="140" t="n">
        <v>529.4434178862319</v>
      </c>
      <c r="T103" s="141" t="n">
        <v>541818.6335051483</v>
      </c>
      <c r="V103" s="139" t="n">
        <v>276285.4014342451</v>
      </c>
      <c r="W103" s="140" t="n">
        <v>264737.8059749066</v>
      </c>
      <c r="X103" s="140" t="n">
        <v>4142.034055145593</v>
      </c>
      <c r="Y103" s="140" t="n">
        <v>507.7439456670621</v>
      </c>
      <c r="Z103" s="141" t="n">
        <v>545672.9854099642</v>
      </c>
    </row>
    <row r="104" ht="15.6" customHeight="1" thickBot="1" thickTop="1">
      <c r="B104" s="69" t="inlineStr">
        <is>
          <t>Total</t>
        </is>
      </c>
      <c r="D104" s="142" t="n">
        <v>7759</v>
      </c>
      <c r="E104" s="143" t="n">
        <v>5976</v>
      </c>
      <c r="F104" s="143" t="n">
        <v>67</v>
      </c>
      <c r="G104" s="143" t="n">
        <v>3361</v>
      </c>
      <c r="H104" s="144" t="n">
        <v>20523</v>
      </c>
      <c r="J104" s="142" t="n">
        <v>283649.9563392566</v>
      </c>
      <c r="K104" s="143" t="n">
        <v>271091.7847517669</v>
      </c>
      <c r="L104" s="143" t="n">
        <v>4206.317514998797</v>
      </c>
      <c r="M104" s="143" t="n">
        <v>5255.414666079996</v>
      </c>
      <c r="N104" s="144" t="n">
        <v>568905.4085614788</v>
      </c>
      <c r="P104" s="142" t="n">
        <v>286351.720964514</v>
      </c>
      <c r="Q104" s="143" t="n">
        <v>273437.7993541604</v>
      </c>
      <c r="R104" s="143" t="n">
        <v>4247.739981535529</v>
      </c>
      <c r="S104" s="143" t="n">
        <v>5630.618451034225</v>
      </c>
      <c r="T104" s="144" t="n">
        <v>574767.6038082013</v>
      </c>
      <c r="V104" s="142" t="n">
        <v>289512.8642531181</v>
      </c>
      <c r="W104" s="143" t="n">
        <v>275824.1403448745</v>
      </c>
      <c r="X104" s="143" t="n">
        <v>4287.484946119355</v>
      </c>
      <c r="Y104" s="143" t="n">
        <v>6050.693529975338</v>
      </c>
      <c r="Z104" s="144" t="n">
        <v>581216.5896308238</v>
      </c>
    </row>
    <row r="105" ht="30.3" customHeight="1" thickBot="1"/>
    <row r="106" ht="15" customHeight="1" thickBot="1">
      <c r="B106" s="110" t="inlineStr">
        <is>
          <t>Removed Claims</t>
        </is>
      </c>
      <c r="H106" s="111" t="n">
        <v>3772</v>
      </c>
    </row>
    <row r="107" ht="15" customHeight="1" thickBot="1"/>
    <row r="108" ht="15" customHeight="1" thickBot="1">
      <c r="B108" s="112" t="inlineStr">
        <is>
          <t>Total</t>
        </is>
      </c>
      <c r="H108" s="113" t="n">
        <v>527643</v>
      </c>
    </row>
    <row r="109"/>
    <row r="110"/>
    <row r="111"/>
    <row r="112"/>
    <row r="113"/>
    <row r="114"/>
    <row r="115"/>
    <row r="116"/>
    <row r="117"/>
    <row r="118"/>
    <row r="119"/>
    <row r="120"/>
    <row r="121"/>
    <row r="122"/>
    <row r="123"/>
    <row r="124"/>
    <row r="125"/>
    <row r="126"/>
    <row r="127"/>
    <row r="128"/>
    <row r="129" ht="30.3" customHeight="1"/>
    <row r="130"/>
    <row r="131"/>
    <row r="132"/>
    <row r="133"/>
    <row r="134"/>
    <row r="135"/>
    <row r="136"/>
    <row r="137"/>
    <row r="138"/>
    <row r="139"/>
    <row r="140"/>
    <row r="141"/>
    <row r="142"/>
    <row r="143"/>
    <row r="144"/>
    <row r="145"/>
    <row r="146"/>
    <row r="147"/>
    <row r="148"/>
    <row r="149"/>
    <row r="150"/>
    <row r="151"/>
    <row r="152"/>
    <row r="153" ht="30.3" customHeight="1"/>
    <row r="154">
      <c r="AM154" s="117" t="n"/>
      <c r="AN154" s="117" t="n"/>
    </row>
    <row r="155">
      <c r="AM155" s="117" t="n"/>
      <c r="AN155" s="117" t="n"/>
    </row>
    <row r="156">
      <c r="AM156" s="117" t="n"/>
      <c r="AN156" s="117" t="n"/>
    </row>
    <row r="157">
      <c r="AM157" s="117" t="n"/>
      <c r="AN157" s="117" t="n"/>
    </row>
    <row r="158">
      <c r="AM158" s="117" t="n"/>
      <c r="AN158" s="117" t="n"/>
    </row>
    <row r="159">
      <c r="AM159" s="117" t="n"/>
      <c r="AN159" s="117" t="n"/>
    </row>
    <row r="160">
      <c r="AM160" s="117" t="n"/>
      <c r="AN160" s="117" t="n"/>
    </row>
    <row r="161">
      <c r="AM161" s="117" t="n"/>
      <c r="AN161" s="117" t="n"/>
    </row>
    <row r="162">
      <c r="AM162" s="117" t="n"/>
      <c r="AN162" s="117" t="n"/>
    </row>
    <row r="163">
      <c r="AM163" s="117" t="n"/>
      <c r="AN163" s="117" t="n"/>
    </row>
    <row r="164">
      <c r="AM164" s="117" t="n"/>
      <c r="AN164" s="117" t="n"/>
    </row>
    <row r="165">
      <c r="AM165" s="117" t="n"/>
      <c r="AN165" s="117" t="n"/>
    </row>
    <row r="166">
      <c r="AM166" s="117" t="n"/>
      <c r="AN166" s="117" t="n"/>
    </row>
    <row r="167">
      <c r="AM167" s="117" t="n"/>
      <c r="AN167" s="117" t="n"/>
    </row>
    <row r="168">
      <c r="AM168" s="117" t="n"/>
      <c r="AN168" s="117" t="n"/>
    </row>
    <row r="169">
      <c r="AM169" s="117" t="n"/>
      <c r="AN169" s="117" t="n"/>
    </row>
    <row r="170">
      <c r="AM170" s="117" t="n"/>
      <c r="AN170" s="117" t="n"/>
    </row>
    <row r="171">
      <c r="AM171" s="117" t="n"/>
      <c r="AN171" s="117" t="n"/>
    </row>
    <row r="172">
      <c r="AM172" s="117" t="n"/>
      <c r="AN172" s="117" t="n"/>
    </row>
    <row r="173">
      <c r="AM173" s="117" t="n"/>
      <c r="AN173" s="117" t="n"/>
    </row>
    <row r="174">
      <c r="AM174" s="117" t="n"/>
      <c r="AN174" s="117" t="n"/>
    </row>
    <row r="175">
      <c r="AM175" s="117" t="n"/>
      <c r="AN175" s="117" t="n"/>
    </row>
    <row r="176">
      <c r="AM176" s="117" t="n"/>
      <c r="AN176" s="117" t="n"/>
    </row>
    <row r="177">
      <c r="AM177" s="117" t="n"/>
      <c r="AN177" s="117" t="n"/>
    </row>
    <row r="178">
      <c r="AM178" s="117" t="n"/>
      <c r="AN178" s="117" t="n"/>
    </row>
    <row r="179">
      <c r="AM179" s="117" t="n"/>
      <c r="AN179" s="117" t="n"/>
    </row>
    <row r="180">
      <c r="AM180" s="117" t="n"/>
      <c r="AN180" s="117" t="n"/>
    </row>
    <row r="181">
      <c r="AM181" s="117" t="n"/>
      <c r="AN181" s="117" t="n"/>
    </row>
    <row r="182">
      <c r="AM182" s="117" t="n"/>
      <c r="AN182" s="117" t="n"/>
    </row>
    <row r="183">
      <c r="AM183" s="117" t="n"/>
      <c r="AN183" s="117" t="n"/>
    </row>
    <row r="184">
      <c r="AM184" s="117" t="n"/>
      <c r="AN184" s="117" t="n"/>
    </row>
    <row r="185">
      <c r="AM185" s="117" t="n"/>
      <c r="AN185" s="117" t="n"/>
    </row>
    <row r="186">
      <c r="AM186" s="117" t="n"/>
      <c r="AN186" s="117" t="n"/>
    </row>
    <row r="187">
      <c r="AM187" s="117" t="n"/>
      <c r="AN187" s="117" t="n"/>
    </row>
    <row r="188">
      <c r="AM188" s="117" t="n"/>
      <c r="AN188" s="117" t="n"/>
    </row>
    <row r="189">
      <c r="AM189" s="117" t="n"/>
      <c r="AN189" s="117" t="n"/>
    </row>
    <row r="190">
      <c r="AM190" s="117" t="n"/>
      <c r="AN190" s="117" t="n"/>
    </row>
    <row r="191">
      <c r="AM191" s="117" t="n"/>
      <c r="AN191" s="117" t="n"/>
    </row>
    <row r="192">
      <c r="AM192" s="117" t="n"/>
      <c r="AN192" s="117" t="n"/>
    </row>
    <row r="193">
      <c r="AM193" s="117" t="n"/>
      <c r="AN193" s="117" t="n"/>
    </row>
    <row r="194">
      <c r="AM194" s="117" t="n"/>
      <c r="AN194" s="117" t="n"/>
    </row>
    <row r="195">
      <c r="AM195" s="117" t="n"/>
      <c r="AN195" s="117" t="n"/>
    </row>
    <row r="196">
      <c r="AM196" s="117" t="n"/>
      <c r="AN196" s="117" t="n"/>
    </row>
    <row r="197">
      <c r="AM197" s="117" t="n"/>
      <c r="AN197" s="117" t="n"/>
    </row>
    <row r="198">
      <c r="AM198" s="117" t="n"/>
      <c r="AN198" s="117" t="n"/>
    </row>
    <row r="199">
      <c r="AM199" s="117" t="n"/>
      <c r="AN199" s="117" t="n"/>
    </row>
    <row r="200">
      <c r="AM200" s="117" t="n"/>
      <c r="AN200" s="117" t="n"/>
    </row>
    <row r="201">
      <c r="AM201" s="117" t="n"/>
      <c r="AN201" s="117" t="n"/>
    </row>
    <row r="202">
      <c r="AM202" s="117" t="n"/>
      <c r="AN202" s="117" t="n"/>
    </row>
    <row r="203">
      <c r="AM203" s="117" t="n"/>
      <c r="AN203" s="117" t="n"/>
    </row>
    <row r="204">
      <c r="AM204" s="117" t="n"/>
      <c r="AN204" s="117" t="n"/>
    </row>
    <row r="205">
      <c r="AM205" s="117" t="n"/>
      <c r="AN205" s="117" t="n"/>
    </row>
    <row r="206">
      <c r="AM206" s="117" t="n"/>
      <c r="AN206" s="117" t="n"/>
    </row>
    <row r="207">
      <c r="AM207" s="117" t="n"/>
      <c r="AN207" s="117" t="n"/>
    </row>
    <row r="208">
      <c r="AM208" s="117" t="n"/>
      <c r="AN208" s="117" t="n"/>
    </row>
    <row r="209">
      <c r="AM209" s="117" t="n"/>
      <c r="AN209" s="117" t="n"/>
    </row>
    <row r="210">
      <c r="AM210" s="117" t="n"/>
      <c r="AN210" s="117" t="n"/>
    </row>
    <row r="211">
      <c r="AM211" s="117" t="n"/>
      <c r="AN211" s="117" t="n"/>
    </row>
    <row r="212">
      <c r="AM212" s="117" t="n"/>
      <c r="AN212" s="117" t="n"/>
    </row>
    <row r="213">
      <c r="AM213" s="117" t="n"/>
      <c r="AN213" s="117" t="n"/>
    </row>
    <row r="214">
      <c r="AM214" s="117" t="n"/>
      <c r="AN214" s="117" t="n"/>
    </row>
    <row r="215">
      <c r="AM215" s="117" t="n"/>
      <c r="AN215" s="117" t="n"/>
    </row>
    <row r="216">
      <c r="AM216" s="117" t="n"/>
      <c r="AN216" s="117" t="n"/>
    </row>
    <row r="217">
      <c r="AM217" s="117" t="n"/>
      <c r="AN217" s="117" t="n"/>
    </row>
    <row r="218">
      <c r="AM218" s="117" t="n"/>
      <c r="AN218" s="117" t="n"/>
    </row>
    <row r="219">
      <c r="AM219" s="117" t="n"/>
      <c r="AN219" s="117" t="n"/>
    </row>
    <row r="220">
      <c r="AM220" s="117" t="n"/>
      <c r="AN220" s="117" t="n"/>
    </row>
    <row r="221">
      <c r="AM221" s="117" t="n"/>
      <c r="AN221" s="117" t="n"/>
    </row>
    <row r="222">
      <c r="AM222" s="117" t="n"/>
      <c r="AN222" s="117" t="n"/>
    </row>
    <row r="223">
      <c r="AM223" s="117" t="n"/>
      <c r="AN223" s="117" t="n"/>
    </row>
    <row r="224">
      <c r="AM224" s="117" t="n"/>
      <c r="AN224" s="117" t="n"/>
    </row>
    <row r="225">
      <c r="AM225" s="117" t="n"/>
      <c r="AN225" s="117" t="n"/>
    </row>
    <row r="226">
      <c r="AM226" s="117" t="n"/>
      <c r="AN226" s="117" t="n"/>
    </row>
    <row r="227">
      <c r="AM227" s="117" t="n"/>
      <c r="AN227" s="117" t="n"/>
    </row>
    <row r="228">
      <c r="AM228" s="117" t="n"/>
      <c r="AN228" s="117" t="n"/>
    </row>
    <row r="229">
      <c r="AM229" s="117" t="n"/>
      <c r="AN229" s="117" t="n"/>
    </row>
    <row r="230">
      <c r="AM230" s="117" t="n"/>
      <c r="AN230" s="117" t="n"/>
    </row>
    <row r="231">
      <c r="AM231" s="117" t="n"/>
      <c r="AN231" s="117" t="n"/>
    </row>
    <row r="232">
      <c r="AM232" s="117" t="n"/>
      <c r="AN232" s="117" t="n"/>
    </row>
    <row r="233">
      <c r="AM233" s="117" t="n"/>
      <c r="AN233" s="117" t="n"/>
    </row>
    <row r="234">
      <c r="AM234" s="117" t="n"/>
      <c r="AN234" s="117" t="n"/>
    </row>
    <row r="235">
      <c r="AM235" s="117" t="n"/>
      <c r="AN235" s="117" t="n"/>
    </row>
    <row r="236">
      <c r="AM236" s="117" t="n"/>
      <c r="AN236" s="117" t="n"/>
    </row>
    <row r="237">
      <c r="AM237" s="117" t="n"/>
      <c r="AN237" s="117" t="n"/>
    </row>
    <row r="238">
      <c r="AM238" s="117" t="n"/>
      <c r="AN238" s="117" t="n"/>
    </row>
    <row r="239">
      <c r="AM239" s="117" t="n"/>
      <c r="AN239" s="117" t="n"/>
    </row>
    <row r="240">
      <c r="AM240" s="117" t="n"/>
      <c r="AN240" s="117" t="n"/>
    </row>
    <row r="241">
      <c r="AM241" s="117" t="n"/>
      <c r="AN241" s="117" t="n"/>
    </row>
    <row r="242">
      <c r="AM242" s="117" t="n"/>
      <c r="AN242" s="117" t="n"/>
    </row>
    <row r="243">
      <c r="AM243" s="117" t="n"/>
      <c r="AN243" s="117" t="n"/>
    </row>
    <row r="244">
      <c r="AM244" s="117" t="n"/>
      <c r="AN244" s="117" t="n"/>
    </row>
    <row r="245">
      <c r="AM245" s="117" t="n"/>
      <c r="AN245" s="117" t="n"/>
    </row>
    <row r="246">
      <c r="AM246" s="117" t="n"/>
      <c r="AN246" s="117" t="n"/>
    </row>
    <row r="247">
      <c r="AM247" s="117" t="n"/>
      <c r="AN247" s="117" t="n"/>
    </row>
    <row r="248">
      <c r="AM248" s="117" t="n"/>
      <c r="AN248" s="117" t="n"/>
    </row>
    <row r="249">
      <c r="AM249" s="117" t="n"/>
      <c r="AN249" s="117" t="n"/>
    </row>
    <row r="250">
      <c r="AM250" s="117" t="n"/>
      <c r="AN250" s="117" t="n"/>
    </row>
    <row r="251">
      <c r="AM251" s="117" t="n"/>
      <c r="AN251" s="117" t="n"/>
    </row>
    <row r="252">
      <c r="AM252" s="117" t="n"/>
      <c r="AN252" s="117" t="n"/>
    </row>
    <row r="253">
      <c r="AM253" s="117" t="n"/>
      <c r="AN253" s="117" t="n"/>
    </row>
    <row r="254">
      <c r="AM254" s="117" t="n"/>
      <c r="AN254" s="117" t="n"/>
    </row>
    <row r="255">
      <c r="AM255" s="117" t="n"/>
      <c r="AN255" s="117" t="n"/>
    </row>
    <row r="256">
      <c r="AM256" s="117" t="n"/>
      <c r="AN256" s="117" t="n"/>
    </row>
    <row r="257">
      <c r="AM257" s="117" t="n"/>
      <c r="AN257" s="117" t="n"/>
    </row>
    <row r="258">
      <c r="AM258" s="117" t="n"/>
      <c r="AN258" s="117" t="n"/>
    </row>
    <row r="259">
      <c r="AM259" s="117" t="n"/>
      <c r="AN259" s="117" t="n"/>
    </row>
    <row r="260">
      <c r="AM260" s="117" t="n"/>
      <c r="AN260" s="117" t="n"/>
    </row>
    <row r="261">
      <c r="AM261" s="117" t="n"/>
      <c r="AN261" s="117" t="n"/>
    </row>
    <row r="262">
      <c r="AM262" s="117" t="n"/>
      <c r="AN262" s="117" t="n"/>
    </row>
    <row r="263">
      <c r="AM263" s="117" t="n"/>
      <c r="AN263" s="117" t="n"/>
    </row>
    <row r="264">
      <c r="AM264" s="117" t="n"/>
      <c r="AN264" s="117" t="n"/>
    </row>
    <row r="265">
      <c r="AM265" s="117" t="n"/>
      <c r="AN265" s="117" t="n"/>
    </row>
    <row r="266">
      <c r="AM266" s="117" t="n"/>
      <c r="AN266" s="117" t="n"/>
    </row>
    <row r="267">
      <c r="AM267" s="117" t="n"/>
      <c r="AN267" s="117" t="n"/>
    </row>
    <row r="268">
      <c r="AM268" s="117" t="n"/>
      <c r="AN268" s="117" t="n"/>
    </row>
    <row r="269">
      <c r="AM269" s="117" t="n"/>
      <c r="AN269" s="117" t="n"/>
    </row>
    <row r="270">
      <c r="AM270" s="117" t="n"/>
      <c r="AN270" s="117" t="n"/>
    </row>
    <row r="271">
      <c r="AM271" s="117" t="n"/>
      <c r="AN271" s="117" t="n"/>
    </row>
    <row r="272">
      <c r="AM272" s="117" t="n"/>
      <c r="AN272" s="117" t="n"/>
    </row>
    <row r="273">
      <c r="AM273" s="117" t="n"/>
      <c r="AN273" s="117" t="n"/>
    </row>
    <row r="274">
      <c r="AM274" s="117" t="n"/>
      <c r="AN274" s="117" t="n"/>
    </row>
    <row r="275">
      <c r="AM275" s="117" t="n"/>
      <c r="AN275" s="117" t="n"/>
    </row>
    <row r="276">
      <c r="AM276" s="117" t="n"/>
      <c r="AN276" s="117" t="n"/>
    </row>
    <row r="277">
      <c r="AM277" s="117" t="n"/>
      <c r="AN277" s="117" t="n"/>
    </row>
    <row r="278">
      <c r="AM278" s="117" t="n"/>
      <c r="AN278" s="117" t="n"/>
    </row>
    <row r="279">
      <c r="AM279" s="117" t="n"/>
      <c r="AN279" s="117" t="n"/>
    </row>
    <row r="280">
      <c r="AM280" s="117" t="n"/>
      <c r="AN280" s="117" t="n"/>
    </row>
    <row r="281">
      <c r="AM281" s="117" t="n"/>
      <c r="AN281" s="117" t="n"/>
    </row>
    <row r="282">
      <c r="AM282" s="117" t="n"/>
      <c r="AN282" s="117" t="n"/>
    </row>
    <row r="283">
      <c r="AM283" s="117" t="n"/>
      <c r="AN283" s="117" t="n"/>
    </row>
    <row r="284">
      <c r="AM284" s="117" t="n"/>
      <c r="AN284" s="117" t="n"/>
    </row>
    <row r="285">
      <c r="AM285" s="117" t="n"/>
      <c r="AN285" s="117" t="n"/>
    </row>
    <row r="286">
      <c r="AM286" s="117" t="n"/>
      <c r="AN286" s="117" t="n"/>
    </row>
    <row r="287">
      <c r="AM287" s="117" t="n"/>
      <c r="AN287" s="117" t="n"/>
    </row>
    <row r="288">
      <c r="AM288" s="117" t="n"/>
      <c r="AN288" s="117" t="n"/>
    </row>
    <row r="289">
      <c r="AM289" s="117" t="n"/>
      <c r="AN289" s="117" t="n"/>
    </row>
    <row r="290">
      <c r="AM290" s="117" t="n"/>
      <c r="AN290" s="117" t="n"/>
    </row>
    <row r="291">
      <c r="AM291" s="117" t="n"/>
      <c r="AN291" s="117" t="n"/>
    </row>
    <row r="292">
      <c r="AM292" s="117" t="n"/>
      <c r="AN292" s="117" t="n"/>
    </row>
    <row r="293">
      <c r="AM293" s="117" t="n"/>
      <c r="AN293" s="117" t="n"/>
    </row>
    <row r="294">
      <c r="AM294" s="117" t="n"/>
      <c r="AN294" s="117" t="n"/>
    </row>
    <row r="295">
      <c r="AM295" s="117" t="n"/>
      <c r="AN295" s="117" t="n"/>
    </row>
    <row r="296">
      <c r="AM296" s="117" t="n"/>
      <c r="AN296" s="117" t="n"/>
    </row>
    <row r="297">
      <c r="AM297" s="117" t="n"/>
      <c r="AN297" s="117" t="n"/>
    </row>
    <row r="298">
      <c r="AM298" s="117" t="n"/>
      <c r="AN298" s="117" t="n"/>
    </row>
    <row r="299">
      <c r="AM299" s="117" t="n"/>
      <c r="AN299" s="117" t="n"/>
    </row>
    <row r="300">
      <c r="AM300" s="117" t="n"/>
      <c r="AN300" s="117" t="n"/>
    </row>
    <row r="301">
      <c r="AM301" s="117" t="n"/>
      <c r="AN301" s="117" t="n"/>
    </row>
    <row r="302">
      <c r="AM302" s="117" t="n"/>
      <c r="AN302" s="117" t="n"/>
    </row>
    <row r="303">
      <c r="AM303" s="117" t="n"/>
      <c r="AN303" s="117" t="n"/>
    </row>
  </sheetData>
  <pageMargins left="0.7" right="0.7" top="0.75" bottom="0.75" header="0.3" footer="0.3"/>
  <pageSetup orientation="portrait"/>
</worksheet>
</file>

<file path=xl/worksheets/sheet4.xml><?xml version="1.0" encoding="utf-8"?>
<worksheet xmlns="http://schemas.openxmlformats.org/spreadsheetml/2006/main">
  <sheetPr codeName="wrk_DStats_EX1">
    <outlinePr summaryBelow="1" summaryRight="1"/>
    <pageSetUpPr/>
  </sheetPr>
  <dimension ref="A1:AZ303"/>
  <sheetViews>
    <sheetView showGridLines="0" workbookViewId="0">
      <selection activeCell="A1" sqref="A1"/>
    </sheetView>
  </sheetViews>
  <sheetFormatPr baseColWidth="8" defaultColWidth="8.77734375" defaultRowHeight="14.4"/>
  <cols>
    <col width="20.6640625" customWidth="1" min="2" max="2"/>
    <col width="2.6640625" customWidth="1" min="3" max="3"/>
    <col width="15.6640625" customWidth="1" min="4" max="8"/>
    <col width="2.6640625" customWidth="1" min="9" max="9"/>
    <col width="15.6640625" customWidth="1" min="10" max="14"/>
    <col width="2.6640625" customWidth="1" min="15" max="15"/>
    <col width="15.6640625" customWidth="1" min="16" max="20"/>
    <col width="2.6640625" customWidth="1" min="21" max="21"/>
    <col width="15.6640625" customWidth="1" min="22" max="26"/>
    <col width="2.6640625" customWidth="1" min="27" max="27"/>
    <col width="8.6640625" customWidth="1" min="31" max="31"/>
    <col width="37.44140625" customWidth="1" min="32" max="32"/>
    <col width="46.6640625" bestFit="1" customWidth="1" min="33" max="33"/>
    <col width="15.6640625" customWidth="1" min="34" max="35"/>
    <col width="5.6640625" customWidth="1" min="36" max="36"/>
    <col width="8.6640625" customWidth="1" min="37" max="37"/>
    <col width="36.6640625" customWidth="1" min="38" max="38"/>
    <col width="46.6640625" customWidth="1" min="39" max="39"/>
    <col width="15.6640625" customWidth="1" min="40" max="40"/>
    <col width="5.6640625" customWidth="1" min="41" max="41"/>
    <col width="8.6640625" customWidth="1" min="42" max="42"/>
    <col width="30.6640625" customWidth="1" min="43" max="44"/>
    <col width="12.6640625" customWidth="1" min="45" max="47"/>
    <col width="15.6640625" customWidth="1" min="49" max="54"/>
  </cols>
  <sheetData>
    <row r="1" hidden="1"/>
    <row r="2" hidden="1"/>
    <row r="3" hidden="1"/>
    <row r="4" hidden="1"/>
    <row r="5" hidden="1"/>
    <row r="6" hidden="1"/>
    <row r="7" hidden="1"/>
    <row r="8" hidden="1"/>
    <row r="9" hidden="1"/>
    <row r="10" hidden="1"/>
    <row r="11" hidden="1"/>
    <row r="12" hidden="1"/>
    <row r="13" hidden="1"/>
    <row r="14" ht="15" customHeight="1" thickBot="1"/>
    <row r="15" ht="18.6" customHeight="1" thickBot="1">
      <c r="B15" s="1" t="n"/>
      <c r="C15" s="2" t="n"/>
      <c r="D15" s="114" t="inlineStr">
        <is>
          <t>RxAdvance HTA Groups Rebate1 - M003</t>
        </is>
      </c>
      <c r="E15" s="2" t="n"/>
      <c r="F15" s="2" t="n"/>
      <c r="G15" s="2" t="n"/>
      <c r="H15" s="2" t="n"/>
      <c r="I15" s="2" t="n"/>
      <c r="J15" s="2" t="n"/>
      <c r="K15" s="2" t="n"/>
      <c r="L15" s="2" t="n"/>
      <c r="M15" s="2" t="n"/>
      <c r="N15" s="2" t="n"/>
      <c r="O15" s="2" t="n"/>
      <c r="P15" s="2" t="n"/>
      <c r="Q15" s="2" t="n"/>
      <c r="R15" s="2" t="n"/>
      <c r="S15" s="2" t="n"/>
      <c r="T15" s="2" t="n"/>
      <c r="U15" s="2" t="n"/>
      <c r="V15" s="2" t="n"/>
      <c r="W15" s="2" t="n"/>
      <c r="X15" s="2" t="n"/>
      <c r="Y15" s="2" t="n"/>
      <c r="Z15" s="2" t="n"/>
      <c r="AA15" s="2" t="n"/>
      <c r="AB15" s="2" t="n"/>
      <c r="AC15" s="2" t="n"/>
      <c r="AD15" s="2" t="n"/>
      <c r="AE15" s="2" t="n"/>
      <c r="AF15" s="2" t="n"/>
      <c r="AG15" s="2" t="n"/>
      <c r="AH15" s="2" t="n"/>
      <c r="AI15" s="2" t="n"/>
      <c r="AJ15" s="2" t="n"/>
      <c r="AK15" s="2" t="n"/>
      <c r="AL15" s="2" t="n"/>
      <c r="AM15" s="2" t="n"/>
      <c r="AN15" s="3" t="n"/>
    </row>
    <row r="16" ht="15" customHeight="1" thickBot="1"/>
    <row r="17" ht="15" customHeight="1" thickBot="1">
      <c r="B17" s="4" t="n"/>
      <c r="C17" s="4" t="inlineStr">
        <is>
          <t>Start Date:</t>
        </is>
      </c>
      <c r="D17" s="115" t="inlineStr">
        <is>
          <t>01/01/2025</t>
        </is>
      </c>
      <c r="AD17" s="4" t="n"/>
      <c r="AE17" s="4" t="n"/>
      <c r="AF17" s="6" t="n">
        <v>2030</v>
      </c>
    </row>
    <row r="18">
      <c r="B18" s="4" t="n"/>
      <c r="C18" s="4" t="inlineStr">
        <is>
          <t>End Date:</t>
        </is>
      </c>
      <c r="D18" s="116" t="inlineStr">
        <is>
          <t>11/30/2025</t>
        </is>
      </c>
      <c r="AJ18" s="117" t="n"/>
    </row>
    <row r="19" ht="15" customHeight="1" thickBot="1">
      <c r="B19" s="4" t="n"/>
      <c r="C19" s="4" t="inlineStr">
        <is>
          <t>Total Months:</t>
        </is>
      </c>
      <c r="D19" s="9" t="n">
        <v>11</v>
      </c>
    </row>
    <row r="20" ht="15" customHeight="1" thickBot="1"/>
    <row r="21" ht="15" customHeight="1" thickBot="1">
      <c r="B21" s="10" t="n"/>
      <c r="C21" s="10" t="n"/>
      <c r="D21" s="11" t="inlineStr">
        <is>
          <t xml:space="preserve">Base Yr Claims </t>
        </is>
      </c>
      <c r="E21" s="12" t="n"/>
      <c r="F21" s="12" t="n"/>
      <c r="G21" s="13" t="n"/>
      <c r="H21" s="14" t="n"/>
      <c r="AE21" s="11" t="inlineStr">
        <is>
          <t>Forecast based on time period: 2030</t>
        </is>
      </c>
      <c r="AF21" s="12" t="n"/>
      <c r="AG21" s="12" t="n"/>
      <c r="AH21" s="12" t="n"/>
      <c r="AI21" s="12" t="n"/>
      <c r="AJ21" s="12" t="n"/>
      <c r="AK21" s="12" t="n"/>
      <c r="AL21" s="12" t="n"/>
      <c r="AM21" s="15" t="n"/>
      <c r="AN21" s="15" t="n"/>
    </row>
    <row r="22" ht="15" customHeight="1" thickBot="1">
      <c r="B22" s="10" t="n"/>
      <c r="C22" s="10" t="n"/>
      <c r="D22" s="16" t="n"/>
      <c r="E22" s="16" t="n"/>
      <c r="F22" s="16" t="n"/>
      <c r="G22" s="17" t="n"/>
      <c r="H22" s="18" t="n"/>
    </row>
    <row r="23" ht="15" customHeight="1" thickBot="1">
      <c r="B23" s="19" t="n"/>
      <c r="C23" s="10" t="n"/>
      <c r="D23" s="20" t="inlineStr">
        <is>
          <t>w Exclusions</t>
        </is>
      </c>
      <c r="E23" s="21" t="n"/>
      <c r="F23" s="21" t="n"/>
      <c r="G23" s="21" t="n"/>
      <c r="H23" s="22" t="n"/>
      <c r="AE23" s="20" t="inlineStr">
        <is>
          <t>Overall - Rebatable</t>
        </is>
      </c>
      <c r="AF23" s="21" t="n"/>
      <c r="AG23" s="21" t="n"/>
      <c r="AH23" s="23" t="n"/>
      <c r="AI23" s="23" t="n"/>
      <c r="AK23" s="24" t="inlineStr">
        <is>
          <t>Overall - Non Rebatable (Brand Only)</t>
        </is>
      </c>
      <c r="AL23" s="25" t="n"/>
      <c r="AM23" s="25" t="n"/>
      <c r="AN23" s="26" t="n"/>
    </row>
    <row r="24" ht="30.3" customHeight="1" thickBot="1">
      <c r="B24" s="27" t="inlineStr">
        <is>
          <t>Brand</t>
        </is>
      </c>
      <c r="C24" s="10" t="n"/>
      <c r="D24" s="28" t="inlineStr">
        <is>
          <t>Rx Count</t>
        </is>
      </c>
      <c r="E24" s="29" t="inlineStr">
        <is>
          <t>Quantity</t>
        </is>
      </c>
      <c r="F24" s="29" t="inlineStr">
        <is>
          <t>Days Supply</t>
        </is>
      </c>
      <c r="G24" s="29" t="inlineStr">
        <is>
          <t>Avg Qnty</t>
        </is>
      </c>
      <c r="H24" s="30" t="inlineStr">
        <is>
          <t>Avg DS</t>
        </is>
      </c>
      <c r="I24" s="31" t="n"/>
      <c r="J24" s="31" t="n"/>
      <c r="K24" s="31" t="n"/>
      <c r="L24" s="31" t="n"/>
      <c r="M24" s="31" t="n"/>
      <c r="N24" s="31" t="n"/>
      <c r="O24" s="31" t="n"/>
      <c r="P24" s="31" t="n"/>
      <c r="Q24" s="31" t="n"/>
      <c r="R24" s="31" t="n"/>
      <c r="S24" s="31" t="n"/>
      <c r="T24" s="31" t="n"/>
      <c r="U24" s="31" t="n"/>
      <c r="V24" s="31" t="n"/>
      <c r="W24" s="31" t="n"/>
      <c r="X24" s="31" t="n"/>
      <c r="Y24" s="31" t="n"/>
      <c r="Z24" s="31" t="n"/>
      <c r="AA24" s="31" t="n"/>
      <c r="AE24" s="32" t="inlineStr">
        <is>
          <t>Rank</t>
        </is>
      </c>
      <c r="AF24" s="33" t="inlineStr">
        <is>
          <t>Drug Name</t>
        </is>
      </c>
      <c r="AG24" s="33" t="inlineStr">
        <is>
          <t>Therapeutic Class</t>
        </is>
      </c>
      <c r="AH24" s="33" t="inlineStr">
        <is>
          <t>Total Rebates</t>
        </is>
      </c>
      <c r="AI24" s="34" t="inlineStr">
        <is>
          <t>Scripts</t>
        </is>
      </c>
      <c r="AK24" s="35" t="inlineStr">
        <is>
          <t>Rank</t>
        </is>
      </c>
      <c r="AL24" s="36" t="inlineStr">
        <is>
          <t>Drug Name</t>
        </is>
      </c>
      <c r="AM24" s="36" t="inlineStr">
        <is>
          <t>Therapeutic Class</t>
        </is>
      </c>
      <c r="AN24" s="37" t="inlineStr">
        <is>
          <t>Scripts</t>
        </is>
      </c>
    </row>
    <row r="25">
      <c r="B25" s="38" t="inlineStr">
        <is>
          <t>Retail 30</t>
        </is>
      </c>
      <c r="C25" s="10" t="n"/>
      <c r="D25" s="39" t="n">
        <v>44407</v>
      </c>
      <c r="E25" s="40" t="n">
        <v>1305880.3</v>
      </c>
      <c r="F25" s="40" t="n">
        <v>1071061</v>
      </c>
      <c r="G25" s="41" t="n">
        <v>29.40708221676763</v>
      </c>
      <c r="H25" s="42" t="n">
        <v>24.11919292003513</v>
      </c>
      <c r="I25" s="31" t="n"/>
      <c r="J25" s="31" t="n"/>
      <c r="K25" s="31" t="n"/>
      <c r="L25" s="31" t="n"/>
      <c r="M25" s="31" t="n"/>
      <c r="N25" s="31" t="n"/>
      <c r="O25" s="31" t="n"/>
      <c r="P25" s="31" t="n"/>
      <c r="Q25" s="31" t="n"/>
      <c r="R25" s="31" t="n"/>
      <c r="S25" s="31" t="n"/>
      <c r="T25" s="31" t="n"/>
      <c r="U25" s="31" t="n"/>
      <c r="V25" s="31" t="n"/>
      <c r="W25" s="31" t="n"/>
      <c r="X25" s="31" t="n"/>
      <c r="Y25" s="31" t="n"/>
      <c r="Z25" s="31" t="n"/>
      <c r="AA25" s="31" t="n"/>
      <c r="AE25" s="118" t="n">
        <v>1</v>
      </c>
      <c r="AF25" s="44" t="inlineStr">
        <is>
          <t>MOUNJARO</t>
        </is>
      </c>
      <c r="AG25" s="44" t="inlineStr">
        <is>
          <t>GLUCAGON-LIKE PEPTIDE-1 AGONISTS (GLP1)</t>
        </is>
      </c>
      <c r="AH25" s="119" t="n">
        <v>9527427.014243344</v>
      </c>
      <c r="AI25" s="46" t="n">
        <v>12769.54856496323</v>
      </c>
      <c r="AK25" s="120" t="n">
        <v>1</v>
      </c>
      <c r="AL25" s="44" t="inlineStr">
        <is>
          <t>OZEMPIC</t>
        </is>
      </c>
      <c r="AM25" s="44" t="inlineStr">
        <is>
          <t>GLUCAGON-LIKE PEPTIDE-1 AGONISTS (GLP1)</t>
        </is>
      </c>
      <c r="AN25" s="48" t="n">
        <v>5766.557116758177</v>
      </c>
    </row>
    <row r="26">
      <c r="B26" s="49" t="inlineStr">
        <is>
          <t>Retail 90</t>
        </is>
      </c>
      <c r="C26" s="10" t="n"/>
      <c r="D26" s="50" t="n">
        <v>17744</v>
      </c>
      <c r="E26" s="51" t="n">
        <v>1740177.99</v>
      </c>
      <c r="F26" s="51" t="n">
        <v>1314049</v>
      </c>
      <c r="G26" s="52" t="n">
        <v>98.07134749774572</v>
      </c>
      <c r="H26" s="53" t="n">
        <v>74.05596257889991</v>
      </c>
      <c r="I26" s="31" t="n"/>
      <c r="J26" s="31" t="n"/>
      <c r="K26" s="31" t="n"/>
      <c r="L26" s="31" t="n"/>
      <c r="M26" s="31" t="n"/>
      <c r="N26" s="31" t="n"/>
      <c r="O26" s="31" t="n"/>
      <c r="P26" s="31" t="n"/>
      <c r="Q26" s="31" t="n"/>
      <c r="R26" s="31" t="n"/>
      <c r="S26" s="31" t="n"/>
      <c r="T26" s="31" t="n"/>
      <c r="U26" s="31" t="n"/>
      <c r="V26" s="31" t="n"/>
      <c r="W26" s="31" t="n"/>
      <c r="X26" s="31" t="n"/>
      <c r="Y26" s="31" t="n"/>
      <c r="Z26" s="31" t="n"/>
      <c r="AA26" s="31" t="n"/>
      <c r="AE26" s="121" t="n">
        <v>2</v>
      </c>
      <c r="AF26" t="inlineStr">
        <is>
          <t>BREZTRI AEROSPHERE</t>
        </is>
      </c>
      <c r="AG26" t="inlineStr">
        <is>
          <t>LABA LAMA COMBO</t>
        </is>
      </c>
      <c r="AH26" s="122" t="n">
        <v>844977.6324258684</v>
      </c>
      <c r="AI26" s="56" t="n">
        <v>1512.154619267931</v>
      </c>
      <c r="AK26" s="123" t="n">
        <v>2</v>
      </c>
      <c r="AL26" t="inlineStr">
        <is>
          <t>JARDIANCE</t>
        </is>
      </c>
      <c r="AM26" t="inlineStr">
        <is>
          <t>SGLT-2 INHIBITORS &amp; COMBOS</t>
        </is>
      </c>
      <c r="AN26" s="58" t="n">
        <v>10101.38066832907</v>
      </c>
    </row>
    <row r="27" ht="15" customHeight="1" thickBot="1">
      <c r="B27" s="59" t="inlineStr">
        <is>
          <t>Mail</t>
        </is>
      </c>
      <c r="C27" s="10" t="n"/>
      <c r="D27" s="60" t="n">
        <v>304</v>
      </c>
      <c r="E27" s="61" t="n">
        <v>35974</v>
      </c>
      <c r="F27" s="61" t="n">
        <v>26733</v>
      </c>
      <c r="G27" s="62" t="n">
        <v>118.3355263157895</v>
      </c>
      <c r="H27" s="63" t="n">
        <v>87.9375</v>
      </c>
      <c r="I27" s="31" t="n"/>
      <c r="J27" s="31" t="n"/>
      <c r="K27" s="31" t="n"/>
      <c r="L27" s="31" t="n"/>
      <c r="M27" s="31" t="n"/>
      <c r="N27" s="31" t="n"/>
      <c r="O27" s="31" t="n"/>
      <c r="P27" s="31" t="n"/>
      <c r="Q27" s="31" t="n"/>
      <c r="R27" s="31" t="n"/>
      <c r="S27" s="31" t="n"/>
      <c r="T27" s="31" t="n"/>
      <c r="U27" s="31" t="n"/>
      <c r="V27" s="31" t="n"/>
      <c r="W27" s="31" t="n"/>
      <c r="X27" s="31" t="n"/>
      <c r="Y27" s="31" t="n"/>
      <c r="Z27" s="31" t="n"/>
      <c r="AA27" s="31" t="n"/>
      <c r="AE27" s="121" t="n">
        <v>3</v>
      </c>
      <c r="AF27" t="inlineStr">
        <is>
          <t>TRULICITY</t>
        </is>
      </c>
      <c r="AG27" t="inlineStr">
        <is>
          <t>GLUCAGON-LIKE PEPTIDE-1 AGONISTS (GLP1)</t>
        </is>
      </c>
      <c r="AH27" s="122" t="n">
        <v>828266.6217095607</v>
      </c>
      <c r="AI27" s="56" t="n">
        <v>1141.362330658724</v>
      </c>
      <c r="AK27" s="123" t="n">
        <v>3</v>
      </c>
      <c r="AL27" t="inlineStr">
        <is>
          <t>TRELEGY ELLIPTA</t>
        </is>
      </c>
      <c r="AM27" t="inlineStr">
        <is>
          <t>LABA LAMA COMBO</t>
        </is>
      </c>
      <c r="AN27" s="58" t="n">
        <v>3503.503442084695</v>
      </c>
    </row>
    <row r="28" ht="15" customHeight="1" thickTop="1">
      <c r="B28" s="64" t="inlineStr">
        <is>
          <t>Non-Specialty</t>
        </is>
      </c>
      <c r="C28" s="10" t="n"/>
      <c r="D28" s="65" t="n">
        <v>62455</v>
      </c>
      <c r="E28" s="66" t="n">
        <v>3082032.29</v>
      </c>
      <c r="F28" s="66" t="n">
        <v>2411843</v>
      </c>
      <c r="G28" s="67" t="n">
        <v>49.34804723400849</v>
      </c>
      <c r="H28" s="68" t="n">
        <v>38.61729245056441</v>
      </c>
      <c r="I28" s="31" t="n"/>
      <c r="J28" s="31" t="n"/>
      <c r="K28" s="31" t="n"/>
      <c r="L28" s="31" t="n"/>
      <c r="M28" s="31" t="n"/>
      <c r="N28" s="31" t="n"/>
      <c r="O28" s="31" t="n"/>
      <c r="P28" s="31" t="n"/>
      <c r="Q28" s="31" t="n"/>
      <c r="R28" s="31" t="n"/>
      <c r="S28" s="31" t="n"/>
      <c r="T28" s="31" t="n"/>
      <c r="U28" s="31" t="n"/>
      <c r="V28" s="31" t="n"/>
      <c r="W28" s="31" t="n"/>
      <c r="X28" s="31" t="n"/>
      <c r="Y28" s="31" t="n"/>
      <c r="Z28" s="31" t="n"/>
      <c r="AA28" s="31" t="n"/>
      <c r="AE28" s="121" t="n">
        <v>4</v>
      </c>
      <c r="AF28" t="inlineStr">
        <is>
          <t>GEMTESA</t>
        </is>
      </c>
      <c r="AG28" t="inlineStr">
        <is>
          <t>URINARY ANTISPASMODICS &amp; OAB DRUGS</t>
        </is>
      </c>
      <c r="AH28" s="122" t="n">
        <v>467965.6858161184</v>
      </c>
      <c r="AI28" s="56" t="n">
        <v>745.1977318077995</v>
      </c>
      <c r="AK28" s="123" t="n">
        <v>4</v>
      </c>
      <c r="AL28" t="inlineStr">
        <is>
          <t>RYBELSUS</t>
        </is>
      </c>
      <c r="AM28" t="inlineStr">
        <is>
          <t>GLUCAGON-LIKE PEPTIDE-1 AGONISTS (GLP1)</t>
        </is>
      </c>
      <c r="AN28" s="58" t="n">
        <v>994.8773256543952</v>
      </c>
    </row>
    <row r="29" ht="15" customHeight="1" thickBot="1">
      <c r="B29" s="59" t="inlineStr">
        <is>
          <t>Specialty</t>
        </is>
      </c>
      <c r="C29" s="10" t="n"/>
      <c r="D29" s="60" t="n">
        <v>485</v>
      </c>
      <c r="E29" s="61" t="n">
        <v>18752</v>
      </c>
      <c r="F29" s="61" t="n">
        <v>16264</v>
      </c>
      <c r="G29" s="62" t="n">
        <v>38.66391752577319</v>
      </c>
      <c r="H29" s="63" t="n">
        <v>33.5340206185567</v>
      </c>
      <c r="I29" s="31" t="n"/>
      <c r="J29" s="31" t="n"/>
      <c r="K29" s="31" t="n"/>
      <c r="L29" s="31" t="n"/>
      <c r="M29" s="31" t="n"/>
      <c r="N29" s="31" t="n"/>
      <c r="O29" s="31" t="n"/>
      <c r="P29" s="31" t="n"/>
      <c r="Q29" s="31" t="n"/>
      <c r="R29" s="31" t="n"/>
      <c r="S29" s="31" t="n"/>
      <c r="T29" s="31" t="n"/>
      <c r="U29" s="31" t="n"/>
      <c r="V29" s="31" t="n"/>
      <c r="W29" s="31" t="n"/>
      <c r="X29" s="31" t="n"/>
      <c r="Y29" s="31" t="n"/>
      <c r="Z29" s="31" t="n"/>
      <c r="AA29" s="31" t="n"/>
      <c r="AE29" s="121" t="n">
        <v>5</v>
      </c>
      <c r="AF29" t="inlineStr">
        <is>
          <t>CREON</t>
        </is>
      </c>
      <c r="AG29" t="inlineStr">
        <is>
          <t>DIGESTIVE ENZYMES</t>
        </is>
      </c>
      <c r="AH29" s="122" t="n">
        <v>250680.0442883839</v>
      </c>
      <c r="AI29" s="56" t="n">
        <v>218.3281904331627</v>
      </c>
      <c r="AK29" s="123" t="n">
        <v>5</v>
      </c>
      <c r="AL29" t="inlineStr">
        <is>
          <t>ENBREL SURECLICK</t>
        </is>
      </c>
      <c r="AM29" t="inlineStr">
        <is>
          <t>IMMUNOMODULATORS</t>
        </is>
      </c>
      <c r="AN29" s="58" t="n">
        <v>164.0967082197098</v>
      </c>
    </row>
    <row r="30" ht="15.6" customHeight="1" thickBot="1" thickTop="1">
      <c r="B30" s="69" t="inlineStr">
        <is>
          <t>Total</t>
        </is>
      </c>
      <c r="C30" s="10" t="n"/>
      <c r="D30" s="70" t="n">
        <v>62939.99999999999</v>
      </c>
      <c r="E30" s="71" t="n">
        <v>3100784.29</v>
      </c>
      <c r="F30" s="71" t="n">
        <v>2428107</v>
      </c>
      <c r="G30" s="72" t="n">
        <v>49.26571798538291</v>
      </c>
      <c r="H30" s="73" t="n">
        <v>38.57812202097236</v>
      </c>
      <c r="I30" s="31" t="n"/>
      <c r="J30" s="31" t="n"/>
      <c r="K30" s="31" t="n"/>
      <c r="L30" s="31" t="n"/>
      <c r="M30" s="31" t="n"/>
      <c r="N30" s="31" t="n"/>
      <c r="O30" s="31" t="n"/>
      <c r="P30" s="31" t="n"/>
      <c r="Q30" s="31" t="n"/>
      <c r="R30" s="31" t="n"/>
      <c r="S30" s="31" t="n"/>
      <c r="T30" s="31" t="n"/>
      <c r="U30" s="31" t="n"/>
      <c r="V30" s="31" t="n"/>
      <c r="W30" s="31" t="n"/>
      <c r="X30" s="31" t="n"/>
      <c r="Y30" s="31" t="n"/>
      <c r="Z30" s="31" t="n"/>
      <c r="AA30" s="31" t="n"/>
      <c r="AE30" s="121" t="n">
        <v>6</v>
      </c>
      <c r="AF30" t="inlineStr">
        <is>
          <t>ANORO ELLIPTA</t>
        </is>
      </c>
      <c r="AG30" t="inlineStr">
        <is>
          <t>LABA LAMA COMBO</t>
        </is>
      </c>
      <c r="AH30" s="122" t="n">
        <v>234495.9382616249</v>
      </c>
      <c r="AI30" s="56" t="n">
        <v>583.4569193065761</v>
      </c>
      <c r="AK30" s="123" t="n">
        <v>6</v>
      </c>
      <c r="AL30" t="inlineStr">
        <is>
          <t>IBRANCE</t>
        </is>
      </c>
      <c r="AM30" t="inlineStr">
        <is>
          <t>ONCOLOGY</t>
        </is>
      </c>
      <c r="AN30" s="58" t="n">
        <v>36.63224213009875</v>
      </c>
    </row>
    <row r="31">
      <c r="B31" s="10" t="n"/>
      <c r="C31" s="10" t="n"/>
      <c r="D31" s="74" t="n"/>
      <c r="E31" s="74" t="n"/>
      <c r="F31" s="74" t="n"/>
      <c r="G31" s="75" t="n"/>
      <c r="H31" s="76" t="n"/>
      <c r="I31" s="31" t="n"/>
      <c r="J31" s="31" t="n"/>
      <c r="K31" s="31" t="n"/>
      <c r="L31" s="31" t="n"/>
      <c r="M31" s="31" t="n"/>
      <c r="N31" s="31" t="n"/>
      <c r="O31" s="31" t="n"/>
      <c r="P31" s="31" t="n"/>
      <c r="Q31" s="31" t="n"/>
      <c r="R31" s="31" t="n"/>
      <c r="S31" s="31" t="n"/>
      <c r="T31" s="31" t="n"/>
      <c r="U31" s="31" t="n"/>
      <c r="V31" s="31" t="n"/>
      <c r="W31" s="31" t="n"/>
      <c r="X31" s="31" t="n"/>
      <c r="Y31" s="31" t="n"/>
      <c r="Z31" s="31" t="n"/>
      <c r="AA31" s="31" t="n"/>
      <c r="AE31" s="121" t="n">
        <v>7</v>
      </c>
      <c r="AF31" t="inlineStr">
        <is>
          <t>STIOLTO RESPIMAT</t>
        </is>
      </c>
      <c r="AG31" t="inlineStr">
        <is>
          <t>LABA LAMA COMBO</t>
        </is>
      </c>
      <c r="AH31" s="122" t="n">
        <v>170930.8166976442</v>
      </c>
      <c r="AI31" s="56" t="n">
        <v>430.6437175709907</v>
      </c>
      <c r="AK31" s="123" t="n">
        <v>7</v>
      </c>
      <c r="AL31" t="inlineStr">
        <is>
          <t>FREESTYLE LIBRE 3 PLUS/SENSOR/GLUCOSE MONITORING SYSTEM</t>
        </is>
      </c>
      <c r="AM31" t="inlineStr">
        <is>
          <t>DIABETES MONITORING AND TESTING SUPPLIES</t>
        </is>
      </c>
      <c r="AN31" s="58" t="n">
        <v>2086.013747913035</v>
      </c>
      <c r="AW31" s="77" t="n"/>
      <c r="AX31" s="78" t="n"/>
      <c r="AY31" s="78" t="n"/>
      <c r="AZ31" s="78" t="n"/>
    </row>
    <row r="32" ht="15" customHeight="1" thickBot="1">
      <c r="B32" s="27" t="inlineStr">
        <is>
          <t>Generic</t>
        </is>
      </c>
      <c r="C32" s="10" t="n"/>
      <c r="D32" s="79" t="n"/>
      <c r="E32" s="79" t="n"/>
      <c r="F32" s="79" t="n"/>
      <c r="G32" s="79" t="n"/>
      <c r="H32" s="80" t="n"/>
      <c r="I32" s="31" t="n"/>
      <c r="J32" s="31" t="n"/>
      <c r="K32" s="31" t="n"/>
      <c r="L32" s="31" t="n"/>
      <c r="M32" s="31" t="n"/>
      <c r="N32" s="31" t="n"/>
      <c r="O32" s="31" t="n"/>
      <c r="P32" s="31" t="n"/>
      <c r="Q32" s="31" t="n"/>
      <c r="R32" s="31" t="n"/>
      <c r="S32" s="31" t="n"/>
      <c r="T32" s="31" t="n"/>
      <c r="U32" s="31" t="n"/>
      <c r="V32" s="31" t="n"/>
      <c r="W32" s="31" t="n"/>
      <c r="X32" s="31" t="n"/>
      <c r="Y32" s="31" t="n"/>
      <c r="Z32" s="31" t="n"/>
      <c r="AA32" s="31" t="n"/>
      <c r="AE32" s="121" t="n">
        <v>8</v>
      </c>
      <c r="AF32" t="inlineStr">
        <is>
          <t>EMGALITY</t>
        </is>
      </c>
      <c r="AG32" t="inlineStr">
        <is>
          <t>MIGRAINE PRODUCTS</t>
        </is>
      </c>
      <c r="AH32" s="122" t="n">
        <v>158543.5269110456</v>
      </c>
      <c r="AI32" s="56" t="n">
        <v>278.4775381563741</v>
      </c>
      <c r="AK32" s="123" t="n">
        <v>8</v>
      </c>
      <c r="AL32" t="inlineStr">
        <is>
          <t>IMBRUVICA</t>
        </is>
      </c>
      <c r="AM32" t="inlineStr">
        <is>
          <t>ONCOLOGY</t>
        </is>
      </c>
      <c r="AN32" s="58" t="n">
        <v>65.07665753086017</v>
      </c>
    </row>
    <row r="33">
      <c r="B33" s="38" t="inlineStr">
        <is>
          <t>Retail 30</t>
        </is>
      </c>
      <c r="C33" s="10" t="n"/>
      <c r="D33" s="39" t="n">
        <v>214100</v>
      </c>
      <c r="E33" s="40" t="n">
        <v>11823157.497</v>
      </c>
      <c r="F33" s="40" t="n">
        <v>5157527</v>
      </c>
      <c r="G33" s="41" t="n">
        <v>55.22259456795889</v>
      </c>
      <c r="H33" s="42" t="n">
        <v>24.08933675852406</v>
      </c>
      <c r="I33" s="31" t="n"/>
      <c r="J33" s="31" t="n"/>
      <c r="K33" s="31" t="n"/>
      <c r="L33" s="31" t="n"/>
      <c r="M33" s="31" t="n"/>
      <c r="N33" s="31" t="n"/>
      <c r="O33" s="31" t="n"/>
      <c r="P33" s="31" t="n"/>
      <c r="Q33" s="31" t="n"/>
      <c r="R33" s="31" t="n"/>
      <c r="S33" s="31" t="n"/>
      <c r="T33" s="31" t="n"/>
      <c r="U33" s="31" t="n"/>
      <c r="V33" s="31" t="n"/>
      <c r="W33" s="31" t="n"/>
      <c r="X33" s="31" t="n"/>
      <c r="Y33" s="31" t="n"/>
      <c r="Z33" s="31" t="n"/>
      <c r="AA33" s="31" t="n"/>
      <c r="AE33" s="121" t="n">
        <v>9</v>
      </c>
      <c r="AF33" t="inlineStr">
        <is>
          <t>SPIRIVA RESPIMAT</t>
        </is>
      </c>
      <c r="AG33" t="inlineStr">
        <is>
          <t>LAMA/ACH</t>
        </is>
      </c>
      <c r="AH33" s="122" t="n">
        <v>152313.343536535</v>
      </c>
      <c r="AI33" s="56" t="n">
        <v>386.0779912577576</v>
      </c>
      <c r="AK33" s="123" t="n">
        <v>9</v>
      </c>
      <c r="AL33" t="inlineStr">
        <is>
          <t>AUSTEDO XR</t>
        </is>
      </c>
      <c r="AM33" t="inlineStr">
        <is>
          <t>MOVEMENT DISORDER DRUG THERAPY</t>
        </is>
      </c>
      <c r="AN33" s="58" t="n">
        <v>32.99417211105144</v>
      </c>
    </row>
    <row r="34">
      <c r="B34" s="49" t="inlineStr">
        <is>
          <t>Retail 90</t>
        </is>
      </c>
      <c r="C34" s="10" t="n"/>
      <c r="D34" s="50" t="n">
        <v>222830</v>
      </c>
      <c r="E34" s="51" t="n">
        <v>23377403.918</v>
      </c>
      <c r="F34" s="51" t="n">
        <v>19385429</v>
      </c>
      <c r="G34" s="52" t="n">
        <v>104.911384993044</v>
      </c>
      <c r="H34" s="53" t="n">
        <v>86.99649508593996</v>
      </c>
      <c r="I34" s="31" t="n"/>
      <c r="J34" s="31" t="n"/>
      <c r="K34" s="31" t="n"/>
      <c r="L34" s="31" t="n"/>
      <c r="M34" s="31" t="n"/>
      <c r="N34" s="31" t="n"/>
      <c r="O34" s="31" t="n"/>
      <c r="P34" s="31" t="n"/>
      <c r="Q34" s="31" t="n"/>
      <c r="R34" s="31" t="n"/>
      <c r="S34" s="31" t="n"/>
      <c r="T34" s="31" t="n"/>
      <c r="U34" s="31" t="n"/>
      <c r="V34" s="31" t="n"/>
      <c r="W34" s="31" t="n"/>
      <c r="X34" s="31" t="n"/>
      <c r="Y34" s="31" t="n"/>
      <c r="Z34" s="31" t="n"/>
      <c r="AA34" s="31" t="n"/>
      <c r="AE34" s="121" t="n">
        <v>10</v>
      </c>
      <c r="AF34" t="inlineStr">
        <is>
          <t>ZENPEP</t>
        </is>
      </c>
      <c r="AG34" t="inlineStr">
        <is>
          <t>DIGESTIVE ENZYMES</t>
        </is>
      </c>
      <c r="AH34" s="122" t="n">
        <v>148081.8312437994</v>
      </c>
      <c r="AI34" s="56" t="n">
        <v>49.50464783077527</v>
      </c>
      <c r="AK34" s="123" t="n">
        <v>10</v>
      </c>
      <c r="AL34" t="inlineStr">
        <is>
          <t>OFEV</t>
        </is>
      </c>
      <c r="AM34" t="inlineStr">
        <is>
          <t>PULMONARY FIBROSIS AGENTS</t>
        </is>
      </c>
      <c r="AN34" s="58" t="n">
        <v>17.2884991787514</v>
      </c>
    </row>
    <row r="35" ht="15" customHeight="1" thickBot="1">
      <c r="B35" s="59" t="inlineStr">
        <is>
          <t>Mail</t>
        </is>
      </c>
      <c r="C35" s="10" t="n"/>
      <c r="D35" s="60" t="n">
        <v>3478</v>
      </c>
      <c r="E35" s="61" t="n">
        <v>403509.3</v>
      </c>
      <c r="F35" s="61" t="n">
        <v>308442</v>
      </c>
      <c r="G35" s="62" t="n">
        <v>116.0176250718804</v>
      </c>
      <c r="H35" s="63" t="n">
        <v>88.68372627947096</v>
      </c>
      <c r="I35" s="31" t="n"/>
      <c r="J35" s="31" t="n"/>
      <c r="K35" s="31" t="n"/>
      <c r="L35" s="31" t="n"/>
      <c r="M35" s="31" t="n"/>
      <c r="N35" s="31" t="n"/>
      <c r="O35" s="31" t="n"/>
      <c r="P35" s="31" t="n"/>
      <c r="Q35" s="31" t="n"/>
      <c r="R35" s="31" t="n"/>
      <c r="S35" s="31" t="n"/>
      <c r="T35" s="31" t="n"/>
      <c r="U35" s="31" t="n"/>
      <c r="V35" s="31" t="n"/>
      <c r="W35" s="31" t="n"/>
      <c r="X35" s="31" t="n"/>
      <c r="Y35" s="31" t="n"/>
      <c r="Z35" s="31" t="n"/>
      <c r="AA35" s="31" t="n"/>
      <c r="AE35" s="121" t="n">
        <v>11</v>
      </c>
      <c r="AF35" t="inlineStr">
        <is>
          <t>PAXLOVID</t>
        </is>
      </c>
      <c r="AG35" t="inlineStr">
        <is>
          <t>MISC. ANTIVIRALS</t>
        </is>
      </c>
      <c r="AH35" s="122" t="n">
        <v>127268.195994986</v>
      </c>
      <c r="AI35" s="56" t="n">
        <v>426.7486343566563</v>
      </c>
      <c r="AK35" s="123" t="n">
        <v>11</v>
      </c>
      <c r="AL35" t="inlineStr">
        <is>
          <t>XTANDI</t>
        </is>
      </c>
      <c r="AM35" t="inlineStr">
        <is>
          <t>ONCOLOGY</t>
        </is>
      </c>
      <c r="AN35" s="58" t="n">
        <v>32.35848054825389</v>
      </c>
    </row>
    <row r="36" ht="15" customHeight="1" thickTop="1">
      <c r="B36" s="64" t="inlineStr">
        <is>
          <t>Non-Specialty</t>
        </is>
      </c>
      <c r="C36" s="10" t="n"/>
      <c r="D36" s="65" t="n">
        <v>440408</v>
      </c>
      <c r="E36" s="66" t="n">
        <v>35604070.715</v>
      </c>
      <c r="F36" s="66" t="n">
        <v>24851398</v>
      </c>
      <c r="G36" s="67" t="n">
        <v>80.84337867386604</v>
      </c>
      <c r="H36" s="68" t="n">
        <v>56.42812573795208</v>
      </c>
      <c r="I36" s="31" t="n"/>
      <c r="J36" s="31" t="n"/>
      <c r="K36" s="31" t="n"/>
      <c r="L36" s="31" t="n"/>
      <c r="M36" s="31" t="n"/>
      <c r="N36" s="31" t="n"/>
      <c r="O36" s="31" t="n"/>
      <c r="P36" s="31" t="n"/>
      <c r="Q36" s="31" t="n"/>
      <c r="R36" s="31" t="n"/>
      <c r="S36" s="31" t="n"/>
      <c r="T36" s="31" t="n"/>
      <c r="U36" s="31" t="n"/>
      <c r="V36" s="31" t="n"/>
      <c r="W36" s="31" t="n"/>
      <c r="X36" s="31" t="n"/>
      <c r="Y36" s="31" t="n"/>
      <c r="Z36" s="31" t="n"/>
      <c r="AA36" s="31" t="n"/>
      <c r="AE36" s="121" t="n">
        <v>12</v>
      </c>
      <c r="AF36" t="inlineStr">
        <is>
          <t>OMNIPOD 5 DEXCOM G7G6 PODS (GEN 5)</t>
        </is>
      </c>
      <c r="AG36" t="inlineStr">
        <is>
          <t>INSULIN ADMINISTRATION SUPPLIES</t>
        </is>
      </c>
      <c r="AH36" s="122" t="n">
        <v>108459.7711740402</v>
      </c>
      <c r="AI36" s="56" t="n">
        <v>303.3891650433666</v>
      </c>
      <c r="AK36" s="123" t="n">
        <v>12</v>
      </c>
      <c r="AL36" t="inlineStr">
        <is>
          <t>FLUZONE HIGH-DOSE 2025-2026</t>
        </is>
      </c>
      <c r="AM36" t="inlineStr">
        <is>
          <t>VACCINES</t>
        </is>
      </c>
      <c r="AN36" s="58" t="n">
        <v>4385.431946026946</v>
      </c>
    </row>
    <row r="37" ht="15" customHeight="1" thickBot="1">
      <c r="B37" s="59" t="inlineStr">
        <is>
          <t>Specialty</t>
        </is>
      </c>
      <c r="C37" s="10" t="n"/>
      <c r="D37" s="60" t="n">
        <v>0</v>
      </c>
      <c r="E37" s="61" t="n">
        <v>0</v>
      </c>
      <c r="F37" s="61" t="n">
        <v>0</v>
      </c>
      <c r="G37" s="62" t="n">
        <v>0</v>
      </c>
      <c r="H37" s="63" t="n">
        <v>0</v>
      </c>
      <c r="I37" s="31" t="n"/>
      <c r="J37" s="31" t="n"/>
      <c r="K37" s="31" t="n"/>
      <c r="L37" s="31" t="n"/>
      <c r="M37" s="31" t="n"/>
      <c r="N37" s="31" t="n"/>
      <c r="O37" s="31" t="n"/>
      <c r="P37" s="31" t="n"/>
      <c r="Q37" s="31" t="n"/>
      <c r="R37" s="31" t="n"/>
      <c r="S37" s="31" t="n"/>
      <c r="T37" s="31" t="n"/>
      <c r="U37" s="31" t="n"/>
      <c r="V37" s="31" t="n"/>
      <c r="W37" s="31" t="n"/>
      <c r="X37" s="31" t="n"/>
      <c r="Y37" s="31" t="n"/>
      <c r="Z37" s="31" t="n"/>
      <c r="AA37" s="31" t="n"/>
      <c r="AE37" s="121" t="n">
        <v>13</v>
      </c>
      <c r="AF37" t="inlineStr">
        <is>
          <t>AIMOVIG</t>
        </is>
      </c>
      <c r="AG37" t="inlineStr">
        <is>
          <t>MIGRAINE PRODUCTS</t>
        </is>
      </c>
      <c r="AH37" s="122" t="n">
        <v>101399.8948119766</v>
      </c>
      <c r="AI37" s="56" t="n">
        <v>212.4799713100658</v>
      </c>
      <c r="AK37" s="123" t="n">
        <v>13</v>
      </c>
      <c r="AL37" t="inlineStr">
        <is>
          <t>SHINGRIX</t>
        </is>
      </c>
      <c r="AM37" t="inlineStr">
        <is>
          <t>VACCINES</t>
        </is>
      </c>
      <c r="AN37" s="58" t="n">
        <v>1322.062980305923</v>
      </c>
    </row>
    <row r="38" ht="15.6" customHeight="1" thickBot="1" thickTop="1">
      <c r="B38" s="69" t="inlineStr">
        <is>
          <t>Total</t>
        </is>
      </c>
      <c r="C38" s="10" t="n"/>
      <c r="D38" s="70" t="n">
        <v>440408</v>
      </c>
      <c r="E38" s="71" t="n">
        <v>35604070.715</v>
      </c>
      <c r="F38" s="71" t="n">
        <v>24851398</v>
      </c>
      <c r="G38" s="72" t="n">
        <v>80.84337867386606</v>
      </c>
      <c r="H38" s="73" t="n">
        <v>56.42812573795208</v>
      </c>
      <c r="I38" s="31" t="n"/>
      <c r="J38" s="31" t="n"/>
      <c r="K38" s="31" t="n"/>
      <c r="L38" s="31" t="n"/>
      <c r="M38" s="31" t="n"/>
      <c r="N38" s="31" t="n"/>
      <c r="O38" s="31" t="n"/>
      <c r="P38" s="31" t="n"/>
      <c r="Q38" s="31" t="n"/>
      <c r="R38" s="31" t="n"/>
      <c r="S38" s="31" t="n"/>
      <c r="T38" s="31" t="n"/>
      <c r="U38" s="31" t="n"/>
      <c r="V38" s="31" t="n"/>
      <c r="W38" s="31" t="n"/>
      <c r="X38" s="31" t="n"/>
      <c r="Y38" s="31" t="n"/>
      <c r="Z38" s="31" t="n"/>
      <c r="AA38" s="31" t="n"/>
      <c r="AE38" s="121" t="n">
        <v>14</v>
      </c>
      <c r="AF38" t="inlineStr">
        <is>
          <t>LOKELMA</t>
        </is>
      </c>
      <c r="AG38" t="inlineStr">
        <is>
          <t>POTASSIUM REMOVING AGENTS</t>
        </is>
      </c>
      <c r="AH38" s="122" t="n">
        <v>100532.8754548712</v>
      </c>
      <c r="AI38" s="56" t="n">
        <v>147.4348574158095</v>
      </c>
      <c r="AK38" s="123" t="n">
        <v>14</v>
      </c>
      <c r="AL38" t="inlineStr">
        <is>
          <t>CALQUENCE</t>
        </is>
      </c>
      <c r="AM38" t="inlineStr">
        <is>
          <t>ONCOLOGY</t>
        </is>
      </c>
      <c r="AN38" s="58" t="n">
        <v>22.18522415824778</v>
      </c>
    </row>
    <row r="39">
      <c r="B39" s="10" t="n"/>
      <c r="C39" s="10" t="n"/>
      <c r="D39" s="74" t="n"/>
      <c r="E39" s="74" t="n"/>
      <c r="F39" s="74" t="n"/>
      <c r="G39" s="75" t="n"/>
      <c r="H39" s="76" t="n"/>
      <c r="I39" s="31" t="n"/>
      <c r="J39" s="31" t="n"/>
      <c r="K39" s="31" t="n"/>
      <c r="L39" s="31" t="n"/>
      <c r="M39" s="31" t="n"/>
      <c r="N39" s="31" t="n"/>
      <c r="O39" s="31" t="n"/>
      <c r="P39" s="31" t="n"/>
      <c r="Q39" s="31" t="n"/>
      <c r="R39" s="31" t="n"/>
      <c r="S39" s="31" t="n"/>
      <c r="T39" s="31" t="n"/>
      <c r="U39" s="31" t="n"/>
      <c r="V39" s="31" t="n"/>
      <c r="W39" s="31" t="n"/>
      <c r="X39" s="31" t="n"/>
      <c r="Y39" s="31" t="n"/>
      <c r="Z39" s="31" t="n"/>
      <c r="AA39" s="31" t="n"/>
      <c r="AE39" s="121" t="n">
        <v>15</v>
      </c>
      <c r="AF39" t="inlineStr">
        <is>
          <t>ROCKLATAN</t>
        </is>
      </c>
      <c r="AG39" t="inlineStr">
        <is>
          <t>OPHTHALMICS - RHO KINASE INHIBITOR &amp; COMBOS</t>
        </is>
      </c>
      <c r="AH39" s="122" t="n">
        <v>81405.75451714286</v>
      </c>
      <c r="AI39" s="56" t="n">
        <v>197.9842290078921</v>
      </c>
      <c r="AK39" s="123" t="n">
        <v>15</v>
      </c>
      <c r="AL39" t="inlineStr">
        <is>
          <t>STELARA</t>
        </is>
      </c>
      <c r="AM39" t="inlineStr">
        <is>
          <t>IMMUNOMODULATORS</t>
        </is>
      </c>
      <c r="AN39" s="58" t="n">
        <v>15.80190523597206</v>
      </c>
    </row>
    <row r="40" ht="15" customHeight="1" thickBot="1">
      <c r="B40" s="27" t="inlineStr">
        <is>
          <t>Total</t>
        </is>
      </c>
      <c r="C40" s="10" t="n"/>
      <c r="D40" s="79" t="n"/>
      <c r="E40" s="79" t="n"/>
      <c r="F40" s="79" t="n"/>
      <c r="G40" s="79" t="n"/>
      <c r="H40" s="80" t="n"/>
      <c r="I40" s="31" t="n"/>
      <c r="J40" s="31" t="n"/>
      <c r="K40" s="31" t="n"/>
      <c r="L40" s="31" t="n"/>
      <c r="M40" s="31" t="n"/>
      <c r="N40" s="31" t="n"/>
      <c r="O40" s="31" t="n"/>
      <c r="P40" s="31" t="n"/>
      <c r="Q40" s="31" t="n"/>
      <c r="R40" s="31" t="n"/>
      <c r="S40" s="31" t="n"/>
      <c r="T40" s="31" t="n"/>
      <c r="U40" s="31" t="n"/>
      <c r="V40" s="31" t="n"/>
      <c r="W40" s="31" t="n"/>
      <c r="X40" s="31" t="n"/>
      <c r="Y40" s="31" t="n"/>
      <c r="Z40" s="31" t="n"/>
      <c r="AA40" s="31" t="n"/>
      <c r="AE40" s="121" t="n">
        <v>16</v>
      </c>
      <c r="AF40" t="inlineStr">
        <is>
          <t>QULIPTA</t>
        </is>
      </c>
      <c r="AG40" t="inlineStr">
        <is>
          <t>MIGRAINE PRODUCTS</t>
        </is>
      </c>
      <c r="AH40" s="122" t="n">
        <v>76210.48820618891</v>
      </c>
      <c r="AI40" s="56" t="n">
        <v>70.82665710335527</v>
      </c>
      <c r="AK40" s="123" t="n">
        <v>16</v>
      </c>
      <c r="AL40" t="inlineStr">
        <is>
          <t>ENBREL MINI</t>
        </is>
      </c>
      <c r="AM40" t="inlineStr">
        <is>
          <t>IMMUNOMODULATORS</t>
        </is>
      </c>
      <c r="AN40" s="58" t="n">
        <v>29.17274812794841</v>
      </c>
    </row>
    <row r="41">
      <c r="B41" s="38" t="inlineStr">
        <is>
          <t>Retail 30</t>
        </is>
      </c>
      <c r="C41" s="10" t="n"/>
      <c r="D41" s="39" t="n">
        <v>258507</v>
      </c>
      <c r="E41" s="40" t="n">
        <v>13129037.797</v>
      </c>
      <c r="F41" s="40" t="n">
        <v>6228588</v>
      </c>
      <c r="G41" s="41" t="n">
        <v>50.78793919313596</v>
      </c>
      <c r="H41" s="42" t="n">
        <v>24.09446552704569</v>
      </c>
      <c r="I41" s="31" t="n"/>
      <c r="J41" s="31" t="n"/>
      <c r="K41" s="31" t="n"/>
      <c r="L41" s="31" t="n"/>
      <c r="M41" s="31" t="n"/>
      <c r="N41" s="31" t="n"/>
      <c r="O41" s="31" t="n"/>
      <c r="P41" s="31" t="n"/>
      <c r="Q41" s="31" t="n"/>
      <c r="R41" s="31" t="n"/>
      <c r="S41" s="31" t="n"/>
      <c r="T41" s="31" t="n"/>
      <c r="U41" s="31" t="n"/>
      <c r="V41" s="31" t="n"/>
      <c r="W41" s="31" t="n"/>
      <c r="X41" s="31" t="n"/>
      <c r="Y41" s="31" t="n"/>
      <c r="Z41" s="31" t="n"/>
      <c r="AA41" s="31" t="n"/>
      <c r="AE41" s="121" t="n">
        <v>17</v>
      </c>
      <c r="AF41" t="inlineStr">
        <is>
          <t>TOUJEO SOLOSTAR</t>
        </is>
      </c>
      <c r="AG41" t="inlineStr">
        <is>
          <t>BASAL INSULIN</t>
        </is>
      </c>
      <c r="AH41" s="122" t="n">
        <v>68438.7192491356</v>
      </c>
      <c r="AI41" s="56" t="n">
        <v>105.6335243267974</v>
      </c>
      <c r="AK41" s="123" t="n">
        <v>17</v>
      </c>
      <c r="AL41" t="inlineStr">
        <is>
          <t>OHTUVAYRE</t>
        </is>
      </c>
      <c r="AM41" t="inlineStr">
        <is>
          <t>PDE3 &amp; PDE4 INHIBITORS</t>
        </is>
      </c>
      <c r="AN41" s="58" t="n">
        <v>79.34522347334817</v>
      </c>
    </row>
    <row r="42">
      <c r="B42" s="49" t="inlineStr">
        <is>
          <t>Retail 90</t>
        </is>
      </c>
      <c r="C42" s="10" t="n"/>
      <c r="D42" s="50" t="n">
        <v>240574</v>
      </c>
      <c r="E42" s="51" t="n">
        <v>25117581.908</v>
      </c>
      <c r="F42" s="51" t="n">
        <v>20699478</v>
      </c>
      <c r="G42" s="52" t="n">
        <v>104.4068848171457</v>
      </c>
      <c r="H42" s="53" t="n">
        <v>86.04204111832534</v>
      </c>
      <c r="I42" s="31" t="n"/>
      <c r="J42" s="31" t="n"/>
      <c r="K42" s="31" t="n"/>
      <c r="L42" s="31" t="n"/>
      <c r="M42" s="31" t="n"/>
      <c r="N42" s="31" t="n"/>
      <c r="O42" s="31" t="n"/>
      <c r="P42" s="31" t="n"/>
      <c r="Q42" s="31" t="n"/>
      <c r="R42" s="31" t="n"/>
      <c r="S42" s="31" t="n"/>
      <c r="T42" s="31" t="n"/>
      <c r="U42" s="31" t="n"/>
      <c r="V42" s="31" t="n"/>
      <c r="W42" s="31" t="n"/>
      <c r="X42" s="31" t="n"/>
      <c r="Y42" s="31" t="n"/>
      <c r="Z42" s="31" t="n"/>
      <c r="AA42" s="31" t="n"/>
      <c r="AE42" s="121" t="n">
        <v>18</v>
      </c>
      <c r="AF42" t="inlineStr">
        <is>
          <t>TOUJEO MAX SOLOSTAR</t>
        </is>
      </c>
      <c r="AG42" t="inlineStr">
        <is>
          <t>BASAL INSULIN</t>
        </is>
      </c>
      <c r="AH42" s="122" t="n">
        <v>66764.26703950249</v>
      </c>
      <c r="AI42" s="56" t="n">
        <v>59.25783071991072</v>
      </c>
      <c r="AK42" s="123" t="n">
        <v>18</v>
      </c>
      <c r="AL42" t="inlineStr">
        <is>
          <t>OTEZLA</t>
        </is>
      </c>
      <c r="AM42" t="inlineStr">
        <is>
          <t>IMMUNOMODULATORS</t>
        </is>
      </c>
      <c r="AN42" s="58" t="n">
        <v>37.28349129679484</v>
      </c>
    </row>
    <row r="43" ht="15" customHeight="1" thickBot="1">
      <c r="B43" s="59" t="inlineStr">
        <is>
          <t>Mail</t>
        </is>
      </c>
      <c r="C43" s="10" t="n"/>
      <c r="D43" s="60" t="n">
        <v>3782</v>
      </c>
      <c r="E43" s="61" t="n">
        <v>439483.3</v>
      </c>
      <c r="F43" s="61" t="n">
        <v>335175</v>
      </c>
      <c r="G43" s="62" t="n">
        <v>116.2039397144368</v>
      </c>
      <c r="H43" s="63" t="n">
        <v>88.62374405076679</v>
      </c>
      <c r="I43" s="31" t="n"/>
      <c r="J43" s="31" t="n"/>
      <c r="K43" s="31" t="n"/>
      <c r="L43" s="31" t="n"/>
      <c r="M43" s="31" t="n"/>
      <c r="N43" s="31" t="n"/>
      <c r="O43" s="31" t="n"/>
      <c r="P43" s="31" t="n"/>
      <c r="Q43" s="31" t="n"/>
      <c r="R43" s="31" t="n"/>
      <c r="S43" s="31" t="n"/>
      <c r="T43" s="31" t="n"/>
      <c r="U43" s="31" t="n"/>
      <c r="V43" s="31" t="n"/>
      <c r="W43" s="31" t="n"/>
      <c r="X43" s="31" t="n"/>
      <c r="Y43" s="31" t="n"/>
      <c r="Z43" s="31" t="n"/>
      <c r="AA43" s="31" t="n"/>
      <c r="AE43" s="121" t="n">
        <v>19</v>
      </c>
      <c r="AF43" t="inlineStr">
        <is>
          <t>UBRELVY</t>
        </is>
      </c>
      <c r="AG43" t="inlineStr">
        <is>
          <t>MIGRAINE PRODUCTS</t>
        </is>
      </c>
      <c r="AH43" s="122" t="n">
        <v>62060.39210193272</v>
      </c>
      <c r="AI43" s="56" t="n">
        <v>62.77817334161035</v>
      </c>
      <c r="AK43" s="123" t="n">
        <v>19</v>
      </c>
      <c r="AL43" t="inlineStr">
        <is>
          <t>NEXLIZET</t>
        </is>
      </c>
      <c r="AM43" t="inlineStr">
        <is>
          <t>ACL INHIBITORS &amp; COMBOS</t>
        </is>
      </c>
      <c r="AN43" s="58" t="n">
        <v>253.030093132538</v>
      </c>
    </row>
    <row r="44" ht="15.6" customHeight="1" thickBot="1" thickTop="1">
      <c r="B44" s="64" t="inlineStr">
        <is>
          <t>Non-Specialty</t>
        </is>
      </c>
      <c r="C44" s="10" t="n"/>
      <c r="D44" s="65" t="n">
        <v>502863</v>
      </c>
      <c r="E44" s="66" t="n">
        <v>38686103.005</v>
      </c>
      <c r="F44" s="66" t="n">
        <v>27263241</v>
      </c>
      <c r="G44" s="67" t="n">
        <v>76.93169512372157</v>
      </c>
      <c r="H44" s="68" t="n">
        <v>54.21604094952303</v>
      </c>
      <c r="I44" s="31" t="n"/>
      <c r="J44" s="31" t="n"/>
      <c r="K44" s="31" t="n"/>
      <c r="L44" s="31" t="n"/>
      <c r="M44" s="31" t="n"/>
      <c r="N44" s="31" t="n"/>
      <c r="O44" s="31" t="n"/>
      <c r="P44" s="31" t="n"/>
      <c r="Q44" s="31" t="n"/>
      <c r="R44" s="31" t="n"/>
      <c r="S44" s="31" t="n"/>
      <c r="T44" s="31" t="n"/>
      <c r="U44" s="31" t="n"/>
      <c r="V44" s="31" t="n"/>
      <c r="W44" s="31" t="n"/>
      <c r="X44" s="31" t="n"/>
      <c r="Y44" s="31" t="n"/>
      <c r="Z44" s="31" t="n"/>
      <c r="AA44" s="31" t="n"/>
      <c r="AE44" s="124" t="n">
        <v>20</v>
      </c>
      <c r="AF44" s="82" t="inlineStr">
        <is>
          <t>XTAMPZA ER</t>
        </is>
      </c>
      <c r="AG44" s="82" t="inlineStr">
        <is>
          <t>OPIOID AGONISTS &amp; COMBOS</t>
        </is>
      </c>
      <c r="AH44" s="125" t="n">
        <v>59901.00586583805</v>
      </c>
      <c r="AI44" s="84" t="n">
        <v>140.1553635753655</v>
      </c>
      <c r="AK44" s="126" t="n">
        <v>20</v>
      </c>
      <c r="AL44" s="86" t="inlineStr">
        <is>
          <t>PRIVIGEN</t>
        </is>
      </c>
      <c r="AM44" s="86" t="inlineStr">
        <is>
          <t>IMMUNE SERUMS</t>
        </is>
      </c>
      <c r="AN44" s="87" t="n">
        <v>16.92804535902917</v>
      </c>
    </row>
    <row r="45" ht="15" customHeight="1" thickBot="1">
      <c r="B45" s="59" t="inlineStr">
        <is>
          <t>Specialty</t>
        </is>
      </c>
      <c r="C45" s="10" t="n"/>
      <c r="D45" s="60" t="n">
        <v>485</v>
      </c>
      <c r="E45" s="61" t="n">
        <v>18752</v>
      </c>
      <c r="F45" s="61" t="n">
        <v>16264</v>
      </c>
      <c r="G45" s="62" t="n">
        <v>38.66391752577319</v>
      </c>
      <c r="H45" s="63" t="n">
        <v>33.5340206185567</v>
      </c>
      <c r="I45" s="31" t="n"/>
      <c r="J45" s="31" t="n"/>
      <c r="K45" s="31" t="n"/>
      <c r="L45" s="31" t="n"/>
      <c r="M45" s="31" t="n"/>
      <c r="N45" s="31" t="n"/>
      <c r="O45" s="31" t="n"/>
      <c r="P45" s="31" t="n"/>
      <c r="Q45" s="31" t="n"/>
      <c r="R45" s="31" t="n"/>
      <c r="S45" s="31" t="n"/>
      <c r="T45" s="31" t="n"/>
      <c r="U45" s="31" t="n"/>
      <c r="V45" s="31" t="n"/>
      <c r="W45" s="31" t="n"/>
      <c r="X45" s="31" t="n"/>
      <c r="Y45" s="31" t="n"/>
      <c r="Z45" s="31" t="n"/>
      <c r="AA45" s="31" t="n"/>
    </row>
    <row r="46" ht="15.6" customHeight="1" thickBot="1" thickTop="1">
      <c r="B46" s="69" t="inlineStr">
        <is>
          <t>Total</t>
        </is>
      </c>
      <c r="C46" s="10" t="n"/>
      <c r="D46" s="70" t="n">
        <v>503348</v>
      </c>
      <c r="E46" s="71" t="n">
        <v>38704855.005</v>
      </c>
      <c r="F46" s="71" t="n">
        <v>27279505</v>
      </c>
      <c r="G46" s="72" t="n">
        <v>76.89482228001303</v>
      </c>
      <c r="H46" s="73" t="n">
        <v>54.19611282850036</v>
      </c>
      <c r="I46" s="31" t="n"/>
      <c r="J46" s="31" t="n"/>
      <c r="K46" s="31" t="n"/>
      <c r="L46" s="31" t="n"/>
      <c r="M46" s="31" t="n"/>
      <c r="N46" s="31" t="n"/>
      <c r="O46" s="31" t="n"/>
      <c r="P46" s="31" t="n"/>
      <c r="Q46" s="31" t="n"/>
      <c r="R46" s="31" t="n"/>
      <c r="S46" s="31" t="n"/>
      <c r="T46" s="31" t="n"/>
      <c r="U46" s="31" t="n"/>
      <c r="V46" s="31" t="n"/>
      <c r="W46" s="31" t="n"/>
      <c r="X46" s="31" t="n"/>
      <c r="Y46" s="31" t="n"/>
      <c r="Z46" s="31" t="n"/>
      <c r="AA46" s="31" t="n"/>
    </row>
    <row r="47" ht="15" customHeight="1" thickBot="1">
      <c r="AE47" s="20" t="inlineStr">
        <is>
          <t>Overall - Brand Only</t>
        </is>
      </c>
      <c r="AF47" s="21" t="n"/>
      <c r="AG47" s="23" t="n"/>
      <c r="AH47" s="23" t="n"/>
    </row>
    <row r="48" ht="34.95" customHeight="1" thickBot="1">
      <c r="B48" s="88" t="n"/>
      <c r="C48" s="88" t="n"/>
      <c r="D48" s="88" t="n"/>
      <c r="E48" s="88" t="n"/>
      <c r="F48" s="88" t="n"/>
      <c r="G48" s="88" t="n"/>
      <c r="H48" s="88" t="n"/>
      <c r="I48" s="88" t="n"/>
      <c r="J48" s="88" t="n"/>
      <c r="K48" s="88" t="n"/>
      <c r="L48" s="88" t="n"/>
      <c r="M48" s="88" t="n"/>
      <c r="N48" s="88" t="n"/>
      <c r="O48" s="88" t="n"/>
      <c r="P48" s="88" t="n"/>
      <c r="Q48" s="88" t="n"/>
      <c r="R48" s="88" t="n"/>
      <c r="S48" s="88" t="n"/>
      <c r="T48" s="88" t="n"/>
      <c r="U48" s="88" t="n"/>
      <c r="V48" s="88" t="n"/>
      <c r="W48" s="88" t="n"/>
      <c r="X48" s="88" t="n"/>
      <c r="Y48" s="88" t="n"/>
      <c r="Z48" s="88" t="n"/>
      <c r="AA48" s="88" t="n"/>
      <c r="AE48" s="32" t="inlineStr">
        <is>
          <t>Rank</t>
        </is>
      </c>
      <c r="AF48" s="33" t="inlineStr">
        <is>
          <t>Therapeutic Class</t>
        </is>
      </c>
      <c r="AG48" s="33" t="inlineStr">
        <is>
          <t>Total Rebates</t>
        </is>
      </c>
      <c r="AH48" s="34" t="inlineStr">
        <is>
          <t>Brand Scripts</t>
        </is>
      </c>
    </row>
    <row r="49" ht="15" customHeight="1" thickTop="1">
      <c r="AE49" s="118" t="n">
        <v>1</v>
      </c>
      <c r="AF49" s="44" t="inlineStr">
        <is>
          <t>GLUCAGON-LIKE PEPTIDE-1 AGONISTS (GLP1)</t>
        </is>
      </c>
      <c r="AG49" s="119" t="n">
        <v>10355693.63595291</v>
      </c>
      <c r="AH49" s="46" t="n">
        <v>20672.39396831167</v>
      </c>
    </row>
    <row r="50" ht="15" customHeight="1" thickBot="1">
      <c r="AE50" s="121" t="n">
        <v>2</v>
      </c>
      <c r="AF50" t="inlineStr">
        <is>
          <t>LABA LAMA COMBO</t>
        </is>
      </c>
      <c r="AG50" s="122" t="n">
        <v>1268827.431226915</v>
      </c>
      <c r="AH50" s="56" t="n">
        <v>6395.928872955813</v>
      </c>
    </row>
    <row r="51" ht="15" customHeight="1" thickBot="1">
      <c r="D51" s="11" t="inlineStr">
        <is>
          <t>Base Yr</t>
        </is>
      </c>
      <c r="E51" s="12" t="n"/>
      <c r="F51" s="12" t="n"/>
      <c r="G51" s="13" t="n"/>
      <c r="H51" s="14" t="n"/>
      <c r="J51" s="11" t="n">
        <v>2030</v>
      </c>
      <c r="K51" s="12" t="n"/>
      <c r="L51" s="12" t="n"/>
      <c r="M51" s="13" t="n"/>
      <c r="N51" s="14" t="n"/>
      <c r="P51" s="11" t="n">
        <v>2028</v>
      </c>
      <c r="Q51" s="12" t="n"/>
      <c r="R51" s="12" t="n"/>
      <c r="S51" s="13" t="n"/>
      <c r="T51" s="14" t="n"/>
      <c r="V51" s="11" t="n">
        <v>2029</v>
      </c>
      <c r="W51" s="12" t="n"/>
      <c r="X51" s="12" t="n"/>
      <c r="Y51" s="13" t="n"/>
      <c r="Z51" s="14" t="n"/>
      <c r="AE51" s="121" t="n">
        <v>3</v>
      </c>
      <c r="AF51" t="inlineStr">
        <is>
          <t>URINARY ANTISPASMODICS &amp; OAB DRUGS</t>
        </is>
      </c>
      <c r="AG51" s="122" t="n">
        <v>467965.6858161185</v>
      </c>
      <c r="AH51" s="56" t="n">
        <v>767.6697553968106</v>
      </c>
    </row>
    <row r="52" ht="15" customHeight="1" thickBot="1">
      <c r="B52" s="27" t="inlineStr">
        <is>
          <t>Excl - Brand</t>
        </is>
      </c>
      <c r="D52" s="28" t="inlineStr">
        <is>
          <t>R30</t>
        </is>
      </c>
      <c r="E52" s="29" t="inlineStr">
        <is>
          <t>R90</t>
        </is>
      </c>
      <c r="F52" s="29" t="inlineStr">
        <is>
          <t>Mail</t>
        </is>
      </c>
      <c r="G52" s="29" t="inlineStr">
        <is>
          <t>Specialty</t>
        </is>
      </c>
      <c r="H52" s="30" t="inlineStr">
        <is>
          <t>Total</t>
        </is>
      </c>
      <c r="J52" s="28" t="inlineStr">
        <is>
          <t>R30</t>
        </is>
      </c>
      <c r="K52" s="29" t="inlineStr">
        <is>
          <t>R90</t>
        </is>
      </c>
      <c r="L52" s="29" t="inlineStr">
        <is>
          <t>Mail</t>
        </is>
      </c>
      <c r="M52" s="29" t="inlineStr">
        <is>
          <t>Specialty</t>
        </is>
      </c>
      <c r="N52" s="30" t="inlineStr">
        <is>
          <t>Total</t>
        </is>
      </c>
      <c r="P52" s="28" t="inlineStr">
        <is>
          <t>R30</t>
        </is>
      </c>
      <c r="Q52" s="29" t="inlineStr">
        <is>
          <t>R90</t>
        </is>
      </c>
      <c r="R52" s="29" t="inlineStr">
        <is>
          <t>Mail</t>
        </is>
      </c>
      <c r="S52" s="29" t="inlineStr">
        <is>
          <t>Specialty</t>
        </is>
      </c>
      <c r="T52" s="30" t="inlineStr">
        <is>
          <t>Total</t>
        </is>
      </c>
      <c r="V52" s="28" t="inlineStr">
        <is>
          <t>R30</t>
        </is>
      </c>
      <c r="W52" s="29" t="inlineStr">
        <is>
          <t>R90</t>
        </is>
      </c>
      <c r="X52" s="29" t="inlineStr">
        <is>
          <t>Mail</t>
        </is>
      </c>
      <c r="Y52" s="29" t="inlineStr">
        <is>
          <t>Specialty</t>
        </is>
      </c>
      <c r="Z52" s="30" t="inlineStr">
        <is>
          <t>Total</t>
        </is>
      </c>
      <c r="AE52" s="121" t="n">
        <v>4</v>
      </c>
      <c r="AF52" t="inlineStr">
        <is>
          <t>DIGESTIVE ENZYMES</t>
        </is>
      </c>
      <c r="AG52" s="122" t="n">
        <v>398761.8755321832</v>
      </c>
      <c r="AH52" s="56" t="n">
        <v>267.832838263938</v>
      </c>
    </row>
    <row r="53">
      <c r="B53" s="38" t="inlineStr">
        <is>
          <t>OTCs</t>
        </is>
      </c>
      <c r="D53" s="127" t="n">
        <v>0</v>
      </c>
      <c r="E53" s="128" t="n">
        <v>0</v>
      </c>
      <c r="F53" s="128" t="n">
        <v>0</v>
      </c>
      <c r="G53" s="128" t="n">
        <v>0</v>
      </c>
      <c r="H53" s="129" t="n">
        <v>0</v>
      </c>
      <c r="J53" s="127" t="n">
        <v>0</v>
      </c>
      <c r="K53" s="128" t="n">
        <v>0</v>
      </c>
      <c r="L53" s="128" t="n">
        <v>0</v>
      </c>
      <c r="M53" s="128" t="n">
        <v>0</v>
      </c>
      <c r="N53" s="129" t="n">
        <v>0</v>
      </c>
      <c r="P53" s="127" t="n">
        <v>0</v>
      </c>
      <c r="Q53" s="128" t="n">
        <v>0</v>
      </c>
      <c r="R53" s="128" t="n">
        <v>0</v>
      </c>
      <c r="S53" s="128" t="n">
        <v>0</v>
      </c>
      <c r="T53" s="129" t="n">
        <v>0</v>
      </c>
      <c r="V53" s="127" t="n">
        <v>0</v>
      </c>
      <c r="W53" s="128" t="n">
        <v>0</v>
      </c>
      <c r="X53" s="128" t="n">
        <v>0</v>
      </c>
      <c r="Y53" s="128" t="n">
        <v>0</v>
      </c>
      <c r="Z53" s="129" t="n">
        <v>0</v>
      </c>
      <c r="AE53" s="121" t="n">
        <v>5</v>
      </c>
      <c r="AF53" t="inlineStr">
        <is>
          <t>MIGRAINE PRODUCTS</t>
        </is>
      </c>
      <c r="AG53" s="122" t="n">
        <v>398214.3020311438</v>
      </c>
      <c r="AH53" s="56" t="n">
        <v>626.1720366637545</v>
      </c>
    </row>
    <row r="54">
      <c r="B54" s="49" t="inlineStr">
        <is>
          <t>Devices</t>
        </is>
      </c>
      <c r="D54" s="130" t="n">
        <v>0</v>
      </c>
      <c r="E54" s="131" t="n">
        <v>0</v>
      </c>
      <c r="F54" s="131" t="n">
        <v>0</v>
      </c>
      <c r="G54" s="131" t="n">
        <v>0</v>
      </c>
      <c r="H54" s="132" t="n">
        <v>0</v>
      </c>
      <c r="J54" s="130" t="n">
        <v>0</v>
      </c>
      <c r="K54" s="131" t="n">
        <v>0</v>
      </c>
      <c r="L54" s="131" t="n">
        <v>0</v>
      </c>
      <c r="M54" s="131" t="n">
        <v>0</v>
      </c>
      <c r="N54" s="132" t="n">
        <v>0</v>
      </c>
      <c r="P54" s="130" t="n">
        <v>0</v>
      </c>
      <c r="Q54" s="131" t="n">
        <v>0</v>
      </c>
      <c r="R54" s="131" t="n">
        <v>0</v>
      </c>
      <c r="S54" s="131" t="n">
        <v>0</v>
      </c>
      <c r="T54" s="132" t="n">
        <v>0</v>
      </c>
      <c r="V54" s="130" t="n">
        <v>0</v>
      </c>
      <c r="W54" s="131" t="n">
        <v>0</v>
      </c>
      <c r="X54" s="131" t="n">
        <v>0</v>
      </c>
      <c r="Y54" s="131" t="n">
        <v>0</v>
      </c>
      <c r="Z54" s="132" t="n">
        <v>0</v>
      </c>
      <c r="AE54" s="121" t="n">
        <v>6</v>
      </c>
      <c r="AF54" t="inlineStr">
        <is>
          <t>LAMA/ACH</t>
        </is>
      </c>
      <c r="AG54" s="122" t="n">
        <v>180624.6572362439</v>
      </c>
      <c r="AH54" s="56" t="n">
        <v>416.1816363077455</v>
      </c>
    </row>
    <row r="55">
      <c r="B55" s="64" t="inlineStr">
        <is>
          <t>Vaccines</t>
        </is>
      </c>
      <c r="D55" s="130" t="n">
        <v>0</v>
      </c>
      <c r="E55" s="131" t="n">
        <v>0</v>
      </c>
      <c r="F55" s="131" t="n">
        <v>0</v>
      </c>
      <c r="G55" s="131" t="n">
        <v>0</v>
      </c>
      <c r="H55" s="132" t="n">
        <v>0</v>
      </c>
      <c r="J55" s="130" t="n">
        <v>0</v>
      </c>
      <c r="K55" s="131" t="n">
        <v>0</v>
      </c>
      <c r="L55" s="131" t="n">
        <v>0</v>
      </c>
      <c r="M55" s="131" t="n">
        <v>0</v>
      </c>
      <c r="N55" s="132" t="n">
        <v>0</v>
      </c>
      <c r="P55" s="130" t="n">
        <v>0</v>
      </c>
      <c r="Q55" s="131" t="n">
        <v>0</v>
      </c>
      <c r="R55" s="131" t="n">
        <v>0</v>
      </c>
      <c r="S55" s="131" t="n">
        <v>0</v>
      </c>
      <c r="T55" s="132" t="n">
        <v>0</v>
      </c>
      <c r="V55" s="130" t="n">
        <v>0</v>
      </c>
      <c r="W55" s="131" t="n">
        <v>0</v>
      </c>
      <c r="X55" s="131" t="n">
        <v>0</v>
      </c>
      <c r="Y55" s="131" t="n">
        <v>0</v>
      </c>
      <c r="Z55" s="132" t="n">
        <v>0</v>
      </c>
      <c r="AE55" s="121" t="n">
        <v>7</v>
      </c>
      <c r="AF55" t="inlineStr">
        <is>
          <t>BASAL INSULIN</t>
        </is>
      </c>
      <c r="AG55" s="122" t="n">
        <v>177023.5109933398</v>
      </c>
      <c r="AH55" s="56" t="n">
        <v>1554.212666503536</v>
      </c>
    </row>
    <row r="56">
      <c r="B56" s="64" t="inlineStr">
        <is>
          <t>Repackaged</t>
        </is>
      </c>
      <c r="D56" s="130" t="n">
        <v>0</v>
      </c>
      <c r="E56" s="131" t="n">
        <v>0</v>
      </c>
      <c r="F56" s="131" t="n">
        <v>0</v>
      </c>
      <c r="G56" s="131" t="n">
        <v>0</v>
      </c>
      <c r="H56" s="132" t="n">
        <v>0</v>
      </c>
      <c r="J56" s="130" t="n">
        <v>0</v>
      </c>
      <c r="K56" s="131" t="n">
        <v>0</v>
      </c>
      <c r="L56" s="131" t="n">
        <v>0</v>
      </c>
      <c r="M56" s="131" t="n">
        <v>0</v>
      </c>
      <c r="N56" s="132" t="n">
        <v>0</v>
      </c>
      <c r="P56" s="130" t="n">
        <v>0</v>
      </c>
      <c r="Q56" s="131" t="n">
        <v>0</v>
      </c>
      <c r="R56" s="131" t="n">
        <v>0</v>
      </c>
      <c r="S56" s="131" t="n">
        <v>0</v>
      </c>
      <c r="T56" s="132" t="n">
        <v>0</v>
      </c>
      <c r="V56" s="130" t="n">
        <v>0</v>
      </c>
      <c r="W56" s="131" t="n">
        <v>0</v>
      </c>
      <c r="X56" s="131" t="n">
        <v>0</v>
      </c>
      <c r="Y56" s="131" t="n">
        <v>0</v>
      </c>
      <c r="Z56" s="132" t="n">
        <v>0</v>
      </c>
      <c r="AE56" s="121" t="n">
        <v>8</v>
      </c>
      <c r="AF56" t="inlineStr">
        <is>
          <t>INSULIN ADMINISTRATION SUPPLIES</t>
        </is>
      </c>
      <c r="AG56" s="122" t="n">
        <v>165885.9420571897</v>
      </c>
      <c r="AH56" s="56" t="n">
        <v>416.4165010399149</v>
      </c>
    </row>
    <row r="57">
      <c r="B57" s="64" t="inlineStr">
        <is>
          <t>MSBs</t>
        </is>
      </c>
      <c r="D57" s="130" t="n">
        <v>0</v>
      </c>
      <c r="E57" s="131" t="n">
        <v>0</v>
      </c>
      <c r="F57" s="131" t="n">
        <v>0</v>
      </c>
      <c r="G57" s="131" t="n">
        <v>0</v>
      </c>
      <c r="H57" s="132" t="n">
        <v>0</v>
      </c>
      <c r="J57" s="130" t="n">
        <v>0</v>
      </c>
      <c r="K57" s="131" t="n">
        <v>0</v>
      </c>
      <c r="L57" s="131" t="n">
        <v>0</v>
      </c>
      <c r="M57" s="131" t="n">
        <v>0</v>
      </c>
      <c r="N57" s="132" t="n">
        <v>0</v>
      </c>
      <c r="P57" s="130" t="n">
        <v>0</v>
      </c>
      <c r="Q57" s="131" t="n">
        <v>0</v>
      </c>
      <c r="R57" s="131" t="n">
        <v>0</v>
      </c>
      <c r="S57" s="131" t="n">
        <v>0</v>
      </c>
      <c r="T57" s="132" t="n">
        <v>0</v>
      </c>
      <c r="V57" s="130" t="n">
        <v>0</v>
      </c>
      <c r="W57" s="131" t="n">
        <v>0</v>
      </c>
      <c r="X57" s="131" t="n">
        <v>0</v>
      </c>
      <c r="Y57" s="131" t="n">
        <v>0</v>
      </c>
      <c r="Z57" s="132" t="n">
        <v>0</v>
      </c>
      <c r="AE57" s="121" t="n">
        <v>9</v>
      </c>
      <c r="AF57" t="inlineStr">
        <is>
          <t>MISC. ANTIVIRALS</t>
        </is>
      </c>
      <c r="AG57" s="122" t="n">
        <v>151874.4287357912</v>
      </c>
      <c r="AH57" s="56" t="n">
        <v>508.2383233292842</v>
      </c>
    </row>
    <row r="58">
      <c r="B58" s="64" t="inlineStr">
        <is>
          <t>Non FDA Approved</t>
        </is>
      </c>
      <c r="D58" s="130" t="n">
        <v>0</v>
      </c>
      <c r="E58" s="131" t="n">
        <v>6</v>
      </c>
      <c r="F58" s="131" t="n">
        <v>0</v>
      </c>
      <c r="G58" s="131" t="n">
        <v>0</v>
      </c>
      <c r="H58" s="132" t="n">
        <v>6</v>
      </c>
      <c r="J58" s="130" t="n">
        <v>0</v>
      </c>
      <c r="K58" s="131" t="n">
        <v>6.885489488627885</v>
      </c>
      <c r="L58" s="131" t="n">
        <v>0</v>
      </c>
      <c r="M58" s="131" t="n">
        <v>0</v>
      </c>
      <c r="N58" s="132" t="n">
        <v>6.885489488627885</v>
      </c>
      <c r="P58" s="130" t="n">
        <v>0</v>
      </c>
      <c r="Q58" s="131" t="n">
        <v>7.09762893823543</v>
      </c>
      <c r="R58" s="131" t="n">
        <v>0</v>
      </c>
      <c r="S58" s="131" t="n">
        <v>0</v>
      </c>
      <c r="T58" s="132" t="n">
        <v>7.09762893823543</v>
      </c>
      <c r="V58" s="130" t="n">
        <v>0</v>
      </c>
      <c r="W58" s="131" t="n">
        <v>7.29938773026082</v>
      </c>
      <c r="X58" s="131" t="n">
        <v>0</v>
      </c>
      <c r="Y58" s="131" t="n">
        <v>0</v>
      </c>
      <c r="Z58" s="132" t="n">
        <v>7.29938773026082</v>
      </c>
      <c r="AE58" s="121" t="n">
        <v>10</v>
      </c>
      <c r="AF58" t="inlineStr">
        <is>
          <t>POTASSIUM REMOVING AGENTS</t>
        </is>
      </c>
      <c r="AG58" s="122" t="n">
        <v>139399.0022491063</v>
      </c>
      <c r="AH58" s="56" t="n">
        <v>203.221019681251</v>
      </c>
    </row>
    <row r="59">
      <c r="B59" s="64" t="inlineStr">
        <is>
          <t>LDD</t>
        </is>
      </c>
      <c r="D59" s="130" t="n">
        <v>18</v>
      </c>
      <c r="E59" s="131" t="n">
        <v>0</v>
      </c>
      <c r="F59" s="131" t="n">
        <v>0</v>
      </c>
      <c r="G59" s="131" t="n">
        <v>1</v>
      </c>
      <c r="H59" s="132" t="n">
        <v>19</v>
      </c>
      <c r="J59" s="130" t="n">
        <v>24.87719139716617</v>
      </c>
      <c r="K59" s="131" t="n">
        <v>0</v>
      </c>
      <c r="L59" s="131" t="n">
        <v>0</v>
      </c>
      <c r="M59" s="131" t="n">
        <v>0.6176590635903295</v>
      </c>
      <c r="N59" s="132" t="n">
        <v>25.4948504607565</v>
      </c>
      <c r="P59" s="130" t="n">
        <v>27.65663487526179</v>
      </c>
      <c r="Q59" s="131" t="n">
        <v>0</v>
      </c>
      <c r="R59" s="131" t="n">
        <v>0</v>
      </c>
      <c r="S59" s="131" t="n">
        <v>0.6107794764899804</v>
      </c>
      <c r="T59" s="132" t="n">
        <v>28.26741435175177</v>
      </c>
      <c r="V59" s="130" t="n">
        <v>31.05175440243663</v>
      </c>
      <c r="W59" s="131" t="n">
        <v>0</v>
      </c>
      <c r="X59" s="131" t="n">
        <v>0</v>
      </c>
      <c r="Y59" s="131" t="n">
        <v>0.6430482566932423</v>
      </c>
      <c r="Z59" s="132" t="n">
        <v>31.69480265912987</v>
      </c>
      <c r="AE59" s="121" t="n">
        <v>11</v>
      </c>
      <c r="AF59" t="inlineStr">
        <is>
          <t>OPHTHALMICS - RHO KINASE INHIBITOR &amp; COMBOS</t>
        </is>
      </c>
      <c r="AG59" s="122" t="n">
        <v>116146.2281672099</v>
      </c>
      <c r="AH59" s="56" t="n">
        <v>288.165527037665</v>
      </c>
    </row>
    <row r="60">
      <c r="B60" s="64" t="inlineStr">
        <is>
          <t>Institutional NDCs</t>
        </is>
      </c>
      <c r="D60" s="130" t="n">
        <v>11</v>
      </c>
      <c r="E60" s="131" t="n">
        <v>0</v>
      </c>
      <c r="F60" s="131" t="n">
        <v>0</v>
      </c>
      <c r="G60" s="131" t="n">
        <v>0</v>
      </c>
      <c r="H60" s="132" t="n">
        <v>11</v>
      </c>
      <c r="J60" s="130" t="n">
        <v>12.15752497820848</v>
      </c>
      <c r="K60" s="131" t="n">
        <v>0</v>
      </c>
      <c r="L60" s="131" t="n">
        <v>0</v>
      </c>
      <c r="M60" s="131" t="n">
        <v>0</v>
      </c>
      <c r="N60" s="132" t="n">
        <v>12.15752497820848</v>
      </c>
      <c r="P60" s="130" t="n">
        <v>6.618249046619539</v>
      </c>
      <c r="Q60" s="131" t="n">
        <v>0</v>
      </c>
      <c r="R60" s="131" t="n">
        <v>0</v>
      </c>
      <c r="S60" s="131" t="n">
        <v>0</v>
      </c>
      <c r="T60" s="132" t="n">
        <v>6.618249046619539</v>
      </c>
      <c r="V60" s="130" t="n">
        <v>6.034114128367583</v>
      </c>
      <c r="W60" s="131" t="n">
        <v>0</v>
      </c>
      <c r="X60" s="131" t="n">
        <v>0</v>
      </c>
      <c r="Y60" s="131" t="n">
        <v>0</v>
      </c>
      <c r="Z60" s="132" t="n">
        <v>6.034114128367583</v>
      </c>
      <c r="AE60" s="121" t="n">
        <v>12</v>
      </c>
      <c r="AF60" t="inlineStr">
        <is>
          <t>OPIOID AGONISTS &amp; COMBOS</t>
        </is>
      </c>
      <c r="AG60" s="122" t="n">
        <v>59901.00586583805</v>
      </c>
      <c r="AH60" s="56" t="n">
        <v>140.1553635753655</v>
      </c>
    </row>
    <row r="61">
      <c r="B61" s="64" t="inlineStr">
        <is>
          <t>Formulary Exclusions</t>
        </is>
      </c>
      <c r="D61" s="130" t="n">
        <v>3636</v>
      </c>
      <c r="E61" s="131" t="n">
        <v>1603</v>
      </c>
      <c r="F61" s="131" t="n">
        <v>32</v>
      </c>
      <c r="G61" s="131" t="n">
        <v>0</v>
      </c>
      <c r="H61" s="132" t="n">
        <v>5271</v>
      </c>
      <c r="J61" s="130" t="n">
        <v>6044.873869593554</v>
      </c>
      <c r="K61" s="131" t="n">
        <v>3778.992897518413</v>
      </c>
      <c r="L61" s="131" t="n">
        <v>69.29836851932255</v>
      </c>
      <c r="M61" s="131" t="n">
        <v>0</v>
      </c>
      <c r="N61" s="132" t="n">
        <v>9893.16513563129</v>
      </c>
      <c r="P61" s="130" t="n">
        <v>6228.77688994102</v>
      </c>
      <c r="Q61" s="131" t="n">
        <v>3999.114543167051</v>
      </c>
      <c r="R61" s="131" t="n">
        <v>73.5852791072068</v>
      </c>
      <c r="S61" s="131" t="n">
        <v>0</v>
      </c>
      <c r="T61" s="132" t="n">
        <v>10301.47671221528</v>
      </c>
      <c r="V61" s="130" t="n">
        <v>6447.101264258589</v>
      </c>
      <c r="W61" s="131" t="n">
        <v>4230.066745339465</v>
      </c>
      <c r="X61" s="131" t="n">
        <v>77.66240762792478</v>
      </c>
      <c r="Y61" s="131" t="n">
        <v>0</v>
      </c>
      <c r="Z61" s="132" t="n">
        <v>10754.83041722598</v>
      </c>
      <c r="AE61" s="121" t="n">
        <v>13</v>
      </c>
      <c r="AF61" t="inlineStr">
        <is>
          <t>BASAL &amp; GLP-1 COMBO</t>
        </is>
      </c>
      <c r="AG61" s="122" t="n">
        <v>38930.19877770739</v>
      </c>
      <c r="AH61" s="56" t="n">
        <v>47.23450274775492</v>
      </c>
    </row>
    <row r="62">
      <c r="B62" s="64" t="inlineStr">
        <is>
          <t>Synthroid</t>
        </is>
      </c>
      <c r="D62" s="130" t="n">
        <v>331</v>
      </c>
      <c r="E62" s="131" t="n">
        <v>641</v>
      </c>
      <c r="F62" s="131" t="n">
        <v>4</v>
      </c>
      <c r="G62" s="131" t="n">
        <v>0</v>
      </c>
      <c r="H62" s="132" t="n">
        <v>976</v>
      </c>
      <c r="J62" s="130" t="n">
        <v>351.9287478386029</v>
      </c>
      <c r="K62" s="131" t="n">
        <v>695.2653220010801</v>
      </c>
      <c r="L62" s="131" t="n">
        <v>4.363987808065344</v>
      </c>
      <c r="M62" s="131" t="n">
        <v>0</v>
      </c>
      <c r="N62" s="132" t="n">
        <v>1051.558057647748</v>
      </c>
      <c r="P62" s="130" t="n">
        <v>344.8677977438759</v>
      </c>
      <c r="Q62" s="131" t="n">
        <v>695.6708181072372</v>
      </c>
      <c r="R62" s="131" t="n">
        <v>4.376881306996877</v>
      </c>
      <c r="S62" s="131" t="n">
        <v>0</v>
      </c>
      <c r="T62" s="132" t="n">
        <v>1044.91549715811</v>
      </c>
      <c r="V62" s="130" t="n">
        <v>337.2252462051625</v>
      </c>
      <c r="W62" s="131" t="n">
        <v>693.7423997998153</v>
      </c>
      <c r="X62" s="131" t="n">
        <v>4.349920807420687</v>
      </c>
      <c r="Y62" s="131" t="n">
        <v>0</v>
      </c>
      <c r="Z62" s="132" t="n">
        <v>1035.317566812398</v>
      </c>
      <c r="AE62" s="121" t="n">
        <v>14</v>
      </c>
      <c r="AF62" t="inlineStr">
        <is>
          <t>VASOACTIVE SGC STIMULATOR</t>
        </is>
      </c>
      <c r="AG62" s="122" t="n">
        <v>37303.59686330656</v>
      </c>
      <c r="AH62" s="56" t="n">
        <v>51.80143638933849</v>
      </c>
    </row>
    <row r="63">
      <c r="B63" s="64" t="inlineStr">
        <is>
          <t>Misc</t>
        </is>
      </c>
      <c r="D63" s="130" t="n">
        <v>1712</v>
      </c>
      <c r="E63" s="131" t="n">
        <v>1322</v>
      </c>
      <c r="F63" s="131" t="n">
        <v>21</v>
      </c>
      <c r="G63" s="131" t="n">
        <v>2977</v>
      </c>
      <c r="H63" s="132" t="n">
        <v>6032</v>
      </c>
      <c r="J63" s="130" t="n">
        <v>2692.467611904198</v>
      </c>
      <c r="K63" s="131" t="n">
        <v>2139.409809914607</v>
      </c>
      <c r="L63" s="131" t="n">
        <v>34.42048685206294</v>
      </c>
      <c r="M63" s="131" t="n">
        <v>4055.662939861252</v>
      </c>
      <c r="N63" s="132" t="n">
        <v>8921.960848532119</v>
      </c>
      <c r="P63" s="130" t="n">
        <v>3161.627253255683</v>
      </c>
      <c r="Q63" s="131" t="n">
        <v>2604.953328398546</v>
      </c>
      <c r="R63" s="131" t="n">
        <v>42.03577551248003</v>
      </c>
      <c r="S63" s="131" t="n">
        <v>4367.592784770583</v>
      </c>
      <c r="T63" s="132" t="n">
        <v>10176.20914193729</v>
      </c>
      <c r="V63" s="130" t="n">
        <v>3718.42453944005</v>
      </c>
      <c r="W63" s="131" t="n">
        <v>3171.189177178967</v>
      </c>
      <c r="X63" s="131" t="n">
        <v>51.03255827472316</v>
      </c>
      <c r="Y63" s="131" t="n">
        <v>4661.350612147647</v>
      </c>
      <c r="Z63" s="132" t="n">
        <v>11601.99688704139</v>
      </c>
      <c r="AE63" s="121" t="n">
        <v>15</v>
      </c>
      <c r="AF63" t="inlineStr">
        <is>
          <t>RAPID ACTING</t>
        </is>
      </c>
      <c r="AG63" s="122" t="n">
        <v>37172.33151965951</v>
      </c>
      <c r="AH63" s="56" t="n">
        <v>695.034237704692</v>
      </c>
    </row>
    <row r="64">
      <c r="B64" s="64" t="inlineStr">
        <is>
          <t>Specialty</t>
        </is>
      </c>
      <c r="D64" s="133" t="n">
        <v>0</v>
      </c>
      <c r="E64" s="134" t="n">
        <v>0</v>
      </c>
      <c r="F64" s="134" t="n">
        <v>0</v>
      </c>
      <c r="G64" s="134" t="n">
        <v>2977</v>
      </c>
      <c r="H64" s="135" t="n">
        <v>2977</v>
      </c>
      <c r="J64" s="133" t="n">
        <v>0</v>
      </c>
      <c r="K64" s="134" t="n">
        <v>0</v>
      </c>
      <c r="L64" s="134" t="n">
        <v>0</v>
      </c>
      <c r="M64" s="134" t="n">
        <v>4055.659530255103</v>
      </c>
      <c r="N64" s="135" t="n">
        <v>4055.659530255103</v>
      </c>
      <c r="P64" s="133" t="n">
        <v>0</v>
      </c>
      <c r="Q64" s="134" t="n">
        <v>0</v>
      </c>
      <c r="R64" s="134" t="n">
        <v>0</v>
      </c>
      <c r="S64" s="134" t="n">
        <v>4367.589286582866</v>
      </c>
      <c r="T64" s="135" t="n">
        <v>4367.589286582866</v>
      </c>
      <c r="V64" s="133" t="n">
        <v>0</v>
      </c>
      <c r="W64" s="134" t="n">
        <v>0</v>
      </c>
      <c r="X64" s="134" t="n">
        <v>0</v>
      </c>
      <c r="Y64" s="134" t="n">
        <v>4661.347007650006</v>
      </c>
      <c r="Z64" s="135" t="n">
        <v>4661.347007650006</v>
      </c>
      <c r="AE64" s="121" t="n">
        <v>16</v>
      </c>
      <c r="AF64" t="inlineStr">
        <is>
          <t>ESTROGENS &amp; COMBOS</t>
        </is>
      </c>
      <c r="AG64" s="122" t="n">
        <v>35558.86074814657</v>
      </c>
      <c r="AH64" s="56" t="n">
        <v>131.1346723804512</v>
      </c>
    </row>
    <row r="65">
      <c r="A65" s="98" t="inlineStr">
        <is>
          <t>Added MFP row but needs adjusting for non-CY(Should just need adjustment in Exclusion Summary)</t>
        </is>
      </c>
      <c r="B65" s="64" t="inlineStr">
        <is>
          <t>MFP 2026, 2027</t>
        </is>
      </c>
      <c r="D65" s="133" t="n">
        <v>0</v>
      </c>
      <c r="E65" s="134" t="n">
        <v>0</v>
      </c>
      <c r="F65" s="134" t="n">
        <v>0</v>
      </c>
      <c r="G65" s="134" t="n">
        <v>0</v>
      </c>
      <c r="H65" s="135" t="n">
        <v>0</v>
      </c>
      <c r="J65" s="133" t="n">
        <v>0</v>
      </c>
      <c r="K65" s="134" t="n">
        <v>0</v>
      </c>
      <c r="L65" s="134" t="n">
        <v>0</v>
      </c>
      <c r="M65" s="134" t="n">
        <v>0</v>
      </c>
      <c r="N65" s="135" t="n">
        <v>0</v>
      </c>
      <c r="P65" s="133" t="n">
        <v>0</v>
      </c>
      <c r="Q65" s="134" t="n">
        <v>0</v>
      </c>
      <c r="R65" s="134" t="n">
        <v>0</v>
      </c>
      <c r="S65" s="134" t="n">
        <v>0</v>
      </c>
      <c r="T65" s="135" t="n">
        <v>0</v>
      </c>
      <c r="V65" s="133" t="n">
        <v>0</v>
      </c>
      <c r="W65" s="134" t="n">
        <v>0</v>
      </c>
      <c r="X65" s="134" t="n">
        <v>0</v>
      </c>
      <c r="Y65" s="134" t="n">
        <v>0</v>
      </c>
      <c r="Z65" s="135" t="n">
        <v>0</v>
      </c>
      <c r="AE65" s="121" t="n">
        <v>17</v>
      </c>
      <c r="AF65" t="inlineStr">
        <is>
          <t>OPHTHALMICS - MISC.</t>
        </is>
      </c>
      <c r="AG65" s="122" t="n">
        <v>35382.45525520735</v>
      </c>
      <c r="AH65" s="56" t="n">
        <v>57.89489579250349</v>
      </c>
    </row>
    <row r="66">
      <c r="A66" s="99" t="n"/>
      <c r="B66" s="100" t="inlineStr">
        <is>
          <t>ENTER DESC</t>
        </is>
      </c>
      <c r="D66" s="133" t="n">
        <v>0</v>
      </c>
      <c r="E66" s="134" t="n">
        <v>0</v>
      </c>
      <c r="F66" s="134" t="n">
        <v>0</v>
      </c>
      <c r="G66" s="134" t="n">
        <v>0</v>
      </c>
      <c r="H66" s="135" t="n">
        <v>0</v>
      </c>
      <c r="J66" s="133" t="n">
        <v>0</v>
      </c>
      <c r="K66" s="134" t="n">
        <v>0</v>
      </c>
      <c r="L66" s="134" t="n">
        <v>0</v>
      </c>
      <c r="M66" s="134" t="n">
        <v>0</v>
      </c>
      <c r="N66" s="135" t="n">
        <v>0</v>
      </c>
      <c r="P66" s="133" t="n">
        <v>0</v>
      </c>
      <c r="Q66" s="134" t="n">
        <v>0</v>
      </c>
      <c r="R66" s="134" t="n">
        <v>0</v>
      </c>
      <c r="S66" s="134" t="n">
        <v>0</v>
      </c>
      <c r="T66" s="135" t="n">
        <v>0</v>
      </c>
      <c r="V66" s="133" t="n">
        <v>0</v>
      </c>
      <c r="W66" s="134" t="n">
        <v>0</v>
      </c>
      <c r="X66" s="134" t="n">
        <v>0</v>
      </c>
      <c r="Y66" s="134" t="n">
        <v>0</v>
      </c>
      <c r="Z66" s="135" t="n">
        <v>0</v>
      </c>
      <c r="AE66" s="121" t="n">
        <v>18</v>
      </c>
      <c r="AF66" t="inlineStr">
        <is>
          <t>INHALED CORTICOSTEROIDS (ICS)</t>
        </is>
      </c>
      <c r="AG66" s="122" t="n">
        <v>34478.21295394358</v>
      </c>
      <c r="AH66" s="56" t="n">
        <v>178.3718972954334</v>
      </c>
    </row>
    <row r="67" ht="15" customHeight="1" thickBot="1">
      <c r="B67" s="59" t="inlineStr">
        <is>
          <t>Non-Rebatable</t>
        </is>
      </c>
      <c r="D67" s="136" t="n">
        <v>0</v>
      </c>
      <c r="E67" s="137" t="n">
        <v>0</v>
      </c>
      <c r="F67" s="137" t="n">
        <v>0</v>
      </c>
      <c r="G67" s="137" t="n">
        <v>0</v>
      </c>
      <c r="H67" s="138" t="n">
        <v>0</v>
      </c>
      <c r="J67" s="139" t="n">
        <v>32665.80535718387</v>
      </c>
      <c r="K67" s="140" t="n">
        <v>14983.82477133271</v>
      </c>
      <c r="L67" s="140" t="n">
        <v>202.3739864950116</v>
      </c>
      <c r="M67" s="140" t="n">
        <v>552.1088310115437</v>
      </c>
      <c r="N67" s="141" t="n">
        <v>48404.11294602313</v>
      </c>
      <c r="P67" s="139" t="n">
        <v>29468.774697933</v>
      </c>
      <c r="Q67" s="140" t="n">
        <v>10340.41686575612</v>
      </c>
      <c r="R67" s="140" t="n">
        <v>142.2558187419964</v>
      </c>
      <c r="S67" s="140" t="n">
        <v>529.4434178862319</v>
      </c>
      <c r="T67" s="141" t="n">
        <v>40480.89080031734</v>
      </c>
      <c r="V67" s="139" t="n">
        <v>27700.89671012675</v>
      </c>
      <c r="W67" s="140" t="n">
        <v>8009.429015133595</v>
      </c>
      <c r="X67" s="140" t="n">
        <v>115.5740789429929</v>
      </c>
      <c r="Y67" s="140" t="n">
        <v>507.7439456670621</v>
      </c>
      <c r="Z67" s="141" t="n">
        <v>36333.6437498704</v>
      </c>
      <c r="AE67" s="121" t="n">
        <v>19</v>
      </c>
      <c r="AF67" t="inlineStr">
        <is>
          <t>VAGINAL ESTROGENS</t>
        </is>
      </c>
      <c r="AG67" s="122" t="n">
        <v>28123.79187121265</v>
      </c>
      <c r="AH67" s="56" t="n">
        <v>160.9067224636958</v>
      </c>
    </row>
    <row r="68" ht="15.6" customHeight="1" thickBot="1" thickTop="1">
      <c r="B68" s="69" t="inlineStr">
        <is>
          <t>Total</t>
        </is>
      </c>
      <c r="D68" s="142" t="n">
        <v>5708</v>
      </c>
      <c r="E68" s="143" t="n">
        <v>3572</v>
      </c>
      <c r="F68" s="143" t="n">
        <v>57</v>
      </c>
      <c r="G68" s="143" t="n">
        <v>2978</v>
      </c>
      <c r="H68" s="144" t="n">
        <v>15292</v>
      </c>
      <c r="J68" s="142" t="n">
        <v>41792.1103028956</v>
      </c>
      <c r="K68" s="143" t="n">
        <v>21604.37829025543</v>
      </c>
      <c r="L68" s="143" t="n">
        <v>310.4568296744625</v>
      </c>
      <c r="M68" s="143" t="n">
        <v>4608.389429936386</v>
      </c>
      <c r="N68" s="144" t="n">
        <v>72370.99438301698</v>
      </c>
      <c r="P68" s="142" t="n">
        <v>39238.32152279546</v>
      </c>
      <c r="Q68" s="143" t="n">
        <v>17647.25318436719</v>
      </c>
      <c r="R68" s="143" t="n">
        <v>262.2537546686801</v>
      </c>
      <c r="S68" s="143" t="n">
        <v>4897.646982133305</v>
      </c>
      <c r="T68" s="144" t="n">
        <v>66413.06473054748</v>
      </c>
      <c r="V68" s="142" t="n">
        <v>38240.73362856136</v>
      </c>
      <c r="W68" s="143" t="n">
        <v>16111.7267251821</v>
      </c>
      <c r="X68" s="143" t="n">
        <v>248.6189656530615</v>
      </c>
      <c r="Y68" s="143" t="n">
        <v>5169.737606071402</v>
      </c>
      <c r="Z68" s="144" t="n">
        <v>64432.16393311792</v>
      </c>
      <c r="AE68" s="124" t="n">
        <v>20</v>
      </c>
      <c r="AF68" s="82" t="inlineStr">
        <is>
          <t>LAXATIVES</t>
        </is>
      </c>
      <c r="AG68" s="125" t="n">
        <v>17718.88146281626</v>
      </c>
      <c r="AH68" s="84" t="n">
        <v>160.7912360881907</v>
      </c>
    </row>
    <row r="69" ht="15" customHeight="1" thickBot="1">
      <c r="D69" s="145" t="n"/>
      <c r="E69" s="145" t="n"/>
      <c r="F69" s="145" t="n"/>
      <c r="G69" s="145" t="n"/>
      <c r="H69" s="145" t="n"/>
      <c r="J69" s="145" t="n"/>
      <c r="K69" s="145" t="n"/>
      <c r="L69" s="145" t="n"/>
      <c r="M69" s="145" t="n"/>
      <c r="N69" s="145" t="n"/>
      <c r="P69" s="145" t="n"/>
      <c r="Q69" s="145" t="n"/>
      <c r="R69" s="145" t="n"/>
      <c r="S69" s="145" t="n"/>
      <c r="T69" s="145" t="n"/>
      <c r="V69" s="145" t="n"/>
      <c r="W69" s="145" t="n"/>
      <c r="X69" s="145" t="n"/>
      <c r="Y69" s="145" t="n"/>
      <c r="Z69" s="145" t="n"/>
    </row>
    <row r="70" ht="15" customHeight="1" thickBot="1">
      <c r="B70" s="27" t="inlineStr">
        <is>
          <t>Excl - Generic</t>
        </is>
      </c>
      <c r="D70" s="28" t="inlineStr">
        <is>
          <t>R30</t>
        </is>
      </c>
      <c r="E70" s="29" t="inlineStr">
        <is>
          <t>R90</t>
        </is>
      </c>
      <c r="F70" s="29" t="inlineStr">
        <is>
          <t>Mail</t>
        </is>
      </c>
      <c r="G70" s="29" t="inlineStr">
        <is>
          <t>Specialty</t>
        </is>
      </c>
      <c r="H70" s="30" t="inlineStr">
        <is>
          <t>Total</t>
        </is>
      </c>
      <c r="J70" s="28" t="inlineStr">
        <is>
          <t>R30</t>
        </is>
      </c>
      <c r="K70" s="29" t="inlineStr">
        <is>
          <t>R90</t>
        </is>
      </c>
      <c r="L70" s="29" t="inlineStr">
        <is>
          <t>Mail</t>
        </is>
      </c>
      <c r="M70" s="29" t="inlineStr">
        <is>
          <t>Specialty</t>
        </is>
      </c>
      <c r="N70" s="30" t="inlineStr">
        <is>
          <t>Total</t>
        </is>
      </c>
      <c r="P70" s="28" t="inlineStr">
        <is>
          <t>R30</t>
        </is>
      </c>
      <c r="Q70" s="29" t="inlineStr">
        <is>
          <t>R90</t>
        </is>
      </c>
      <c r="R70" s="29" t="inlineStr">
        <is>
          <t>Mail</t>
        </is>
      </c>
      <c r="S70" s="29" t="inlineStr">
        <is>
          <t>Specialty</t>
        </is>
      </c>
      <c r="T70" s="30" t="inlineStr">
        <is>
          <t>Total</t>
        </is>
      </c>
      <c r="V70" s="28" t="inlineStr">
        <is>
          <t>R30</t>
        </is>
      </c>
      <c r="W70" s="29" t="inlineStr">
        <is>
          <t>R90</t>
        </is>
      </c>
      <c r="X70" s="29" t="inlineStr">
        <is>
          <t>Mail</t>
        </is>
      </c>
      <c r="Y70" s="29" t="inlineStr">
        <is>
          <t>Specialty</t>
        </is>
      </c>
      <c r="Z70" s="30" t="inlineStr">
        <is>
          <t>Total</t>
        </is>
      </c>
    </row>
    <row r="71">
      <c r="B71" s="38" t="inlineStr">
        <is>
          <t>OTCs</t>
        </is>
      </c>
      <c r="D71" s="127" t="n">
        <v>0</v>
      </c>
      <c r="E71" s="128" t="n">
        <v>0</v>
      </c>
      <c r="F71" s="128" t="n">
        <v>0</v>
      </c>
      <c r="G71" s="128" t="n">
        <v>0</v>
      </c>
      <c r="H71" s="129" t="n">
        <v>0</v>
      </c>
      <c r="J71" s="127" t="n">
        <v>0</v>
      </c>
      <c r="K71" s="128" t="n">
        <v>0</v>
      </c>
      <c r="L71" s="128" t="n">
        <v>0</v>
      </c>
      <c r="M71" s="128" t="n">
        <v>0</v>
      </c>
      <c r="N71" s="129" t="n">
        <v>0</v>
      </c>
      <c r="P71" s="127" t="n">
        <v>0</v>
      </c>
      <c r="Q71" s="128" t="n">
        <v>0</v>
      </c>
      <c r="R71" s="128" t="n">
        <v>0</v>
      </c>
      <c r="S71" s="128" t="n">
        <v>0</v>
      </c>
      <c r="T71" s="129" t="n">
        <v>0</v>
      </c>
      <c r="V71" s="127" t="n">
        <v>0</v>
      </c>
      <c r="W71" s="128" t="n">
        <v>0</v>
      </c>
      <c r="X71" s="128" t="n">
        <v>0</v>
      </c>
      <c r="Y71" s="128" t="n">
        <v>0</v>
      </c>
      <c r="Z71" s="129" t="n">
        <v>0</v>
      </c>
    </row>
    <row r="72">
      <c r="B72" s="49" t="inlineStr">
        <is>
          <t>Devices</t>
        </is>
      </c>
      <c r="D72" s="130" t="n">
        <v>0</v>
      </c>
      <c r="E72" s="131" t="n">
        <v>0</v>
      </c>
      <c r="F72" s="131" t="n">
        <v>0</v>
      </c>
      <c r="G72" s="131" t="n">
        <v>0</v>
      </c>
      <c r="H72" s="132" t="n">
        <v>0</v>
      </c>
      <c r="J72" s="130" t="n">
        <v>0</v>
      </c>
      <c r="K72" s="131" t="n">
        <v>0</v>
      </c>
      <c r="L72" s="131" t="n">
        <v>0</v>
      </c>
      <c r="M72" s="131" t="n">
        <v>0</v>
      </c>
      <c r="N72" s="132" t="n">
        <v>0</v>
      </c>
      <c r="P72" s="130" t="n">
        <v>0</v>
      </c>
      <c r="Q72" s="131" t="n">
        <v>0</v>
      </c>
      <c r="R72" s="131" t="n">
        <v>0</v>
      </c>
      <c r="S72" s="131" t="n">
        <v>0</v>
      </c>
      <c r="T72" s="132" t="n">
        <v>0</v>
      </c>
      <c r="V72" s="130" t="n">
        <v>0</v>
      </c>
      <c r="W72" s="131" t="n">
        <v>0</v>
      </c>
      <c r="X72" s="131" t="n">
        <v>0</v>
      </c>
      <c r="Y72" s="131" t="n">
        <v>0</v>
      </c>
      <c r="Z72" s="132" t="n">
        <v>0</v>
      </c>
    </row>
    <row r="73">
      <c r="B73" s="64" t="inlineStr">
        <is>
          <t>Vaccines</t>
        </is>
      </c>
      <c r="D73" s="130" t="n">
        <v>0</v>
      </c>
      <c r="E73" s="131" t="n">
        <v>0</v>
      </c>
      <c r="F73" s="131" t="n">
        <v>0</v>
      </c>
      <c r="G73" s="131" t="n">
        <v>0</v>
      </c>
      <c r="H73" s="132" t="n">
        <v>0</v>
      </c>
      <c r="J73" s="130" t="n">
        <v>0</v>
      </c>
      <c r="K73" s="131" t="n">
        <v>0</v>
      </c>
      <c r="L73" s="131" t="n">
        <v>0</v>
      </c>
      <c r="M73" s="131" t="n">
        <v>0</v>
      </c>
      <c r="N73" s="132" t="n">
        <v>0</v>
      </c>
      <c r="P73" s="130" t="n">
        <v>0</v>
      </c>
      <c r="Q73" s="131" t="n">
        <v>0</v>
      </c>
      <c r="R73" s="131" t="n">
        <v>0</v>
      </c>
      <c r="S73" s="131" t="n">
        <v>0</v>
      </c>
      <c r="T73" s="132" t="n">
        <v>0</v>
      </c>
      <c r="V73" s="130" t="n">
        <v>0</v>
      </c>
      <c r="W73" s="131" t="n">
        <v>0</v>
      </c>
      <c r="X73" s="131" t="n">
        <v>0</v>
      </c>
      <c r="Y73" s="131" t="n">
        <v>0</v>
      </c>
      <c r="Z73" s="132" t="n">
        <v>0</v>
      </c>
    </row>
    <row r="74">
      <c r="B74" s="64" t="inlineStr">
        <is>
          <t>Repackaged</t>
        </is>
      </c>
      <c r="D74" s="130" t="n">
        <v>0</v>
      </c>
      <c r="E74" s="131" t="n">
        <v>0</v>
      </c>
      <c r="F74" s="131" t="n">
        <v>0</v>
      </c>
      <c r="G74" s="131" t="n">
        <v>0</v>
      </c>
      <c r="H74" s="132" t="n">
        <v>0</v>
      </c>
      <c r="J74" s="130" t="n">
        <v>0</v>
      </c>
      <c r="K74" s="131" t="n">
        <v>0</v>
      </c>
      <c r="L74" s="131" t="n">
        <v>0</v>
      </c>
      <c r="M74" s="131" t="n">
        <v>0</v>
      </c>
      <c r="N74" s="132" t="n">
        <v>0</v>
      </c>
      <c r="P74" s="130" t="n">
        <v>0</v>
      </c>
      <c r="Q74" s="131" t="n">
        <v>0</v>
      </c>
      <c r="R74" s="131" t="n">
        <v>0</v>
      </c>
      <c r="S74" s="131" t="n">
        <v>0</v>
      </c>
      <c r="T74" s="132" t="n">
        <v>0</v>
      </c>
      <c r="V74" s="130" t="n">
        <v>0</v>
      </c>
      <c r="W74" s="131" t="n">
        <v>0</v>
      </c>
      <c r="X74" s="131" t="n">
        <v>0</v>
      </c>
      <c r="Y74" s="131" t="n">
        <v>0</v>
      </c>
      <c r="Z74" s="132" t="n">
        <v>0</v>
      </c>
    </row>
    <row r="75">
      <c r="B75" s="64" t="inlineStr">
        <is>
          <t>MSBs</t>
        </is>
      </c>
      <c r="D75" s="130" t="n">
        <v>0</v>
      </c>
      <c r="E75" s="131" t="n">
        <v>0</v>
      </c>
      <c r="F75" s="131" t="n">
        <v>0</v>
      </c>
      <c r="G75" s="131" t="n">
        <v>0</v>
      </c>
      <c r="H75" s="132" t="n">
        <v>0</v>
      </c>
      <c r="J75" s="130" t="n">
        <v>0</v>
      </c>
      <c r="K75" s="131" t="n">
        <v>0</v>
      </c>
      <c r="L75" s="131" t="n">
        <v>0</v>
      </c>
      <c r="M75" s="131" t="n">
        <v>0</v>
      </c>
      <c r="N75" s="132" t="n">
        <v>0</v>
      </c>
      <c r="P75" s="130" t="n">
        <v>0</v>
      </c>
      <c r="Q75" s="131" t="n">
        <v>0</v>
      </c>
      <c r="R75" s="131" t="n">
        <v>0</v>
      </c>
      <c r="S75" s="131" t="n">
        <v>0</v>
      </c>
      <c r="T75" s="132" t="n">
        <v>0</v>
      </c>
      <c r="V75" s="130" t="n">
        <v>0</v>
      </c>
      <c r="W75" s="131" t="n">
        <v>0</v>
      </c>
      <c r="X75" s="131" t="n">
        <v>0</v>
      </c>
      <c r="Y75" s="131" t="n">
        <v>0</v>
      </c>
      <c r="Z75" s="132" t="n">
        <v>0</v>
      </c>
    </row>
    <row r="76">
      <c r="B76" s="64" t="inlineStr">
        <is>
          <t>Non FDA Approved</t>
        </is>
      </c>
      <c r="D76" s="130" t="n">
        <v>0</v>
      </c>
      <c r="E76" s="131" t="n">
        <v>0</v>
      </c>
      <c r="F76" s="131" t="n">
        <v>0</v>
      </c>
      <c r="G76" s="131" t="n">
        <v>0</v>
      </c>
      <c r="H76" s="132" t="n">
        <v>0</v>
      </c>
      <c r="J76" s="130" t="n">
        <v>0</v>
      </c>
      <c r="K76" s="131" t="n">
        <v>0</v>
      </c>
      <c r="L76" s="131" t="n">
        <v>0</v>
      </c>
      <c r="M76" s="131" t="n">
        <v>0</v>
      </c>
      <c r="N76" s="132" t="n">
        <v>0</v>
      </c>
      <c r="P76" s="130" t="n">
        <v>0</v>
      </c>
      <c r="Q76" s="131" t="n">
        <v>0</v>
      </c>
      <c r="R76" s="131" t="n">
        <v>0</v>
      </c>
      <c r="S76" s="131" t="n">
        <v>0</v>
      </c>
      <c r="T76" s="132" t="n">
        <v>0</v>
      </c>
      <c r="V76" s="130" t="n">
        <v>0</v>
      </c>
      <c r="W76" s="131" t="n">
        <v>0</v>
      </c>
      <c r="X76" s="131" t="n">
        <v>0</v>
      </c>
      <c r="Y76" s="131" t="n">
        <v>0</v>
      </c>
      <c r="Z76" s="132" t="n">
        <v>0</v>
      </c>
    </row>
    <row r="77">
      <c r="B77" s="64" t="inlineStr">
        <is>
          <t>LDD</t>
        </is>
      </c>
      <c r="D77" s="130" t="n">
        <v>0</v>
      </c>
      <c r="E77" s="131" t="n">
        <v>0</v>
      </c>
      <c r="F77" s="131" t="n">
        <v>0</v>
      </c>
      <c r="G77" s="131" t="n">
        <v>0</v>
      </c>
      <c r="H77" s="132" t="n">
        <v>0</v>
      </c>
      <c r="J77" s="130" t="n">
        <v>0</v>
      </c>
      <c r="K77" s="131" t="n">
        <v>0</v>
      </c>
      <c r="L77" s="131" t="n">
        <v>0</v>
      </c>
      <c r="M77" s="131" t="n">
        <v>0.7494770222813295</v>
      </c>
      <c r="N77" s="132" t="n">
        <v>0.7494770222813295</v>
      </c>
      <c r="P77" s="130" t="n">
        <v>0</v>
      </c>
      <c r="Q77" s="131" t="n">
        <v>0</v>
      </c>
      <c r="R77" s="131" t="n">
        <v>0</v>
      </c>
      <c r="S77" s="131" t="n">
        <v>0.8356985266883201</v>
      </c>
      <c r="T77" s="132" t="n">
        <v>0.8356985266883201</v>
      </c>
      <c r="V77" s="130" t="n">
        <v>0</v>
      </c>
      <c r="W77" s="131" t="n">
        <v>0</v>
      </c>
      <c r="X77" s="131" t="n">
        <v>0</v>
      </c>
      <c r="Y77" s="131" t="n">
        <v>0.8963748172115763</v>
      </c>
      <c r="Z77" s="132" t="n">
        <v>0.8963748172115763</v>
      </c>
    </row>
    <row r="78">
      <c r="B78" s="64" t="inlineStr">
        <is>
          <t>Institutional NDCs</t>
        </is>
      </c>
      <c r="D78" s="130" t="n">
        <v>12</v>
      </c>
      <c r="E78" s="131" t="n">
        <v>0</v>
      </c>
      <c r="F78" s="131" t="n">
        <v>0</v>
      </c>
      <c r="G78" s="131" t="n">
        <v>0</v>
      </c>
      <c r="H78" s="132" t="n">
        <v>12</v>
      </c>
      <c r="J78" s="130" t="n">
        <v>14.09182804708895</v>
      </c>
      <c r="K78" s="131" t="n">
        <v>0</v>
      </c>
      <c r="L78" s="131" t="n">
        <v>0</v>
      </c>
      <c r="M78" s="131" t="n">
        <v>0</v>
      </c>
      <c r="N78" s="132" t="n">
        <v>14.09182804708895</v>
      </c>
      <c r="P78" s="130" t="n">
        <v>19.96087013213621</v>
      </c>
      <c r="Q78" s="131" t="n">
        <v>0</v>
      </c>
      <c r="R78" s="131" t="n">
        <v>0</v>
      </c>
      <c r="S78" s="131" t="n">
        <v>0</v>
      </c>
      <c r="T78" s="132" t="n">
        <v>19.96087013213621</v>
      </c>
      <c r="V78" s="130" t="n">
        <v>22.02775740512093</v>
      </c>
      <c r="W78" s="131" t="n">
        <v>0</v>
      </c>
      <c r="X78" s="131" t="n">
        <v>0</v>
      </c>
      <c r="Y78" s="131" t="n">
        <v>0</v>
      </c>
      <c r="Z78" s="132" t="n">
        <v>22.02775740512093</v>
      </c>
    </row>
    <row r="79" ht="15" customHeight="1">
      <c r="B79" s="64" t="inlineStr">
        <is>
          <t>Formulary Exclusions</t>
        </is>
      </c>
      <c r="D79" s="130" t="n">
        <v>2019</v>
      </c>
      <c r="E79" s="131" t="n">
        <v>2404</v>
      </c>
      <c r="F79" s="131" t="n">
        <v>10</v>
      </c>
      <c r="G79" s="131" t="n">
        <v>0</v>
      </c>
      <c r="H79" s="132" t="n">
        <v>4433</v>
      </c>
      <c r="J79" s="130" t="n">
        <v>2476.941695579429</v>
      </c>
      <c r="K79" s="131" t="n">
        <v>2849.092396586792</v>
      </c>
      <c r="L79" s="131" t="n">
        <v>11.82289063599359</v>
      </c>
      <c r="M79" s="131" t="n">
        <v>0</v>
      </c>
      <c r="N79" s="132" t="n">
        <v>5337.856982802215</v>
      </c>
      <c r="P79" s="130" t="n">
        <v>2558.682056625254</v>
      </c>
      <c r="Q79" s="131" t="n">
        <v>2925.262718709263</v>
      </c>
      <c r="R79" s="131" t="n">
        <v>12.15252135439121</v>
      </c>
      <c r="S79" s="131" t="n">
        <v>0</v>
      </c>
      <c r="T79" s="132" t="n">
        <v>5496.097296688908</v>
      </c>
      <c r="V79" s="130" t="n">
        <v>2611.881295037885</v>
      </c>
      <c r="W79" s="131" t="n">
        <v>2984.036659919333</v>
      </c>
      <c r="X79" s="131" t="n">
        <v>12.40600426369416</v>
      </c>
      <c r="Y79" s="131" t="n">
        <v>0</v>
      </c>
      <c r="Z79" s="132" t="n">
        <v>5608.323959220912</v>
      </c>
    </row>
    <row r="80">
      <c r="B80" s="64" t="inlineStr">
        <is>
          <t>Synthroid</t>
        </is>
      </c>
      <c r="D80" s="130" t="n">
        <v>0</v>
      </c>
      <c r="E80" s="131" t="n">
        <v>0</v>
      </c>
      <c r="F80" s="131" t="n">
        <v>0</v>
      </c>
      <c r="G80" s="131" t="n">
        <v>0</v>
      </c>
      <c r="H80" s="132" t="n">
        <v>0</v>
      </c>
      <c r="J80" s="130" t="n">
        <v>0</v>
      </c>
      <c r="K80" s="131" t="n">
        <v>0</v>
      </c>
      <c r="L80" s="131" t="n">
        <v>0</v>
      </c>
      <c r="M80" s="131" t="n">
        <v>0</v>
      </c>
      <c r="N80" s="132" t="n">
        <v>0</v>
      </c>
      <c r="P80" s="130" t="n">
        <v>0</v>
      </c>
      <c r="Q80" s="131" t="n">
        <v>0</v>
      </c>
      <c r="R80" s="131" t="n">
        <v>0</v>
      </c>
      <c r="S80" s="131" t="n">
        <v>0</v>
      </c>
      <c r="T80" s="132" t="n">
        <v>0</v>
      </c>
      <c r="V80" s="130" t="n">
        <v>0</v>
      </c>
      <c r="W80" s="131" t="n">
        <v>0</v>
      </c>
      <c r="X80" s="131" t="n">
        <v>0</v>
      </c>
      <c r="Y80" s="131" t="n">
        <v>0</v>
      </c>
      <c r="Z80" s="132" t="n">
        <v>0</v>
      </c>
    </row>
    <row r="81">
      <c r="B81" s="64" t="inlineStr">
        <is>
          <t>Misc</t>
        </is>
      </c>
      <c r="D81" s="130" t="n">
        <v>20</v>
      </c>
      <c r="E81" s="131" t="n">
        <v>0</v>
      </c>
      <c r="F81" s="131" t="n">
        <v>0</v>
      </c>
      <c r="G81" s="131" t="n">
        <v>383</v>
      </c>
      <c r="H81" s="132" t="n">
        <v>403</v>
      </c>
      <c r="J81" s="130" t="n">
        <v>22.84568983718054</v>
      </c>
      <c r="K81" s="131" t="n">
        <v>0</v>
      </c>
      <c r="L81" s="131" t="n">
        <v>0</v>
      </c>
      <c r="M81" s="131" t="n">
        <v>646.2757591213291</v>
      </c>
      <c r="N81" s="132" t="n">
        <v>669.1214489585096</v>
      </c>
      <c r="P81" s="130" t="n">
        <v>35.63096672660322</v>
      </c>
      <c r="Q81" s="131" t="n">
        <v>0</v>
      </c>
      <c r="R81" s="131" t="n">
        <v>0</v>
      </c>
      <c r="S81" s="131" t="n">
        <v>732.1357703742319</v>
      </c>
      <c r="T81" s="132" t="n">
        <v>767.7667371008351</v>
      </c>
      <c r="V81" s="130" t="n">
        <v>53.71684799538343</v>
      </c>
      <c r="W81" s="131" t="n">
        <v>0</v>
      </c>
      <c r="X81" s="131" t="n">
        <v>0</v>
      </c>
      <c r="Y81" s="131" t="n">
        <v>880.0595490867236</v>
      </c>
      <c r="Z81" s="132" t="n">
        <v>933.776397082107</v>
      </c>
    </row>
    <row r="82">
      <c r="B82" s="64" t="inlineStr">
        <is>
          <t>Specialty</t>
        </is>
      </c>
      <c r="D82" s="133" t="n">
        <v>0</v>
      </c>
      <c r="E82" s="134" t="n">
        <v>0</v>
      </c>
      <c r="F82" s="134" t="n">
        <v>0</v>
      </c>
      <c r="G82" s="134" t="n">
        <v>383</v>
      </c>
      <c r="H82" s="135" t="n">
        <v>383</v>
      </c>
      <c r="J82" s="133" t="n">
        <v>0</v>
      </c>
      <c r="K82" s="134" t="n">
        <v>0</v>
      </c>
      <c r="L82" s="134" t="n">
        <v>0</v>
      </c>
      <c r="M82" s="134" t="n">
        <v>646.2757591213291</v>
      </c>
      <c r="N82" s="135" t="n">
        <v>646.2757591213291</v>
      </c>
      <c r="P82" s="133" t="n">
        <v>0</v>
      </c>
      <c r="Q82" s="134" t="n">
        <v>0</v>
      </c>
      <c r="R82" s="134" t="n">
        <v>0</v>
      </c>
      <c r="S82" s="134" t="n">
        <v>732.1357703742319</v>
      </c>
      <c r="T82" s="135" t="n">
        <v>732.1357703742319</v>
      </c>
      <c r="V82" s="133" t="n">
        <v>0</v>
      </c>
      <c r="W82" s="134" t="n">
        <v>0</v>
      </c>
      <c r="X82" s="134" t="n">
        <v>0</v>
      </c>
      <c r="Y82" s="134" t="n">
        <v>880.0595490867236</v>
      </c>
      <c r="Z82" s="135" t="n">
        <v>880.0595490867236</v>
      </c>
    </row>
    <row r="83">
      <c r="A83" s="98" t="inlineStr">
        <is>
          <t>Added MFP row but needs adjusting for non-CY</t>
        </is>
      </c>
      <c r="B83" s="64" t="inlineStr">
        <is>
          <t>MFP 2026, 2027</t>
        </is>
      </c>
      <c r="D83" s="133" t="n">
        <v>0</v>
      </c>
      <c r="E83" s="134" t="n">
        <v>0</v>
      </c>
      <c r="F83" s="134" t="n">
        <v>0</v>
      </c>
      <c r="G83" s="134" t="n">
        <v>0</v>
      </c>
      <c r="H83" s="135" t="n">
        <v>0</v>
      </c>
      <c r="J83" s="133" t="n">
        <v>0</v>
      </c>
      <c r="K83" s="134" t="n">
        <v>0</v>
      </c>
      <c r="L83" s="134" t="n">
        <v>0</v>
      </c>
      <c r="M83" s="134" t="n">
        <v>0</v>
      </c>
      <c r="N83" s="135" t="n">
        <v>0</v>
      </c>
      <c r="P83" s="133" t="n">
        <v>0</v>
      </c>
      <c r="Q83" s="134" t="n">
        <v>0</v>
      </c>
      <c r="R83" s="134" t="n">
        <v>0</v>
      </c>
      <c r="S83" s="134" t="n">
        <v>0</v>
      </c>
      <c r="T83" s="135" t="n">
        <v>0</v>
      </c>
      <c r="V83" s="133" t="n">
        <v>0</v>
      </c>
      <c r="W83" s="134" t="n">
        <v>0</v>
      </c>
      <c r="X83" s="134" t="n">
        <v>0</v>
      </c>
      <c r="Y83" s="134" t="n">
        <v>0</v>
      </c>
      <c r="Z83" s="135" t="n">
        <v>0</v>
      </c>
    </row>
    <row r="84">
      <c r="B84" s="100">
        <f>$B$66</f>
        <v/>
      </c>
      <c r="D84" s="133" t="n">
        <v>0</v>
      </c>
      <c r="E84" s="134" t="n">
        <v>0</v>
      </c>
      <c r="F84" s="134" t="n">
        <v>0</v>
      </c>
      <c r="G84" s="134" t="n">
        <v>0</v>
      </c>
      <c r="H84" s="135" t="n">
        <v>0</v>
      </c>
      <c r="J84" s="133" t="n">
        <v>0</v>
      </c>
      <c r="K84" s="134" t="n">
        <v>0</v>
      </c>
      <c r="L84" s="134" t="n">
        <v>0</v>
      </c>
      <c r="M84" s="134" t="n">
        <v>0</v>
      </c>
      <c r="N84" s="135" t="n">
        <v>0</v>
      </c>
      <c r="P84" s="133" t="n">
        <v>0</v>
      </c>
      <c r="Q84" s="134" t="n">
        <v>0</v>
      </c>
      <c r="R84" s="134" t="n">
        <v>0</v>
      </c>
      <c r="S84" s="134" t="n">
        <v>0</v>
      </c>
      <c r="T84" s="135" t="n">
        <v>0</v>
      </c>
      <c r="V84" s="133" t="n">
        <v>0</v>
      </c>
      <c r="W84" s="134" t="n">
        <v>0</v>
      </c>
      <c r="X84" s="134" t="n">
        <v>0</v>
      </c>
      <c r="Y84" s="134" t="n">
        <v>0</v>
      </c>
      <c r="Z84" s="135" t="n">
        <v>0</v>
      </c>
    </row>
    <row r="85" ht="15" customHeight="1" thickBot="1">
      <c r="B85" s="59" t="inlineStr">
        <is>
          <t>Non-Rebatable</t>
        </is>
      </c>
      <c r="D85" s="136" t="n">
        <v>0</v>
      </c>
      <c r="E85" s="137" t="n">
        <v>0</v>
      </c>
      <c r="F85" s="137" t="n">
        <v>0</v>
      </c>
      <c r="G85" s="137" t="n">
        <v>0</v>
      </c>
      <c r="H85" s="138" t="n">
        <v>0</v>
      </c>
      <c r="J85" s="139" t="n">
        <v>239343.9668228973</v>
      </c>
      <c r="K85" s="140" t="n">
        <v>246638.3140649248</v>
      </c>
      <c r="L85" s="140" t="n">
        <v>3884.037794688341</v>
      </c>
      <c r="M85" s="140" t="n">
        <v>0</v>
      </c>
      <c r="N85" s="141" t="n">
        <v>489866.3186825104</v>
      </c>
      <c r="P85" s="139" t="n">
        <v>244499.1255482345</v>
      </c>
      <c r="Q85" s="140" t="n">
        <v>252865.283451084</v>
      </c>
      <c r="R85" s="140" t="n">
        <v>3973.333705512458</v>
      </c>
      <c r="S85" s="140" t="n">
        <v>0</v>
      </c>
      <c r="T85" s="141" t="n">
        <v>501337.7427048309</v>
      </c>
      <c r="V85" s="139" t="n">
        <v>248584.5047241183</v>
      </c>
      <c r="W85" s="140" t="n">
        <v>256728.376959773</v>
      </c>
      <c r="X85" s="140" t="n">
        <v>4026.4599762026</v>
      </c>
      <c r="Y85" s="140" t="n">
        <v>0</v>
      </c>
      <c r="Z85" s="141" t="n">
        <v>509339.3416600939</v>
      </c>
    </row>
    <row r="86" ht="15.6" customHeight="1" thickBot="1" thickTop="1">
      <c r="B86" s="69" t="inlineStr">
        <is>
          <t>Total</t>
        </is>
      </c>
      <c r="D86" s="142" t="n">
        <v>2051</v>
      </c>
      <c r="E86" s="143" t="n">
        <v>2404</v>
      </c>
      <c r="F86" s="143" t="n">
        <v>10</v>
      </c>
      <c r="G86" s="143" t="n">
        <v>383</v>
      </c>
      <c r="H86" s="144" t="n">
        <v>5231</v>
      </c>
      <c r="J86" s="142" t="n">
        <v>241857.846036361</v>
      </c>
      <c r="K86" s="143" t="n">
        <v>249487.4064615115</v>
      </c>
      <c r="L86" s="143" t="n">
        <v>3895.860685324335</v>
      </c>
      <c r="M86" s="143" t="n">
        <v>647.0252361436104</v>
      </c>
      <c r="N86" s="144" t="n">
        <v>496534.4141784618</v>
      </c>
      <c r="P86" s="142" t="n">
        <v>247113.3994417185</v>
      </c>
      <c r="Q86" s="143" t="n">
        <v>255790.5461697932</v>
      </c>
      <c r="R86" s="143" t="n">
        <v>3985.486226866849</v>
      </c>
      <c r="S86" s="143" t="n">
        <v>732.9714689009203</v>
      </c>
      <c r="T86" s="144" t="n">
        <v>508354.5390776537</v>
      </c>
      <c r="V86" s="142" t="n">
        <v>251272.1306245567</v>
      </c>
      <c r="W86" s="143" t="n">
        <v>259712.4136196924</v>
      </c>
      <c r="X86" s="143" t="n">
        <v>4038.865980466294</v>
      </c>
      <c r="Y86" s="143" t="n">
        <v>880.9559239039352</v>
      </c>
      <c r="Z86" s="144" t="n">
        <v>516784.4256977059</v>
      </c>
    </row>
    <row r="87" ht="15" customHeight="1" thickBot="1">
      <c r="D87" s="145" t="n"/>
      <c r="E87" s="145" t="n"/>
      <c r="F87" s="145" t="n"/>
      <c r="G87" s="145" t="n"/>
      <c r="H87" s="145" t="n"/>
      <c r="J87" s="145" t="n"/>
      <c r="K87" s="145" t="n"/>
      <c r="L87" s="145" t="n"/>
      <c r="M87" s="145" t="n"/>
      <c r="N87" s="145" t="n"/>
      <c r="P87" s="145" t="n"/>
      <c r="Q87" s="145" t="n"/>
      <c r="R87" s="145" t="n"/>
      <c r="S87" s="145" t="n"/>
      <c r="T87" s="145" t="n"/>
      <c r="V87" s="145" t="n"/>
      <c r="W87" s="145" t="n"/>
      <c r="X87" s="145" t="n"/>
      <c r="Y87" s="145" t="n"/>
      <c r="Z87" s="145" t="n"/>
    </row>
    <row r="88" ht="15" customHeight="1" thickBot="1">
      <c r="B88" s="27" t="inlineStr">
        <is>
          <t>Excl - Total</t>
        </is>
      </c>
      <c r="D88" s="28" t="inlineStr">
        <is>
          <t>R30</t>
        </is>
      </c>
      <c r="E88" s="29" t="inlineStr">
        <is>
          <t>R90</t>
        </is>
      </c>
      <c r="F88" s="29" t="inlineStr">
        <is>
          <t>Mail</t>
        </is>
      </c>
      <c r="G88" s="29" t="inlineStr">
        <is>
          <t>Specialty</t>
        </is>
      </c>
      <c r="H88" s="30" t="inlineStr">
        <is>
          <t>Total</t>
        </is>
      </c>
      <c r="J88" s="28" t="inlineStr">
        <is>
          <t>R30</t>
        </is>
      </c>
      <c r="K88" s="29" t="inlineStr">
        <is>
          <t>R90</t>
        </is>
      </c>
      <c r="L88" s="29" t="inlineStr">
        <is>
          <t>Mail</t>
        </is>
      </c>
      <c r="M88" s="29" t="inlineStr">
        <is>
          <t>Specialty</t>
        </is>
      </c>
      <c r="N88" s="30" t="inlineStr">
        <is>
          <t>Total</t>
        </is>
      </c>
      <c r="P88" s="28" t="inlineStr">
        <is>
          <t>R30</t>
        </is>
      </c>
      <c r="Q88" s="29" t="inlineStr">
        <is>
          <t>R90</t>
        </is>
      </c>
      <c r="R88" s="29" t="inlineStr">
        <is>
          <t>Mail</t>
        </is>
      </c>
      <c r="S88" s="29" t="inlineStr">
        <is>
          <t>Specialty</t>
        </is>
      </c>
      <c r="T88" s="30" t="inlineStr">
        <is>
          <t>Total</t>
        </is>
      </c>
      <c r="V88" s="28" t="inlineStr">
        <is>
          <t>R30</t>
        </is>
      </c>
      <c r="W88" s="29" t="inlineStr">
        <is>
          <t>R90</t>
        </is>
      </c>
      <c r="X88" s="29" t="inlineStr">
        <is>
          <t>Mail</t>
        </is>
      </c>
      <c r="Y88" s="29" t="inlineStr">
        <is>
          <t>Specialty</t>
        </is>
      </c>
      <c r="Z88" s="30" t="inlineStr">
        <is>
          <t>Total</t>
        </is>
      </c>
    </row>
    <row r="89">
      <c r="B89" s="38" t="inlineStr">
        <is>
          <t>OTCs</t>
        </is>
      </c>
      <c r="D89" s="127" t="n">
        <v>0</v>
      </c>
      <c r="E89" s="128" t="n">
        <v>0</v>
      </c>
      <c r="F89" s="128" t="n">
        <v>0</v>
      </c>
      <c r="G89" s="128" t="n">
        <v>0</v>
      </c>
      <c r="H89" s="129" t="n">
        <v>0</v>
      </c>
      <c r="J89" s="127" t="n">
        <v>0</v>
      </c>
      <c r="K89" s="128" t="n">
        <v>0</v>
      </c>
      <c r="L89" s="128" t="n">
        <v>0</v>
      </c>
      <c r="M89" s="128" t="n">
        <v>0</v>
      </c>
      <c r="N89" s="129" t="n">
        <v>0</v>
      </c>
      <c r="P89" s="127" t="n">
        <v>0</v>
      </c>
      <c r="Q89" s="128" t="n">
        <v>0</v>
      </c>
      <c r="R89" s="128" t="n">
        <v>0</v>
      </c>
      <c r="S89" s="128" t="n">
        <v>0</v>
      </c>
      <c r="T89" s="129" t="n">
        <v>0</v>
      </c>
      <c r="V89" s="127" t="n">
        <v>0</v>
      </c>
      <c r="W89" s="128" t="n">
        <v>0</v>
      </c>
      <c r="X89" s="128" t="n">
        <v>0</v>
      </c>
      <c r="Y89" s="128" t="n">
        <v>0</v>
      </c>
      <c r="Z89" s="129" t="n">
        <v>0</v>
      </c>
    </row>
    <row r="90">
      <c r="B90" s="49" t="inlineStr">
        <is>
          <t>Devices</t>
        </is>
      </c>
      <c r="D90" s="130" t="n">
        <v>0</v>
      </c>
      <c r="E90" s="131" t="n">
        <v>0</v>
      </c>
      <c r="F90" s="131" t="n">
        <v>0</v>
      </c>
      <c r="G90" s="131" t="n">
        <v>0</v>
      </c>
      <c r="H90" s="132" t="n">
        <v>0</v>
      </c>
      <c r="J90" s="130" t="n">
        <v>0</v>
      </c>
      <c r="K90" s="131" t="n">
        <v>0</v>
      </c>
      <c r="L90" s="131" t="n">
        <v>0</v>
      </c>
      <c r="M90" s="131" t="n">
        <v>0</v>
      </c>
      <c r="N90" s="132" t="n">
        <v>0</v>
      </c>
      <c r="P90" s="130" t="n">
        <v>0</v>
      </c>
      <c r="Q90" s="131" t="n">
        <v>0</v>
      </c>
      <c r="R90" s="131" t="n">
        <v>0</v>
      </c>
      <c r="S90" s="131" t="n">
        <v>0</v>
      </c>
      <c r="T90" s="132" t="n">
        <v>0</v>
      </c>
      <c r="V90" s="130" t="n">
        <v>0</v>
      </c>
      <c r="W90" s="131" t="n">
        <v>0</v>
      </c>
      <c r="X90" s="131" t="n">
        <v>0</v>
      </c>
      <c r="Y90" s="131" t="n">
        <v>0</v>
      </c>
      <c r="Z90" s="132" t="n">
        <v>0</v>
      </c>
    </row>
    <row r="91">
      <c r="B91" s="64" t="inlineStr">
        <is>
          <t>Vaccines</t>
        </is>
      </c>
      <c r="D91" s="130" t="n">
        <v>0</v>
      </c>
      <c r="E91" s="131" t="n">
        <v>0</v>
      </c>
      <c r="F91" s="131" t="n">
        <v>0</v>
      </c>
      <c r="G91" s="131" t="n">
        <v>0</v>
      </c>
      <c r="H91" s="132" t="n">
        <v>0</v>
      </c>
      <c r="J91" s="130" t="n">
        <v>0</v>
      </c>
      <c r="K91" s="131" t="n">
        <v>0</v>
      </c>
      <c r="L91" s="131" t="n">
        <v>0</v>
      </c>
      <c r="M91" s="131" t="n">
        <v>0</v>
      </c>
      <c r="N91" s="132" t="n">
        <v>0</v>
      </c>
      <c r="P91" s="130" t="n">
        <v>0</v>
      </c>
      <c r="Q91" s="131" t="n">
        <v>0</v>
      </c>
      <c r="R91" s="131" t="n">
        <v>0</v>
      </c>
      <c r="S91" s="131" t="n">
        <v>0</v>
      </c>
      <c r="T91" s="132" t="n">
        <v>0</v>
      </c>
      <c r="V91" s="130" t="n">
        <v>0</v>
      </c>
      <c r="W91" s="131" t="n">
        <v>0</v>
      </c>
      <c r="X91" s="131" t="n">
        <v>0</v>
      </c>
      <c r="Y91" s="131" t="n">
        <v>0</v>
      </c>
      <c r="Z91" s="132" t="n">
        <v>0</v>
      </c>
    </row>
    <row r="92">
      <c r="B92" s="64" t="inlineStr">
        <is>
          <t>Repackaged</t>
        </is>
      </c>
      <c r="D92" s="130" t="n">
        <v>0</v>
      </c>
      <c r="E92" s="131" t="n">
        <v>0</v>
      </c>
      <c r="F92" s="131" t="n">
        <v>0</v>
      </c>
      <c r="G92" s="131" t="n">
        <v>0</v>
      </c>
      <c r="H92" s="132" t="n">
        <v>0</v>
      </c>
      <c r="J92" s="130" t="n">
        <v>0</v>
      </c>
      <c r="K92" s="131" t="n">
        <v>0</v>
      </c>
      <c r="L92" s="131" t="n">
        <v>0</v>
      </c>
      <c r="M92" s="131" t="n">
        <v>0</v>
      </c>
      <c r="N92" s="132" t="n">
        <v>0</v>
      </c>
      <c r="P92" s="130" t="n">
        <v>0</v>
      </c>
      <c r="Q92" s="131" t="n">
        <v>0</v>
      </c>
      <c r="R92" s="131" t="n">
        <v>0</v>
      </c>
      <c r="S92" s="131" t="n">
        <v>0</v>
      </c>
      <c r="T92" s="132" t="n">
        <v>0</v>
      </c>
      <c r="V92" s="130" t="n">
        <v>0</v>
      </c>
      <c r="W92" s="131" t="n">
        <v>0</v>
      </c>
      <c r="X92" s="131" t="n">
        <v>0</v>
      </c>
      <c r="Y92" s="131" t="n">
        <v>0</v>
      </c>
      <c r="Z92" s="132" t="n">
        <v>0</v>
      </c>
    </row>
    <row r="93">
      <c r="B93" s="64" t="inlineStr">
        <is>
          <t>MSBs</t>
        </is>
      </c>
      <c r="D93" s="130" t="n">
        <v>0</v>
      </c>
      <c r="E93" s="131" t="n">
        <v>0</v>
      </c>
      <c r="F93" s="131" t="n">
        <v>0</v>
      </c>
      <c r="G93" s="131" t="n">
        <v>0</v>
      </c>
      <c r="H93" s="132" t="n">
        <v>0</v>
      </c>
      <c r="J93" s="130" t="n">
        <v>0</v>
      </c>
      <c r="K93" s="131" t="n">
        <v>0</v>
      </c>
      <c r="L93" s="131" t="n">
        <v>0</v>
      </c>
      <c r="M93" s="131" t="n">
        <v>0</v>
      </c>
      <c r="N93" s="132" t="n">
        <v>0</v>
      </c>
      <c r="P93" s="130" t="n">
        <v>0</v>
      </c>
      <c r="Q93" s="131" t="n">
        <v>0</v>
      </c>
      <c r="R93" s="131" t="n">
        <v>0</v>
      </c>
      <c r="S93" s="131" t="n">
        <v>0</v>
      </c>
      <c r="T93" s="132" t="n">
        <v>0</v>
      </c>
      <c r="V93" s="130" t="n">
        <v>0</v>
      </c>
      <c r="W93" s="131" t="n">
        <v>0</v>
      </c>
      <c r="X93" s="131" t="n">
        <v>0</v>
      </c>
      <c r="Y93" s="131" t="n">
        <v>0</v>
      </c>
      <c r="Z93" s="132" t="n">
        <v>0</v>
      </c>
    </row>
    <row r="94">
      <c r="B94" s="64" t="inlineStr">
        <is>
          <t>Non FDA Approved</t>
        </is>
      </c>
      <c r="D94" s="130" t="n">
        <v>0</v>
      </c>
      <c r="E94" s="131" t="n">
        <v>6</v>
      </c>
      <c r="F94" s="131" t="n">
        <v>0</v>
      </c>
      <c r="G94" s="131" t="n">
        <v>0</v>
      </c>
      <c r="H94" s="132" t="n">
        <v>6</v>
      </c>
      <c r="J94" s="130" t="n">
        <v>0</v>
      </c>
      <c r="K94" s="131" t="n">
        <v>6.885489488627885</v>
      </c>
      <c r="L94" s="131" t="n">
        <v>0</v>
      </c>
      <c r="M94" s="131" t="n">
        <v>0</v>
      </c>
      <c r="N94" s="132" t="n">
        <v>6.885489488627885</v>
      </c>
      <c r="P94" s="130" t="n">
        <v>0</v>
      </c>
      <c r="Q94" s="131" t="n">
        <v>7.09762893823543</v>
      </c>
      <c r="R94" s="131" t="n">
        <v>0</v>
      </c>
      <c r="S94" s="131" t="n">
        <v>0</v>
      </c>
      <c r="T94" s="132" t="n">
        <v>7.09762893823543</v>
      </c>
      <c r="V94" s="130" t="n">
        <v>0</v>
      </c>
      <c r="W94" s="131" t="n">
        <v>7.29938773026082</v>
      </c>
      <c r="X94" s="131" t="n">
        <v>0</v>
      </c>
      <c r="Y94" s="131" t="n">
        <v>0</v>
      </c>
      <c r="Z94" s="132" t="n">
        <v>7.29938773026082</v>
      </c>
    </row>
    <row r="95">
      <c r="B95" s="64" t="inlineStr">
        <is>
          <t>LDD</t>
        </is>
      </c>
      <c r="D95" s="130" t="n">
        <v>18</v>
      </c>
      <c r="E95" s="131" t="n">
        <v>0</v>
      </c>
      <c r="F95" s="131" t="n">
        <v>0</v>
      </c>
      <c r="G95" s="131" t="n">
        <v>1</v>
      </c>
      <c r="H95" s="132" t="n">
        <v>19</v>
      </c>
      <c r="J95" s="130" t="n">
        <v>24.87719139716617</v>
      </c>
      <c r="K95" s="131" t="n">
        <v>0</v>
      </c>
      <c r="L95" s="131" t="n">
        <v>0</v>
      </c>
      <c r="M95" s="131" t="n">
        <v>1.367136085871659</v>
      </c>
      <c r="N95" s="132" t="n">
        <v>26.24432748303783</v>
      </c>
      <c r="P95" s="130" t="n">
        <v>27.65663487526179</v>
      </c>
      <c r="Q95" s="131" t="n">
        <v>0</v>
      </c>
      <c r="R95" s="131" t="n">
        <v>0</v>
      </c>
      <c r="S95" s="131" t="n">
        <v>1.446478003178301</v>
      </c>
      <c r="T95" s="132" t="n">
        <v>29.10311287844009</v>
      </c>
      <c r="V95" s="130" t="n">
        <v>31.05175440243663</v>
      </c>
      <c r="W95" s="131" t="n">
        <v>0</v>
      </c>
      <c r="X95" s="131" t="n">
        <v>0</v>
      </c>
      <c r="Y95" s="131" t="n">
        <v>1.539423073904818</v>
      </c>
      <c r="Z95" s="132" t="n">
        <v>32.59117747634145</v>
      </c>
    </row>
    <row r="96">
      <c r="B96" s="64" t="inlineStr">
        <is>
          <t>Institutional NDCs</t>
        </is>
      </c>
      <c r="D96" s="130" t="n">
        <v>23</v>
      </c>
      <c r="E96" s="131" t="n">
        <v>0</v>
      </c>
      <c r="F96" s="131" t="n">
        <v>0</v>
      </c>
      <c r="G96" s="131" t="n">
        <v>0</v>
      </c>
      <c r="H96" s="132" t="n">
        <v>23</v>
      </c>
      <c r="J96" s="130" t="n">
        <v>26.24935302529743</v>
      </c>
      <c r="K96" s="131" t="n">
        <v>0</v>
      </c>
      <c r="L96" s="131" t="n">
        <v>0</v>
      </c>
      <c r="M96" s="131" t="n">
        <v>0</v>
      </c>
      <c r="N96" s="132" t="n">
        <v>26.24935302529743</v>
      </c>
      <c r="P96" s="130" t="n">
        <v>26.57911917875575</v>
      </c>
      <c r="Q96" s="131" t="n">
        <v>0</v>
      </c>
      <c r="R96" s="131" t="n">
        <v>0</v>
      </c>
      <c r="S96" s="131" t="n">
        <v>0</v>
      </c>
      <c r="T96" s="132" t="n">
        <v>26.57911917875575</v>
      </c>
      <c r="V96" s="130" t="n">
        <v>28.06187153348851</v>
      </c>
      <c r="W96" s="131" t="n">
        <v>0</v>
      </c>
      <c r="X96" s="131" t="n">
        <v>0</v>
      </c>
      <c r="Y96" s="131" t="n">
        <v>0</v>
      </c>
      <c r="Z96" s="132" t="n">
        <v>28.06187153348851</v>
      </c>
    </row>
    <row r="97">
      <c r="B97" s="64" t="inlineStr">
        <is>
          <t>Formulary Exclusions</t>
        </is>
      </c>
      <c r="D97" s="130" t="n">
        <v>5655</v>
      </c>
      <c r="E97" s="131" t="n">
        <v>4007</v>
      </c>
      <c r="F97" s="131" t="n">
        <v>42</v>
      </c>
      <c r="G97" s="131" t="n">
        <v>0</v>
      </c>
      <c r="H97" s="132" t="n">
        <v>9704</v>
      </c>
      <c r="J97" s="130" t="n">
        <v>8521.815565172983</v>
      </c>
      <c r="K97" s="131" t="n">
        <v>6628.085294105205</v>
      </c>
      <c r="L97" s="131" t="n">
        <v>81.12125915531615</v>
      </c>
      <c r="M97" s="131" t="n">
        <v>0</v>
      </c>
      <c r="N97" s="132" t="n">
        <v>15231.0221184335</v>
      </c>
      <c r="P97" s="130" t="n">
        <v>8787.458946566274</v>
      </c>
      <c r="Q97" s="131" t="n">
        <v>6924.377261876313</v>
      </c>
      <c r="R97" s="131" t="n">
        <v>85.73780046159801</v>
      </c>
      <c r="S97" s="131" t="n">
        <v>0</v>
      </c>
      <c r="T97" s="132" t="n">
        <v>15797.57400890418</v>
      </c>
      <c r="V97" s="130" t="n">
        <v>9058.982559296473</v>
      </c>
      <c r="W97" s="131" t="n">
        <v>7214.103405258798</v>
      </c>
      <c r="X97" s="131" t="n">
        <v>90.06841189161894</v>
      </c>
      <c r="Y97" s="131" t="n">
        <v>0</v>
      </c>
      <c r="Z97" s="132" t="n">
        <v>16363.15437644689</v>
      </c>
    </row>
    <row r="98">
      <c r="B98" s="64" t="inlineStr">
        <is>
          <t>Synthroid</t>
        </is>
      </c>
      <c r="D98" s="130" t="n">
        <v>331</v>
      </c>
      <c r="E98" s="131" t="n">
        <v>641</v>
      </c>
      <c r="F98" s="131" t="n">
        <v>4</v>
      </c>
      <c r="G98" s="131" t="n">
        <v>0</v>
      </c>
      <c r="H98" s="132" t="n">
        <v>976</v>
      </c>
      <c r="J98" s="130" t="n">
        <v>351.9287478386029</v>
      </c>
      <c r="K98" s="131" t="n">
        <v>695.2653220010801</v>
      </c>
      <c r="L98" s="131" t="n">
        <v>4.363987808065344</v>
      </c>
      <c r="M98" s="131" t="n">
        <v>0</v>
      </c>
      <c r="N98" s="132" t="n">
        <v>1051.558057647748</v>
      </c>
      <c r="P98" s="130" t="n">
        <v>344.8677977438759</v>
      </c>
      <c r="Q98" s="131" t="n">
        <v>695.6708181072372</v>
      </c>
      <c r="R98" s="131" t="n">
        <v>4.376881306996877</v>
      </c>
      <c r="S98" s="131" t="n">
        <v>0</v>
      </c>
      <c r="T98" s="132" t="n">
        <v>1044.91549715811</v>
      </c>
      <c r="V98" s="130" t="n">
        <v>337.2252462051625</v>
      </c>
      <c r="W98" s="131" t="n">
        <v>693.7423997998153</v>
      </c>
      <c r="X98" s="131" t="n">
        <v>4.349920807420687</v>
      </c>
      <c r="Y98" s="131" t="n">
        <v>0</v>
      </c>
      <c r="Z98" s="132" t="n">
        <v>1035.317566812398</v>
      </c>
    </row>
    <row r="99">
      <c r="B99" s="64" t="inlineStr">
        <is>
          <t>Misc</t>
        </is>
      </c>
      <c r="D99" s="130" t="n">
        <v>1732</v>
      </c>
      <c r="E99" s="131" t="n">
        <v>1322</v>
      </c>
      <c r="F99" s="131" t="n">
        <v>21</v>
      </c>
      <c r="G99" s="131" t="n">
        <v>3360</v>
      </c>
      <c r="H99" s="132" t="n">
        <v>6435</v>
      </c>
      <c r="J99" s="130" t="n">
        <v>2715.313301741378</v>
      </c>
      <c r="K99" s="131" t="n">
        <v>2139.409809914592</v>
      </c>
      <c r="L99" s="131" t="n">
        <v>34.42048685206373</v>
      </c>
      <c r="M99" s="131" t="n">
        <v>4701.938698982581</v>
      </c>
      <c r="N99" s="132" t="n">
        <v>9591.082297490615</v>
      </c>
      <c r="P99" s="130" t="n">
        <v>3197.258219982265</v>
      </c>
      <c r="Q99" s="131" t="n">
        <v>2604.95332839858</v>
      </c>
      <c r="R99" s="131" t="n">
        <v>42.03577551248054</v>
      </c>
      <c r="S99" s="131" t="n">
        <v>5099.728555144815</v>
      </c>
      <c r="T99" s="132" t="n">
        <v>10943.97587903814</v>
      </c>
      <c r="V99" s="130" t="n">
        <v>3772.141387435433</v>
      </c>
      <c r="W99" s="131" t="n">
        <v>3171.189177179011</v>
      </c>
      <c r="X99" s="131" t="n">
        <v>51.03255827472276</v>
      </c>
      <c r="Y99" s="131" t="n">
        <v>5541.410161234371</v>
      </c>
      <c r="Z99" s="132" t="n">
        <v>12535.77328412354</v>
      </c>
    </row>
    <row r="100">
      <c r="B100" s="64" t="inlineStr">
        <is>
          <t>Specialty</t>
        </is>
      </c>
      <c r="D100" s="133" t="n">
        <v>0</v>
      </c>
      <c r="E100" s="134" t="n">
        <v>0</v>
      </c>
      <c r="F100" s="134" t="n">
        <v>0</v>
      </c>
      <c r="G100" s="134" t="n">
        <v>3360</v>
      </c>
      <c r="H100" s="135" t="n">
        <v>3360</v>
      </c>
      <c r="J100" s="133" t="n">
        <v>0</v>
      </c>
      <c r="K100" s="134" t="n">
        <v>0</v>
      </c>
      <c r="L100" s="134" t="n">
        <v>0</v>
      </c>
      <c r="M100" s="134" t="n">
        <v>4701.935289376432</v>
      </c>
      <c r="N100" s="135" t="n">
        <v>4701.935289376432</v>
      </c>
      <c r="P100" s="133" t="n">
        <v>0</v>
      </c>
      <c r="Q100" s="134" t="n">
        <v>0</v>
      </c>
      <c r="R100" s="134" t="n">
        <v>0</v>
      </c>
      <c r="S100" s="134" t="n">
        <v>5099.725056957099</v>
      </c>
      <c r="T100" s="135" t="n">
        <v>5099.725056957099</v>
      </c>
      <c r="V100" s="133" t="n">
        <v>0</v>
      </c>
      <c r="W100" s="134" t="n">
        <v>0</v>
      </c>
      <c r="X100" s="134" t="n">
        <v>0</v>
      </c>
      <c r="Y100" s="134" t="n">
        <v>5541.40655673673</v>
      </c>
      <c r="Z100" s="135" t="n">
        <v>5541.40655673673</v>
      </c>
    </row>
    <row r="101">
      <c r="A101" s="98" t="inlineStr">
        <is>
          <t>Added MFP row but needs adjusting for non-CY</t>
        </is>
      </c>
      <c r="B101" s="64" t="inlineStr">
        <is>
          <t>MFP 2026, 2027</t>
        </is>
      </c>
      <c r="D101" s="133" t="n">
        <v>0</v>
      </c>
      <c r="E101" s="134" t="n">
        <v>0</v>
      </c>
      <c r="F101" s="134" t="n">
        <v>0</v>
      </c>
      <c r="G101" s="134" t="n">
        <v>0</v>
      </c>
      <c r="H101" s="135" t="n">
        <v>0</v>
      </c>
      <c r="J101" s="133" t="n">
        <v>0</v>
      </c>
      <c r="K101" s="134" t="n">
        <v>0</v>
      </c>
      <c r="L101" s="134" t="n">
        <v>0</v>
      </c>
      <c r="M101" s="134" t="n">
        <v>0</v>
      </c>
      <c r="N101" s="135" t="n">
        <v>0</v>
      </c>
      <c r="P101" s="133" t="n">
        <v>0</v>
      </c>
      <c r="Q101" s="134" t="n">
        <v>0</v>
      </c>
      <c r="R101" s="134" t="n">
        <v>0</v>
      </c>
      <c r="S101" s="134" t="n">
        <v>0</v>
      </c>
      <c r="T101" s="135" t="n">
        <v>0</v>
      </c>
      <c r="V101" s="133" t="n">
        <v>0</v>
      </c>
      <c r="W101" s="134" t="n">
        <v>0</v>
      </c>
      <c r="X101" s="134" t="n">
        <v>0</v>
      </c>
      <c r="Y101" s="134" t="n">
        <v>0</v>
      </c>
      <c r="Z101" s="135" t="n">
        <v>0</v>
      </c>
    </row>
    <row r="102">
      <c r="B102" s="100">
        <f>$B$66</f>
        <v/>
      </c>
      <c r="D102" s="133" t="n">
        <v>0</v>
      </c>
      <c r="E102" s="134" t="n">
        <v>0</v>
      </c>
      <c r="F102" s="134" t="n">
        <v>0</v>
      </c>
      <c r="G102" s="134" t="n">
        <v>0</v>
      </c>
      <c r="H102" s="135" t="n">
        <v>0</v>
      </c>
      <c r="J102" s="133" t="n">
        <v>0</v>
      </c>
      <c r="K102" s="134" t="n">
        <v>0</v>
      </c>
      <c r="L102" s="134" t="n">
        <v>0</v>
      </c>
      <c r="M102" s="134" t="n">
        <v>0</v>
      </c>
      <c r="N102" s="135" t="n">
        <v>0</v>
      </c>
      <c r="P102" s="133" t="n">
        <v>0</v>
      </c>
      <c r="Q102" s="134" t="n">
        <v>0</v>
      </c>
      <c r="R102" s="134" t="n">
        <v>0</v>
      </c>
      <c r="S102" s="134" t="n">
        <v>0</v>
      </c>
      <c r="T102" s="135" t="n">
        <v>0</v>
      </c>
      <c r="V102" s="133" t="n">
        <v>0</v>
      </c>
      <c r="W102" s="134" t="n">
        <v>0</v>
      </c>
      <c r="X102" s="134" t="n">
        <v>0</v>
      </c>
      <c r="Y102" s="134" t="n">
        <v>0</v>
      </c>
      <c r="Z102" s="135" t="n">
        <v>0</v>
      </c>
    </row>
    <row r="103" ht="15" customHeight="1" thickBot="1">
      <c r="B103" s="59" t="inlineStr">
        <is>
          <t>Non-Rebatable</t>
        </is>
      </c>
      <c r="D103" s="136" t="n">
        <v>0</v>
      </c>
      <c r="E103" s="137" t="n">
        <v>0</v>
      </c>
      <c r="F103" s="137" t="n">
        <v>0</v>
      </c>
      <c r="G103" s="137" t="n">
        <v>0</v>
      </c>
      <c r="H103" s="138" t="n">
        <v>0</v>
      </c>
      <c r="J103" s="139" t="n">
        <v>272009.7721800812</v>
      </c>
      <c r="K103" s="140" t="n">
        <v>261622.1388362575</v>
      </c>
      <c r="L103" s="140" t="n">
        <v>4086.411781183353</v>
      </c>
      <c r="M103" s="140" t="n">
        <v>552.1088310115437</v>
      </c>
      <c r="N103" s="141" t="n">
        <v>538270.4316285335</v>
      </c>
      <c r="P103" s="139" t="n">
        <v>273967.9002461676</v>
      </c>
      <c r="Q103" s="140" t="n">
        <v>263205.7003168401</v>
      </c>
      <c r="R103" s="140" t="n">
        <v>4115.589524254454</v>
      </c>
      <c r="S103" s="140" t="n">
        <v>529.4434178862319</v>
      </c>
      <c r="T103" s="141" t="n">
        <v>541818.6335051483</v>
      </c>
      <c r="V103" s="139" t="n">
        <v>276285.4014342451</v>
      </c>
      <c r="W103" s="140" t="n">
        <v>264737.8059749066</v>
      </c>
      <c r="X103" s="140" t="n">
        <v>4142.034055145593</v>
      </c>
      <c r="Y103" s="140" t="n">
        <v>507.7439456670621</v>
      </c>
      <c r="Z103" s="141" t="n">
        <v>545672.9854099642</v>
      </c>
    </row>
    <row r="104" ht="15.6" customHeight="1" thickBot="1" thickTop="1">
      <c r="B104" s="69" t="inlineStr">
        <is>
          <t>Total</t>
        </is>
      </c>
      <c r="D104" s="142" t="n">
        <v>7759</v>
      </c>
      <c r="E104" s="143" t="n">
        <v>5976</v>
      </c>
      <c r="F104" s="143" t="n">
        <v>67</v>
      </c>
      <c r="G104" s="143" t="n">
        <v>3361</v>
      </c>
      <c r="H104" s="144" t="n">
        <v>20523</v>
      </c>
      <c r="J104" s="142" t="n">
        <v>283649.9563392566</v>
      </c>
      <c r="K104" s="143" t="n">
        <v>271091.7847517669</v>
      </c>
      <c r="L104" s="143" t="n">
        <v>4206.317514998797</v>
      </c>
      <c r="M104" s="143" t="n">
        <v>5255.414666079996</v>
      </c>
      <c r="N104" s="144" t="n">
        <v>568905.4085614788</v>
      </c>
      <c r="P104" s="142" t="n">
        <v>286351.720964514</v>
      </c>
      <c r="Q104" s="143" t="n">
        <v>273437.7993541604</v>
      </c>
      <c r="R104" s="143" t="n">
        <v>4247.739981535529</v>
      </c>
      <c r="S104" s="143" t="n">
        <v>5630.618451034225</v>
      </c>
      <c r="T104" s="144" t="n">
        <v>574767.6038082013</v>
      </c>
      <c r="V104" s="142" t="n">
        <v>289512.8642531181</v>
      </c>
      <c r="W104" s="143" t="n">
        <v>275824.1403448745</v>
      </c>
      <c r="X104" s="143" t="n">
        <v>4287.484946119355</v>
      </c>
      <c r="Y104" s="143" t="n">
        <v>6050.693529975338</v>
      </c>
      <c r="Z104" s="144" t="n">
        <v>581216.5896308238</v>
      </c>
    </row>
    <row r="105" ht="30.3" customHeight="1" thickBot="1"/>
    <row r="106" ht="15" customHeight="1" thickBot="1">
      <c r="B106" s="110" t="inlineStr">
        <is>
          <t>Removed Claims</t>
        </is>
      </c>
      <c r="H106" s="111" t="n">
        <v>3772</v>
      </c>
    </row>
    <row r="107" ht="15" customHeight="1" thickBot="1"/>
    <row r="108" ht="15" customHeight="1" thickBot="1">
      <c r="B108" s="112" t="inlineStr">
        <is>
          <t>Total</t>
        </is>
      </c>
      <c r="H108" s="113" t="n">
        <v>527643</v>
      </c>
    </row>
    <row r="109"/>
    <row r="110"/>
    <row r="111"/>
    <row r="112"/>
    <row r="113"/>
    <row r="114"/>
    <row r="115"/>
    <row r="116"/>
    <row r="117"/>
    <row r="118"/>
    <row r="119"/>
    <row r="120"/>
    <row r="121"/>
    <row r="122"/>
    <row r="123"/>
    <row r="124"/>
    <row r="125"/>
    <row r="126"/>
    <row r="127"/>
    <row r="128"/>
    <row r="129" ht="30.3" customHeight="1"/>
    <row r="130"/>
    <row r="131"/>
    <row r="132"/>
    <row r="133"/>
    <row r="134"/>
    <row r="135"/>
    <row r="136"/>
    <row r="137"/>
    <row r="138"/>
    <row r="139"/>
    <row r="140"/>
    <row r="141"/>
    <row r="142"/>
    <row r="143"/>
    <row r="144"/>
    <row r="145"/>
    <row r="146"/>
    <row r="147"/>
    <row r="148"/>
    <row r="149"/>
    <row r="150"/>
    <row r="151"/>
    <row r="152"/>
    <row r="153" ht="30.3" customHeight="1"/>
    <row r="154">
      <c r="AM154" s="117" t="n"/>
      <c r="AN154" s="117" t="n"/>
    </row>
    <row r="155">
      <c r="AM155" s="117" t="n"/>
      <c r="AN155" s="117" t="n"/>
    </row>
    <row r="156">
      <c r="AM156" s="117" t="n"/>
      <c r="AN156" s="117" t="n"/>
    </row>
    <row r="157">
      <c r="AM157" s="117" t="n"/>
      <c r="AN157" s="117" t="n"/>
    </row>
    <row r="158">
      <c r="AM158" s="117" t="n"/>
      <c r="AN158" s="117" t="n"/>
    </row>
    <row r="159">
      <c r="AM159" s="117" t="n"/>
      <c r="AN159" s="117" t="n"/>
    </row>
    <row r="160">
      <c r="AM160" s="117" t="n"/>
      <c r="AN160" s="117" t="n"/>
    </row>
    <row r="161">
      <c r="AM161" s="117" t="n"/>
      <c r="AN161" s="117" t="n"/>
    </row>
    <row r="162">
      <c r="AM162" s="117" t="n"/>
      <c r="AN162" s="117" t="n"/>
    </row>
    <row r="163">
      <c r="AM163" s="117" t="n"/>
      <c r="AN163" s="117" t="n"/>
    </row>
    <row r="164">
      <c r="AM164" s="117" t="n"/>
      <c r="AN164" s="117" t="n"/>
    </row>
    <row r="165">
      <c r="AM165" s="117" t="n"/>
      <c r="AN165" s="117" t="n"/>
    </row>
    <row r="166">
      <c r="AM166" s="117" t="n"/>
      <c r="AN166" s="117" t="n"/>
    </row>
    <row r="167">
      <c r="AM167" s="117" t="n"/>
      <c r="AN167" s="117" t="n"/>
    </row>
    <row r="168">
      <c r="AM168" s="117" t="n"/>
      <c r="AN168" s="117" t="n"/>
    </row>
    <row r="169">
      <c r="AM169" s="117" t="n"/>
      <c r="AN169" s="117" t="n"/>
    </row>
    <row r="170">
      <c r="AM170" s="117" t="n"/>
      <c r="AN170" s="117" t="n"/>
    </row>
    <row r="171">
      <c r="AM171" s="117" t="n"/>
      <c r="AN171" s="117" t="n"/>
    </row>
    <row r="172">
      <c r="AM172" s="117" t="n"/>
      <c r="AN172" s="117" t="n"/>
    </row>
    <row r="173">
      <c r="AM173" s="117" t="n"/>
      <c r="AN173" s="117" t="n"/>
    </row>
    <row r="174">
      <c r="AM174" s="117" t="n"/>
      <c r="AN174" s="117" t="n"/>
    </row>
    <row r="175">
      <c r="AM175" s="117" t="n"/>
      <c r="AN175" s="117" t="n"/>
    </row>
    <row r="176">
      <c r="AM176" s="117" t="n"/>
      <c r="AN176" s="117" t="n"/>
    </row>
    <row r="177">
      <c r="AM177" s="117" t="n"/>
      <c r="AN177" s="117" t="n"/>
    </row>
    <row r="178">
      <c r="AM178" s="117" t="n"/>
      <c r="AN178" s="117" t="n"/>
    </row>
    <row r="179">
      <c r="AM179" s="117" t="n"/>
      <c r="AN179" s="117" t="n"/>
    </row>
    <row r="180">
      <c r="AM180" s="117" t="n"/>
      <c r="AN180" s="117" t="n"/>
    </row>
    <row r="181">
      <c r="AM181" s="117" t="n"/>
      <c r="AN181" s="117" t="n"/>
    </row>
    <row r="182">
      <c r="AM182" s="117" t="n"/>
      <c r="AN182" s="117" t="n"/>
    </row>
    <row r="183">
      <c r="AM183" s="117" t="n"/>
      <c r="AN183" s="117" t="n"/>
    </row>
    <row r="184">
      <c r="AM184" s="117" t="n"/>
      <c r="AN184" s="117" t="n"/>
    </row>
    <row r="185">
      <c r="AM185" s="117" t="n"/>
      <c r="AN185" s="117" t="n"/>
    </row>
    <row r="186">
      <c r="AM186" s="117" t="n"/>
      <c r="AN186" s="117" t="n"/>
    </row>
    <row r="187">
      <c r="AM187" s="117" t="n"/>
      <c r="AN187" s="117" t="n"/>
    </row>
    <row r="188">
      <c r="AM188" s="117" t="n"/>
      <c r="AN188" s="117" t="n"/>
    </row>
    <row r="189">
      <c r="AM189" s="117" t="n"/>
      <c r="AN189" s="117" t="n"/>
    </row>
    <row r="190">
      <c r="AM190" s="117" t="n"/>
      <c r="AN190" s="117" t="n"/>
    </row>
    <row r="191">
      <c r="AM191" s="117" t="n"/>
      <c r="AN191" s="117" t="n"/>
    </row>
    <row r="192">
      <c r="AM192" s="117" t="n"/>
      <c r="AN192" s="117" t="n"/>
    </row>
    <row r="193">
      <c r="AM193" s="117" t="n"/>
      <c r="AN193" s="117" t="n"/>
    </row>
    <row r="194">
      <c r="AM194" s="117" t="n"/>
      <c r="AN194" s="117" t="n"/>
    </row>
    <row r="195">
      <c r="AM195" s="117" t="n"/>
      <c r="AN195" s="117" t="n"/>
    </row>
    <row r="196">
      <c r="AM196" s="117" t="n"/>
      <c r="AN196" s="117" t="n"/>
    </row>
    <row r="197">
      <c r="AM197" s="117" t="n"/>
      <c r="AN197" s="117" t="n"/>
    </row>
    <row r="198">
      <c r="AM198" s="117" t="n"/>
      <c r="AN198" s="117" t="n"/>
    </row>
    <row r="199">
      <c r="AM199" s="117" t="n"/>
      <c r="AN199" s="117" t="n"/>
    </row>
    <row r="200">
      <c r="AM200" s="117" t="n"/>
      <c r="AN200" s="117" t="n"/>
    </row>
    <row r="201">
      <c r="AM201" s="117" t="n"/>
      <c r="AN201" s="117" t="n"/>
    </row>
    <row r="202">
      <c r="AM202" s="117" t="n"/>
      <c r="AN202" s="117" t="n"/>
    </row>
    <row r="203">
      <c r="AM203" s="117" t="n"/>
      <c r="AN203" s="117" t="n"/>
    </row>
    <row r="204">
      <c r="AM204" s="117" t="n"/>
      <c r="AN204" s="117" t="n"/>
    </row>
    <row r="205">
      <c r="AM205" s="117" t="n"/>
      <c r="AN205" s="117" t="n"/>
    </row>
    <row r="206">
      <c r="AM206" s="117" t="n"/>
      <c r="AN206" s="117" t="n"/>
    </row>
    <row r="207">
      <c r="AM207" s="117" t="n"/>
      <c r="AN207" s="117" t="n"/>
    </row>
    <row r="208">
      <c r="AM208" s="117" t="n"/>
      <c r="AN208" s="117" t="n"/>
    </row>
    <row r="209">
      <c r="AM209" s="117" t="n"/>
      <c r="AN209" s="117" t="n"/>
    </row>
    <row r="210">
      <c r="AM210" s="117" t="n"/>
      <c r="AN210" s="117" t="n"/>
    </row>
    <row r="211">
      <c r="AM211" s="117" t="n"/>
      <c r="AN211" s="117" t="n"/>
    </row>
    <row r="212">
      <c r="AM212" s="117" t="n"/>
      <c r="AN212" s="117" t="n"/>
    </row>
    <row r="213">
      <c r="AM213" s="117" t="n"/>
      <c r="AN213" s="117" t="n"/>
    </row>
    <row r="214">
      <c r="AM214" s="117" t="n"/>
      <c r="AN214" s="117" t="n"/>
    </row>
    <row r="215">
      <c r="AM215" s="117" t="n"/>
      <c r="AN215" s="117" t="n"/>
    </row>
    <row r="216">
      <c r="AM216" s="117" t="n"/>
      <c r="AN216" s="117" t="n"/>
    </row>
    <row r="217">
      <c r="AM217" s="117" t="n"/>
      <c r="AN217" s="117" t="n"/>
    </row>
    <row r="218">
      <c r="AM218" s="117" t="n"/>
      <c r="AN218" s="117" t="n"/>
    </row>
    <row r="219">
      <c r="AM219" s="117" t="n"/>
      <c r="AN219" s="117" t="n"/>
    </row>
    <row r="220">
      <c r="AM220" s="117" t="n"/>
      <c r="AN220" s="117" t="n"/>
    </row>
    <row r="221">
      <c r="AM221" s="117" t="n"/>
      <c r="AN221" s="117" t="n"/>
    </row>
    <row r="222">
      <c r="AM222" s="117" t="n"/>
      <c r="AN222" s="117" t="n"/>
    </row>
    <row r="223">
      <c r="AM223" s="117" t="n"/>
      <c r="AN223" s="117" t="n"/>
    </row>
    <row r="224">
      <c r="AM224" s="117" t="n"/>
      <c r="AN224" s="117" t="n"/>
    </row>
    <row r="225">
      <c r="AM225" s="117" t="n"/>
      <c r="AN225" s="117" t="n"/>
    </row>
    <row r="226">
      <c r="AM226" s="117" t="n"/>
      <c r="AN226" s="117" t="n"/>
    </row>
    <row r="227">
      <c r="AM227" s="117" t="n"/>
      <c r="AN227" s="117" t="n"/>
    </row>
    <row r="228">
      <c r="AM228" s="117" t="n"/>
      <c r="AN228" s="117" t="n"/>
    </row>
    <row r="229">
      <c r="AM229" s="117" t="n"/>
      <c r="AN229" s="117" t="n"/>
    </row>
    <row r="230">
      <c r="AM230" s="117" t="n"/>
      <c r="AN230" s="117" t="n"/>
    </row>
    <row r="231">
      <c r="AM231" s="117" t="n"/>
      <c r="AN231" s="117" t="n"/>
    </row>
    <row r="232">
      <c r="AM232" s="117" t="n"/>
      <c r="AN232" s="117" t="n"/>
    </row>
    <row r="233">
      <c r="AM233" s="117" t="n"/>
      <c r="AN233" s="117" t="n"/>
    </row>
    <row r="234">
      <c r="AM234" s="117" t="n"/>
      <c r="AN234" s="117" t="n"/>
    </row>
    <row r="235">
      <c r="AM235" s="117" t="n"/>
      <c r="AN235" s="117" t="n"/>
    </row>
    <row r="236">
      <c r="AM236" s="117" t="n"/>
      <c r="AN236" s="117" t="n"/>
    </row>
    <row r="237">
      <c r="AM237" s="117" t="n"/>
      <c r="AN237" s="117" t="n"/>
    </row>
    <row r="238">
      <c r="AM238" s="117" t="n"/>
      <c r="AN238" s="117" t="n"/>
    </row>
    <row r="239">
      <c r="AM239" s="117" t="n"/>
      <c r="AN239" s="117" t="n"/>
    </row>
    <row r="240">
      <c r="AM240" s="117" t="n"/>
      <c r="AN240" s="117" t="n"/>
    </row>
    <row r="241">
      <c r="AM241" s="117" t="n"/>
      <c r="AN241" s="117" t="n"/>
    </row>
    <row r="242">
      <c r="AM242" s="117" t="n"/>
      <c r="AN242" s="117" t="n"/>
    </row>
    <row r="243">
      <c r="AM243" s="117" t="n"/>
      <c r="AN243" s="117" t="n"/>
    </row>
    <row r="244">
      <c r="AM244" s="117" t="n"/>
      <c r="AN244" s="117" t="n"/>
    </row>
    <row r="245">
      <c r="AM245" s="117" t="n"/>
      <c r="AN245" s="117" t="n"/>
    </row>
    <row r="246">
      <c r="AM246" s="117" t="n"/>
      <c r="AN246" s="117" t="n"/>
    </row>
    <row r="247">
      <c r="AM247" s="117" t="n"/>
      <c r="AN247" s="117" t="n"/>
    </row>
    <row r="248">
      <c r="AM248" s="117" t="n"/>
      <c r="AN248" s="117" t="n"/>
    </row>
    <row r="249">
      <c r="AM249" s="117" t="n"/>
      <c r="AN249" s="117" t="n"/>
    </row>
    <row r="250">
      <c r="AM250" s="117" t="n"/>
      <c r="AN250" s="117" t="n"/>
    </row>
    <row r="251">
      <c r="AM251" s="117" t="n"/>
      <c r="AN251" s="117" t="n"/>
    </row>
    <row r="252">
      <c r="AM252" s="117" t="n"/>
      <c r="AN252" s="117" t="n"/>
    </row>
    <row r="253">
      <c r="AM253" s="117" t="n"/>
      <c r="AN253" s="117" t="n"/>
    </row>
    <row r="254">
      <c r="AM254" s="117" t="n"/>
      <c r="AN254" s="117" t="n"/>
    </row>
    <row r="255">
      <c r="AM255" s="117" t="n"/>
      <c r="AN255" s="117" t="n"/>
    </row>
    <row r="256">
      <c r="AM256" s="117" t="n"/>
      <c r="AN256" s="117" t="n"/>
    </row>
    <row r="257">
      <c r="AM257" s="117" t="n"/>
      <c r="AN257" s="117" t="n"/>
    </row>
    <row r="258">
      <c r="AM258" s="117" t="n"/>
      <c r="AN258" s="117" t="n"/>
    </row>
    <row r="259">
      <c r="AM259" s="117" t="n"/>
      <c r="AN259" s="117" t="n"/>
    </row>
    <row r="260">
      <c r="AM260" s="117" t="n"/>
      <c r="AN260" s="117" t="n"/>
    </row>
    <row r="261">
      <c r="AM261" s="117" t="n"/>
      <c r="AN261" s="117" t="n"/>
    </row>
    <row r="262">
      <c r="AM262" s="117" t="n"/>
      <c r="AN262" s="117" t="n"/>
    </row>
    <row r="263">
      <c r="AM263" s="117" t="n"/>
      <c r="AN263" s="117" t="n"/>
    </row>
    <row r="264">
      <c r="AM264" s="117" t="n"/>
      <c r="AN264" s="117" t="n"/>
    </row>
    <row r="265">
      <c r="AM265" s="117" t="n"/>
      <c r="AN265" s="117" t="n"/>
    </row>
    <row r="266">
      <c r="AM266" s="117" t="n"/>
      <c r="AN266" s="117" t="n"/>
    </row>
    <row r="267">
      <c r="AM267" s="117" t="n"/>
      <c r="AN267" s="117" t="n"/>
    </row>
    <row r="268">
      <c r="AM268" s="117" t="n"/>
      <c r="AN268" s="117" t="n"/>
    </row>
    <row r="269">
      <c r="AM269" s="117" t="n"/>
      <c r="AN269" s="117" t="n"/>
    </row>
    <row r="270">
      <c r="AM270" s="117" t="n"/>
      <c r="AN270" s="117" t="n"/>
    </row>
    <row r="271">
      <c r="AM271" s="117" t="n"/>
      <c r="AN271" s="117" t="n"/>
    </row>
    <row r="272">
      <c r="AM272" s="117" t="n"/>
      <c r="AN272" s="117" t="n"/>
    </row>
    <row r="273">
      <c r="AM273" s="117" t="n"/>
      <c r="AN273" s="117" t="n"/>
    </row>
    <row r="274">
      <c r="AM274" s="117" t="n"/>
      <c r="AN274" s="117" t="n"/>
    </row>
    <row r="275">
      <c r="AM275" s="117" t="n"/>
      <c r="AN275" s="117" t="n"/>
    </row>
    <row r="276">
      <c r="AM276" s="117" t="n"/>
      <c r="AN276" s="117" t="n"/>
    </row>
    <row r="277">
      <c r="AM277" s="117" t="n"/>
      <c r="AN277" s="117" t="n"/>
    </row>
    <row r="278">
      <c r="AM278" s="117" t="n"/>
      <c r="AN278" s="117" t="n"/>
    </row>
    <row r="279">
      <c r="AM279" s="117" t="n"/>
      <c r="AN279" s="117" t="n"/>
    </row>
    <row r="280">
      <c r="AM280" s="117" t="n"/>
      <c r="AN280" s="117" t="n"/>
    </row>
    <row r="281">
      <c r="AM281" s="117" t="n"/>
      <c r="AN281" s="117" t="n"/>
    </row>
    <row r="282">
      <c r="AM282" s="117" t="n"/>
      <c r="AN282" s="117" t="n"/>
    </row>
    <row r="283">
      <c r="AM283" s="117" t="n"/>
      <c r="AN283" s="117" t="n"/>
    </row>
    <row r="284">
      <c r="AM284" s="117" t="n"/>
      <c r="AN284" s="117" t="n"/>
    </row>
    <row r="285">
      <c r="AM285" s="117" t="n"/>
      <c r="AN285" s="117" t="n"/>
    </row>
    <row r="286">
      <c r="AM286" s="117" t="n"/>
      <c r="AN286" s="117" t="n"/>
    </row>
    <row r="287">
      <c r="AM287" s="117" t="n"/>
      <c r="AN287" s="117" t="n"/>
    </row>
    <row r="288">
      <c r="AM288" s="117" t="n"/>
      <c r="AN288" s="117" t="n"/>
    </row>
    <row r="289">
      <c r="AM289" s="117" t="n"/>
      <c r="AN289" s="117" t="n"/>
    </row>
    <row r="290">
      <c r="AM290" s="117" t="n"/>
      <c r="AN290" s="117" t="n"/>
    </row>
    <row r="291">
      <c r="AM291" s="117" t="n"/>
      <c r="AN291" s="117" t="n"/>
    </row>
    <row r="292">
      <c r="AM292" s="117" t="n"/>
      <c r="AN292" s="117" t="n"/>
    </row>
    <row r="293">
      <c r="AM293" s="117" t="n"/>
      <c r="AN293" s="117" t="n"/>
    </row>
    <row r="294">
      <c r="AM294" s="117" t="n"/>
      <c r="AN294" s="117" t="n"/>
    </row>
    <row r="295">
      <c r="AM295" s="117" t="n"/>
      <c r="AN295" s="117" t="n"/>
    </row>
    <row r="296">
      <c r="AM296" s="117" t="n"/>
      <c r="AN296" s="117" t="n"/>
    </row>
    <row r="297">
      <c r="AM297" s="117" t="n"/>
      <c r="AN297" s="117" t="n"/>
    </row>
    <row r="298">
      <c r="AM298" s="117" t="n"/>
      <c r="AN298" s="117" t="n"/>
    </row>
    <row r="299">
      <c r="AM299" s="117" t="n"/>
      <c r="AN299" s="117" t="n"/>
    </row>
    <row r="300">
      <c r="AM300" s="117" t="n"/>
      <c r="AN300" s="117" t="n"/>
    </row>
    <row r="301">
      <c r="AM301" s="117" t="n"/>
      <c r="AN301" s="117" t="n"/>
    </row>
    <row r="302">
      <c r="AM302" s="117" t="n"/>
      <c r="AN302" s="117" t="n"/>
    </row>
    <row r="303">
      <c r="AM303" s="117" t="n"/>
      <c r="AN303" s="117" t="n"/>
    </row>
  </sheetData>
  <pageMargins left="0.7" right="0.7" top="0.75" bottom="0.75" header="0.3" footer="0.3"/>
  <pageSetup orientation="portrait"/>
</worksheet>
</file>

<file path=xl/worksheets/sheet5.xml><?xml version="1.0" encoding="utf-8"?>
<worksheet xmlns="http://schemas.openxmlformats.org/spreadsheetml/2006/main">
  <sheetPr codeName="wrk_DStats_EX1">
    <outlinePr summaryBelow="1" summaryRight="1"/>
    <pageSetUpPr/>
  </sheetPr>
  <dimension ref="A1:AZ303"/>
  <sheetViews>
    <sheetView showGridLines="0" workbookViewId="0">
      <selection activeCell="A1" sqref="A1"/>
    </sheetView>
  </sheetViews>
  <sheetFormatPr baseColWidth="8" defaultColWidth="8.77734375" defaultRowHeight="14.4"/>
  <cols>
    <col width="20.6640625" customWidth="1" min="2" max="2"/>
    <col width="2.6640625" customWidth="1" min="3" max="3"/>
    <col width="15.6640625" customWidth="1" min="4" max="8"/>
    <col width="2.6640625" customWidth="1" min="9" max="9"/>
    <col width="15.6640625" customWidth="1" min="10" max="14"/>
    <col width="2.6640625" customWidth="1" min="15" max="15"/>
    <col width="15.6640625" customWidth="1" min="16" max="20"/>
    <col width="2.6640625" customWidth="1" min="21" max="21"/>
    <col width="15.6640625" customWidth="1" min="22" max="26"/>
    <col width="2.6640625" customWidth="1" min="27" max="27"/>
    <col width="8.6640625" customWidth="1" min="31" max="31"/>
    <col width="37.44140625" customWidth="1" min="32" max="32"/>
    <col width="46.6640625" bestFit="1" customWidth="1" min="33" max="33"/>
    <col width="15.6640625" customWidth="1" min="34" max="35"/>
    <col width="5.6640625" customWidth="1" min="36" max="36"/>
    <col width="8.6640625" customWidth="1" min="37" max="37"/>
    <col width="36.6640625" customWidth="1" min="38" max="38"/>
    <col width="46.6640625" customWidth="1" min="39" max="39"/>
    <col width="15.6640625" customWidth="1" min="40" max="40"/>
    <col width="5.6640625" customWidth="1" min="41" max="41"/>
    <col width="8.6640625" customWidth="1" min="42" max="42"/>
    <col width="30.6640625" customWidth="1" min="43" max="44"/>
    <col width="12.6640625" customWidth="1" min="45" max="47"/>
    <col width="15.6640625" customWidth="1" min="49" max="54"/>
  </cols>
  <sheetData>
    <row r="1" hidden="1"/>
    <row r="2" hidden="1"/>
    <row r="3" hidden="1"/>
    <row r="4" hidden="1"/>
    <row r="5" hidden="1"/>
    <row r="6" hidden="1"/>
    <row r="7" hidden="1"/>
    <row r="8" hidden="1"/>
    <row r="9" hidden="1"/>
    <row r="10" hidden="1"/>
    <row r="11" hidden="1"/>
    <row r="12" hidden="1"/>
    <row r="13" hidden="1"/>
    <row r="14" ht="15" customHeight="1" thickBot="1"/>
    <row r="15" ht="18.6" customHeight="1" thickBot="1">
      <c r="B15" s="1" t="n"/>
      <c r="C15" s="2" t="n"/>
      <c r="D15" s="114" t="inlineStr">
        <is>
          <t>RxAdvance HTA Groups Rebate1 - M003</t>
        </is>
      </c>
      <c r="E15" s="2" t="n"/>
      <c r="F15" s="2" t="n"/>
      <c r="G15" s="2" t="n"/>
      <c r="H15" s="2" t="n"/>
      <c r="I15" s="2" t="n"/>
      <c r="J15" s="2" t="n"/>
      <c r="K15" s="2" t="n"/>
      <c r="L15" s="2" t="n"/>
      <c r="M15" s="2" t="n"/>
      <c r="N15" s="2" t="n"/>
      <c r="O15" s="2" t="n"/>
      <c r="P15" s="2" t="n"/>
      <c r="Q15" s="2" t="n"/>
      <c r="R15" s="2" t="n"/>
      <c r="S15" s="2" t="n"/>
      <c r="T15" s="2" t="n"/>
      <c r="U15" s="2" t="n"/>
      <c r="V15" s="2" t="n"/>
      <c r="W15" s="2" t="n"/>
      <c r="X15" s="2" t="n"/>
      <c r="Y15" s="2" t="n"/>
      <c r="Z15" s="2" t="n"/>
      <c r="AA15" s="2" t="n"/>
      <c r="AB15" s="2" t="n"/>
      <c r="AC15" s="2" t="n"/>
      <c r="AD15" s="2" t="n"/>
      <c r="AE15" s="2" t="n"/>
      <c r="AF15" s="2" t="n"/>
      <c r="AG15" s="2" t="n"/>
      <c r="AH15" s="2" t="n"/>
      <c r="AI15" s="2" t="n"/>
      <c r="AJ15" s="2" t="n"/>
      <c r="AK15" s="2" t="n"/>
      <c r="AL15" s="2" t="n"/>
      <c r="AM15" s="2" t="n"/>
      <c r="AN15" s="3" t="n"/>
    </row>
    <row r="16" ht="15" customHeight="1" thickBot="1"/>
    <row r="17" ht="15" customHeight="1" thickBot="1">
      <c r="B17" s="4" t="n"/>
      <c r="C17" s="4" t="inlineStr">
        <is>
          <t>Start Date:</t>
        </is>
      </c>
      <c r="D17" s="115" t="inlineStr">
        <is>
          <t>01/01/2025</t>
        </is>
      </c>
      <c r="AD17" s="4" t="n"/>
      <c r="AE17" s="4" t="n"/>
      <c r="AF17" s="6" t="n">
        <v>2031</v>
      </c>
    </row>
    <row r="18">
      <c r="B18" s="4" t="n"/>
      <c r="C18" s="4" t="inlineStr">
        <is>
          <t>End Date:</t>
        </is>
      </c>
      <c r="D18" s="116" t="inlineStr">
        <is>
          <t>11/30/2025</t>
        </is>
      </c>
      <c r="AJ18" s="117" t="n"/>
    </row>
    <row r="19" ht="15" customHeight="1" thickBot="1">
      <c r="B19" s="4" t="n"/>
      <c r="C19" s="4" t="inlineStr">
        <is>
          <t>Total Months:</t>
        </is>
      </c>
      <c r="D19" s="9" t="n">
        <v>11</v>
      </c>
    </row>
    <row r="20" ht="15" customHeight="1" thickBot="1"/>
    <row r="21" ht="15" customHeight="1" thickBot="1">
      <c r="B21" s="10" t="n"/>
      <c r="C21" s="10" t="n"/>
      <c r="D21" s="11" t="inlineStr">
        <is>
          <t xml:space="preserve">Base Yr Claims </t>
        </is>
      </c>
      <c r="E21" s="12" t="n"/>
      <c r="F21" s="12" t="n"/>
      <c r="G21" s="13" t="n"/>
      <c r="H21" s="14" t="n"/>
      <c r="AE21" s="11" t="inlineStr">
        <is>
          <t>Forecast based on time period: 2031</t>
        </is>
      </c>
      <c r="AF21" s="12" t="n"/>
      <c r="AG21" s="12" t="n"/>
      <c r="AH21" s="12" t="n"/>
      <c r="AI21" s="12" t="n"/>
      <c r="AJ21" s="12" t="n"/>
      <c r="AK21" s="12" t="n"/>
      <c r="AL21" s="12" t="n"/>
      <c r="AM21" s="15" t="n"/>
      <c r="AN21" s="15" t="n"/>
    </row>
    <row r="22" ht="15" customHeight="1" thickBot="1">
      <c r="B22" s="10" t="n"/>
      <c r="C22" s="10" t="n"/>
      <c r="D22" s="16" t="n"/>
      <c r="E22" s="16" t="n"/>
      <c r="F22" s="16" t="n"/>
      <c r="G22" s="17" t="n"/>
      <c r="H22" s="18" t="n"/>
    </row>
    <row r="23" ht="15" customHeight="1" thickBot="1">
      <c r="B23" s="19" t="n"/>
      <c r="C23" s="10" t="n"/>
      <c r="D23" s="20" t="inlineStr">
        <is>
          <t>w Exclusions</t>
        </is>
      </c>
      <c r="E23" s="21" t="n"/>
      <c r="F23" s="21" t="n"/>
      <c r="G23" s="21" t="n"/>
      <c r="H23" s="22" t="n"/>
      <c r="AE23" s="20" t="inlineStr">
        <is>
          <t>Overall - Rebatable</t>
        </is>
      </c>
      <c r="AF23" s="21" t="n"/>
      <c r="AG23" s="21" t="n"/>
      <c r="AH23" s="23" t="n"/>
      <c r="AI23" s="23" t="n"/>
      <c r="AK23" s="24" t="inlineStr">
        <is>
          <t>Overall - Non Rebatable (Brand Only)</t>
        </is>
      </c>
      <c r="AL23" s="25" t="n"/>
      <c r="AM23" s="25" t="n"/>
      <c r="AN23" s="26" t="n"/>
    </row>
    <row r="24" ht="30.3" customHeight="1" thickBot="1">
      <c r="B24" s="27" t="inlineStr">
        <is>
          <t>Brand</t>
        </is>
      </c>
      <c r="C24" s="10" t="n"/>
      <c r="D24" s="28" t="inlineStr">
        <is>
          <t>Rx Count</t>
        </is>
      </c>
      <c r="E24" s="29" t="inlineStr">
        <is>
          <t>Quantity</t>
        </is>
      </c>
      <c r="F24" s="29" t="inlineStr">
        <is>
          <t>Days Supply</t>
        </is>
      </c>
      <c r="G24" s="29" t="inlineStr">
        <is>
          <t>Avg Qnty</t>
        </is>
      </c>
      <c r="H24" s="30" t="inlineStr">
        <is>
          <t>Avg DS</t>
        </is>
      </c>
      <c r="I24" s="31" t="n"/>
      <c r="J24" s="31" t="n"/>
      <c r="K24" s="31" t="n"/>
      <c r="L24" s="31" t="n"/>
      <c r="M24" s="31" t="n"/>
      <c r="N24" s="31" t="n"/>
      <c r="O24" s="31" t="n"/>
      <c r="P24" s="31" t="n"/>
      <c r="Q24" s="31" t="n"/>
      <c r="R24" s="31" t="n"/>
      <c r="S24" s="31" t="n"/>
      <c r="T24" s="31" t="n"/>
      <c r="U24" s="31" t="n"/>
      <c r="V24" s="31" t="n"/>
      <c r="W24" s="31" t="n"/>
      <c r="X24" s="31" t="n"/>
      <c r="Y24" s="31" t="n"/>
      <c r="Z24" s="31" t="n"/>
      <c r="AA24" s="31" t="n"/>
      <c r="AE24" s="32" t="inlineStr">
        <is>
          <t>Rank</t>
        </is>
      </c>
      <c r="AF24" s="33" t="inlineStr">
        <is>
          <t>Drug Name</t>
        </is>
      </c>
      <c r="AG24" s="33" t="inlineStr">
        <is>
          <t>Therapeutic Class</t>
        </is>
      </c>
      <c r="AH24" s="33" t="inlineStr">
        <is>
          <t>Total Rebates</t>
        </is>
      </c>
      <c r="AI24" s="34" t="inlineStr">
        <is>
          <t>Scripts</t>
        </is>
      </c>
      <c r="AK24" s="35" t="inlineStr">
        <is>
          <t>Rank</t>
        </is>
      </c>
      <c r="AL24" s="36" t="inlineStr">
        <is>
          <t>Drug Name</t>
        </is>
      </c>
      <c r="AM24" s="36" t="inlineStr">
        <is>
          <t>Therapeutic Class</t>
        </is>
      </c>
      <c r="AN24" s="37" t="inlineStr">
        <is>
          <t>Scripts</t>
        </is>
      </c>
    </row>
    <row r="25">
      <c r="B25" s="38" t="inlineStr">
        <is>
          <t>Retail 30</t>
        </is>
      </c>
      <c r="C25" s="10" t="n"/>
      <c r="D25" s="39" t="n">
        <v>44407</v>
      </c>
      <c r="E25" s="40" t="n">
        <v>1305880.3</v>
      </c>
      <c r="F25" s="40" t="n">
        <v>1071061</v>
      </c>
      <c r="G25" s="41" t="n">
        <v>29.40708221676763</v>
      </c>
      <c r="H25" s="42" t="n">
        <v>24.11919292003513</v>
      </c>
      <c r="I25" s="31" t="n"/>
      <c r="J25" s="31" t="n"/>
      <c r="K25" s="31" t="n"/>
      <c r="L25" s="31" t="n"/>
      <c r="M25" s="31" t="n"/>
      <c r="N25" s="31" t="n"/>
      <c r="O25" s="31" t="n"/>
      <c r="P25" s="31" t="n"/>
      <c r="Q25" s="31" t="n"/>
      <c r="R25" s="31" t="n"/>
      <c r="S25" s="31" t="n"/>
      <c r="T25" s="31" t="n"/>
      <c r="U25" s="31" t="n"/>
      <c r="V25" s="31" t="n"/>
      <c r="W25" s="31" t="n"/>
      <c r="X25" s="31" t="n"/>
      <c r="Y25" s="31" t="n"/>
      <c r="Z25" s="31" t="n"/>
      <c r="AA25" s="31" t="n"/>
      <c r="AE25" s="118" t="n">
        <v>1</v>
      </c>
      <c r="AF25" s="44" t="inlineStr">
        <is>
          <t>MOUNJARO</t>
        </is>
      </c>
      <c r="AG25" s="44" t="inlineStr">
        <is>
          <t>GLUCAGON-LIKE PEPTIDE-1 AGONISTS (GLP1)</t>
        </is>
      </c>
      <c r="AH25" s="119" t="n">
        <v>11834823.69873812</v>
      </c>
      <c r="AI25" s="46" t="n">
        <v>15323.44213046236</v>
      </c>
      <c r="AK25" s="120" t="n">
        <v>1</v>
      </c>
      <c r="AL25" s="44" t="inlineStr">
        <is>
          <t>OZEMPIC</t>
        </is>
      </c>
      <c r="AM25" s="44" t="inlineStr">
        <is>
          <t>GLUCAGON-LIKE PEPTIDE-1 AGONISTS (GLP1)</t>
        </is>
      </c>
      <c r="AN25" s="48" t="n">
        <v>6400.878399601575</v>
      </c>
    </row>
    <row r="26">
      <c r="B26" s="49" t="inlineStr">
        <is>
          <t>Retail 90</t>
        </is>
      </c>
      <c r="C26" s="10" t="n"/>
      <c r="D26" s="50" t="n">
        <v>17744</v>
      </c>
      <c r="E26" s="51" t="n">
        <v>1740177.99</v>
      </c>
      <c r="F26" s="51" t="n">
        <v>1314049</v>
      </c>
      <c r="G26" s="52" t="n">
        <v>98.07134749774572</v>
      </c>
      <c r="H26" s="53" t="n">
        <v>74.05596257889991</v>
      </c>
      <c r="I26" s="31" t="n"/>
      <c r="J26" s="31" t="n"/>
      <c r="K26" s="31" t="n"/>
      <c r="L26" s="31" t="n"/>
      <c r="M26" s="31" t="n"/>
      <c r="N26" s="31" t="n"/>
      <c r="O26" s="31" t="n"/>
      <c r="P26" s="31" t="n"/>
      <c r="Q26" s="31" t="n"/>
      <c r="R26" s="31" t="n"/>
      <c r="S26" s="31" t="n"/>
      <c r="T26" s="31" t="n"/>
      <c r="U26" s="31" t="n"/>
      <c r="V26" s="31" t="n"/>
      <c r="W26" s="31" t="n"/>
      <c r="X26" s="31" t="n"/>
      <c r="Y26" s="31" t="n"/>
      <c r="Z26" s="31" t="n"/>
      <c r="AA26" s="31" t="n"/>
      <c r="AE26" s="121" t="n">
        <v>2</v>
      </c>
      <c r="AF26" t="inlineStr">
        <is>
          <t>TRULICITY</t>
        </is>
      </c>
      <c r="AG26" t="inlineStr">
        <is>
          <t>GLUCAGON-LIKE PEPTIDE-1 AGONISTS (GLP1)</t>
        </is>
      </c>
      <c r="AH26" s="122" t="n">
        <v>951956.7819181823</v>
      </c>
      <c r="AI26" s="56" t="n">
        <v>1266.912187031183</v>
      </c>
      <c r="AK26" s="123" t="n">
        <v>2</v>
      </c>
      <c r="AL26" t="inlineStr">
        <is>
          <t>JARDIANCE</t>
        </is>
      </c>
      <c r="AM26" t="inlineStr">
        <is>
          <t>SGLT-2 INHIBITORS &amp; COMBOS</t>
        </is>
      </c>
      <c r="AN26" s="58" t="n">
        <v>12121.65680199489</v>
      </c>
    </row>
    <row r="27" ht="15" customHeight="1" thickBot="1">
      <c r="B27" s="59" t="inlineStr">
        <is>
          <t>Mail</t>
        </is>
      </c>
      <c r="C27" s="10" t="n"/>
      <c r="D27" s="60" t="n">
        <v>304</v>
      </c>
      <c r="E27" s="61" t="n">
        <v>35974</v>
      </c>
      <c r="F27" s="61" t="n">
        <v>26733</v>
      </c>
      <c r="G27" s="62" t="n">
        <v>118.3355263157895</v>
      </c>
      <c r="H27" s="63" t="n">
        <v>87.9375</v>
      </c>
      <c r="I27" s="31" t="n"/>
      <c r="J27" s="31" t="n"/>
      <c r="K27" s="31" t="n"/>
      <c r="L27" s="31" t="n"/>
      <c r="M27" s="31" t="n"/>
      <c r="N27" s="31" t="n"/>
      <c r="O27" s="31" t="n"/>
      <c r="P27" s="31" t="n"/>
      <c r="Q27" s="31" t="n"/>
      <c r="R27" s="31" t="n"/>
      <c r="S27" s="31" t="n"/>
      <c r="T27" s="31" t="n"/>
      <c r="U27" s="31" t="n"/>
      <c r="V27" s="31" t="n"/>
      <c r="W27" s="31" t="n"/>
      <c r="X27" s="31" t="n"/>
      <c r="Y27" s="31" t="n"/>
      <c r="Z27" s="31" t="n"/>
      <c r="AA27" s="31" t="n"/>
      <c r="AE27" s="121" t="n">
        <v>3</v>
      </c>
      <c r="AF27" t="inlineStr">
        <is>
          <t>BREZTRI AEROSPHERE</t>
        </is>
      </c>
      <c r="AG27" t="inlineStr">
        <is>
          <t>LABA LAMA COMBO</t>
        </is>
      </c>
      <c r="AH27" s="122" t="n">
        <v>927715.9499239337</v>
      </c>
      <c r="AI27" s="56" t="n">
        <v>1581.834704123797</v>
      </c>
      <c r="AK27" s="123" t="n">
        <v>3</v>
      </c>
      <c r="AL27" t="inlineStr">
        <is>
          <t>TRELEGY ELLIPTA</t>
        </is>
      </c>
      <c r="AM27" t="inlineStr">
        <is>
          <t>LABA LAMA COMBO</t>
        </is>
      </c>
      <c r="AN27" s="58" t="n">
        <v>2123.769925465233</v>
      </c>
    </row>
    <row r="28" ht="15" customHeight="1" thickTop="1">
      <c r="B28" s="64" t="inlineStr">
        <is>
          <t>Non-Specialty</t>
        </is>
      </c>
      <c r="C28" s="10" t="n"/>
      <c r="D28" s="65" t="n">
        <v>62455</v>
      </c>
      <c r="E28" s="66" t="n">
        <v>3082032.29</v>
      </c>
      <c r="F28" s="66" t="n">
        <v>2411843</v>
      </c>
      <c r="G28" s="67" t="n">
        <v>49.34804723400849</v>
      </c>
      <c r="H28" s="68" t="n">
        <v>38.61729245056441</v>
      </c>
      <c r="I28" s="31" t="n"/>
      <c r="J28" s="31" t="n"/>
      <c r="K28" s="31" t="n"/>
      <c r="L28" s="31" t="n"/>
      <c r="M28" s="31" t="n"/>
      <c r="N28" s="31" t="n"/>
      <c r="O28" s="31" t="n"/>
      <c r="P28" s="31" t="n"/>
      <c r="Q28" s="31" t="n"/>
      <c r="R28" s="31" t="n"/>
      <c r="S28" s="31" t="n"/>
      <c r="T28" s="31" t="n"/>
      <c r="U28" s="31" t="n"/>
      <c r="V28" s="31" t="n"/>
      <c r="W28" s="31" t="n"/>
      <c r="X28" s="31" t="n"/>
      <c r="Y28" s="31" t="n"/>
      <c r="Z28" s="31" t="n"/>
      <c r="AA28" s="31" t="n"/>
      <c r="AE28" s="121" t="n">
        <v>4</v>
      </c>
      <c r="AF28" t="inlineStr">
        <is>
          <t>GEMTESA</t>
        </is>
      </c>
      <c r="AG28" t="inlineStr">
        <is>
          <t>URINARY ANTISPASMODICS &amp; OAB DRUGS</t>
        </is>
      </c>
      <c r="AH28" s="122" t="n">
        <v>487821.5139308685</v>
      </c>
      <c r="AI28" s="56" t="n">
        <v>742.7981951113784</v>
      </c>
      <c r="AK28" s="123" t="n">
        <v>4</v>
      </c>
      <c r="AL28" t="inlineStr">
        <is>
          <t>RYBELSUS</t>
        </is>
      </c>
      <c r="AM28" t="inlineStr">
        <is>
          <t>GLUCAGON-LIKE PEPTIDE-1 AGONISTS (GLP1)</t>
        </is>
      </c>
      <c r="AN28" s="58" t="n">
        <v>1104.313831476379</v>
      </c>
    </row>
    <row r="29" ht="15" customHeight="1" thickBot="1">
      <c r="B29" s="59" t="inlineStr">
        <is>
          <t>Specialty</t>
        </is>
      </c>
      <c r="C29" s="10" t="n"/>
      <c r="D29" s="60" t="n">
        <v>485</v>
      </c>
      <c r="E29" s="61" t="n">
        <v>18752</v>
      </c>
      <c r="F29" s="61" t="n">
        <v>16264</v>
      </c>
      <c r="G29" s="62" t="n">
        <v>38.66391752577319</v>
      </c>
      <c r="H29" s="63" t="n">
        <v>33.5340206185567</v>
      </c>
      <c r="I29" s="31" t="n"/>
      <c r="J29" s="31" t="n"/>
      <c r="K29" s="31" t="n"/>
      <c r="L29" s="31" t="n"/>
      <c r="M29" s="31" t="n"/>
      <c r="N29" s="31" t="n"/>
      <c r="O29" s="31" t="n"/>
      <c r="P29" s="31" t="n"/>
      <c r="Q29" s="31" t="n"/>
      <c r="R29" s="31" t="n"/>
      <c r="S29" s="31" t="n"/>
      <c r="T29" s="31" t="n"/>
      <c r="U29" s="31" t="n"/>
      <c r="V29" s="31" t="n"/>
      <c r="W29" s="31" t="n"/>
      <c r="X29" s="31" t="n"/>
      <c r="Y29" s="31" t="n"/>
      <c r="Z29" s="31" t="n"/>
      <c r="AA29" s="31" t="n"/>
      <c r="AE29" s="121" t="n">
        <v>5</v>
      </c>
      <c r="AF29" t="inlineStr">
        <is>
          <t>CREON</t>
        </is>
      </c>
      <c r="AG29" t="inlineStr">
        <is>
          <t>DIGESTIVE ENZYMES</t>
        </is>
      </c>
      <c r="AH29" s="122" t="n">
        <v>272901.3316407847</v>
      </c>
      <c r="AI29" s="56" t="n">
        <v>224.4086305367263</v>
      </c>
      <c r="AK29" s="123" t="n">
        <v>5</v>
      </c>
      <c r="AL29" t="inlineStr">
        <is>
          <t>ENBREL SURECLICK</t>
        </is>
      </c>
      <c r="AM29" t="inlineStr">
        <is>
          <t>IMMUNOMODULATORS</t>
        </is>
      </c>
      <c r="AN29" s="58" t="n">
        <v>167.3638736803643</v>
      </c>
    </row>
    <row r="30" ht="15.6" customHeight="1" thickBot="1" thickTop="1">
      <c r="B30" s="69" t="inlineStr">
        <is>
          <t>Total</t>
        </is>
      </c>
      <c r="C30" s="10" t="n"/>
      <c r="D30" s="70" t="n">
        <v>62939.99999999999</v>
      </c>
      <c r="E30" s="71" t="n">
        <v>3100784.29</v>
      </c>
      <c r="F30" s="71" t="n">
        <v>2428107</v>
      </c>
      <c r="G30" s="72" t="n">
        <v>49.26571798538291</v>
      </c>
      <c r="H30" s="73" t="n">
        <v>38.57812202097236</v>
      </c>
      <c r="I30" s="31" t="n"/>
      <c r="J30" s="31" t="n"/>
      <c r="K30" s="31" t="n"/>
      <c r="L30" s="31" t="n"/>
      <c r="M30" s="31" t="n"/>
      <c r="N30" s="31" t="n"/>
      <c r="O30" s="31" t="n"/>
      <c r="P30" s="31" t="n"/>
      <c r="Q30" s="31" t="n"/>
      <c r="R30" s="31" t="n"/>
      <c r="S30" s="31" t="n"/>
      <c r="T30" s="31" t="n"/>
      <c r="U30" s="31" t="n"/>
      <c r="V30" s="31" t="n"/>
      <c r="W30" s="31" t="n"/>
      <c r="X30" s="31" t="n"/>
      <c r="Y30" s="31" t="n"/>
      <c r="Z30" s="31" t="n"/>
      <c r="AA30" s="31" t="n"/>
      <c r="AE30" s="121" t="n">
        <v>6</v>
      </c>
      <c r="AF30" t="inlineStr">
        <is>
          <t>EMGALITY</t>
        </is>
      </c>
      <c r="AG30" t="inlineStr">
        <is>
          <t>MIGRAINE PRODUCTS</t>
        </is>
      </c>
      <c r="AH30" s="122" t="n">
        <v>182595.928620907</v>
      </c>
      <c r="AI30" s="56" t="n">
        <v>299.1015846322352</v>
      </c>
      <c r="AK30" s="123" t="n">
        <v>6</v>
      </c>
      <c r="AL30" t="inlineStr">
        <is>
          <t>IBRANCE</t>
        </is>
      </c>
      <c r="AM30" t="inlineStr">
        <is>
          <t>ONCOLOGY</t>
        </is>
      </c>
      <c r="AN30" s="58" t="n">
        <v>38.5825427011052</v>
      </c>
    </row>
    <row r="31">
      <c r="B31" s="10" t="n"/>
      <c r="C31" s="10" t="n"/>
      <c r="D31" s="74" t="n"/>
      <c r="E31" s="74" t="n"/>
      <c r="F31" s="74" t="n"/>
      <c r="G31" s="75" t="n"/>
      <c r="H31" s="76" t="n"/>
      <c r="I31" s="31" t="n"/>
      <c r="J31" s="31" t="n"/>
      <c r="K31" s="31" t="n"/>
      <c r="L31" s="31" t="n"/>
      <c r="M31" s="31" t="n"/>
      <c r="N31" s="31" t="n"/>
      <c r="O31" s="31" t="n"/>
      <c r="P31" s="31" t="n"/>
      <c r="Q31" s="31" t="n"/>
      <c r="R31" s="31" t="n"/>
      <c r="S31" s="31" t="n"/>
      <c r="T31" s="31" t="n"/>
      <c r="U31" s="31" t="n"/>
      <c r="V31" s="31" t="n"/>
      <c r="W31" s="31" t="n"/>
      <c r="X31" s="31" t="n"/>
      <c r="Y31" s="31" t="n"/>
      <c r="Z31" s="31" t="n"/>
      <c r="AA31" s="31" t="n"/>
      <c r="AE31" s="121" t="n">
        <v>7</v>
      </c>
      <c r="AF31" t="inlineStr">
        <is>
          <t>ZENPEP</t>
        </is>
      </c>
      <c r="AG31" t="inlineStr">
        <is>
          <t>DIGESTIVE ENZYMES</t>
        </is>
      </c>
      <c r="AH31" s="122" t="n">
        <v>159886.4982688307</v>
      </c>
      <c r="AI31" s="56" t="n">
        <v>50.88335227286235</v>
      </c>
      <c r="AK31" s="123" t="n">
        <v>7</v>
      </c>
      <c r="AL31" t="inlineStr">
        <is>
          <t>FREESTYLE LIBRE 3 PLUS/SENSOR/GLUCOSE MONITORING SYSTEM</t>
        </is>
      </c>
      <c r="AM31" t="inlineStr">
        <is>
          <t>DIABETES MONITORING AND TESTING SUPPLIES</t>
        </is>
      </c>
      <c r="AN31" s="58" t="n">
        <v>2137.70516858632</v>
      </c>
      <c r="AW31" s="77" t="n"/>
      <c r="AX31" s="78" t="n"/>
      <c r="AY31" s="78" t="n"/>
      <c r="AZ31" s="78" t="n"/>
    </row>
    <row r="32" ht="15" customHeight="1" thickBot="1">
      <c r="B32" s="27" t="inlineStr">
        <is>
          <t>Generic</t>
        </is>
      </c>
      <c r="C32" s="10" t="n"/>
      <c r="D32" s="79" t="n"/>
      <c r="E32" s="79" t="n"/>
      <c r="F32" s="79" t="n"/>
      <c r="G32" s="79" t="n"/>
      <c r="H32" s="80" t="n"/>
      <c r="I32" s="31" t="n"/>
      <c r="J32" s="31" t="n"/>
      <c r="K32" s="31" t="n"/>
      <c r="L32" s="31" t="n"/>
      <c r="M32" s="31" t="n"/>
      <c r="N32" s="31" t="n"/>
      <c r="O32" s="31" t="n"/>
      <c r="P32" s="31" t="n"/>
      <c r="Q32" s="31" t="n"/>
      <c r="R32" s="31" t="n"/>
      <c r="S32" s="31" t="n"/>
      <c r="T32" s="31" t="n"/>
      <c r="U32" s="31" t="n"/>
      <c r="V32" s="31" t="n"/>
      <c r="W32" s="31" t="n"/>
      <c r="X32" s="31" t="n"/>
      <c r="Y32" s="31" t="n"/>
      <c r="Z32" s="31" t="n"/>
      <c r="AA32" s="31" t="n"/>
      <c r="AE32" s="121" t="n">
        <v>8</v>
      </c>
      <c r="AF32" t="inlineStr">
        <is>
          <t>OMNIPOD 5 DEXCOM G7G6 PODS (GEN 5)</t>
        </is>
      </c>
      <c r="AG32" t="inlineStr">
        <is>
          <t>INSULIN ADMINISTRATION SUPPLIES</t>
        </is>
      </c>
      <c r="AH32" s="122" t="n">
        <v>155595.1596430241</v>
      </c>
      <c r="AI32" s="56" t="n">
        <v>424.7448310607132</v>
      </c>
      <c r="AK32" s="123" t="n">
        <v>8</v>
      </c>
      <c r="AL32" t="inlineStr">
        <is>
          <t>AUSTEDO XR</t>
        </is>
      </c>
      <c r="AM32" t="inlineStr">
        <is>
          <t>MOVEMENT DISORDER DRUG THERAPY</t>
        </is>
      </c>
      <c r="AN32" s="58" t="n">
        <v>36.82479549314451</v>
      </c>
    </row>
    <row r="33">
      <c r="B33" s="38" t="inlineStr">
        <is>
          <t>Retail 30</t>
        </is>
      </c>
      <c r="C33" s="10" t="n"/>
      <c r="D33" s="39" t="n">
        <v>214100</v>
      </c>
      <c r="E33" s="40" t="n">
        <v>11823157.497</v>
      </c>
      <c r="F33" s="40" t="n">
        <v>5157527</v>
      </c>
      <c r="G33" s="41" t="n">
        <v>55.22259456795889</v>
      </c>
      <c r="H33" s="42" t="n">
        <v>24.08933675852406</v>
      </c>
      <c r="I33" s="31" t="n"/>
      <c r="J33" s="31" t="n"/>
      <c r="K33" s="31" t="n"/>
      <c r="L33" s="31" t="n"/>
      <c r="M33" s="31" t="n"/>
      <c r="N33" s="31" t="n"/>
      <c r="O33" s="31" t="n"/>
      <c r="P33" s="31" t="n"/>
      <c r="Q33" s="31" t="n"/>
      <c r="R33" s="31" t="n"/>
      <c r="S33" s="31" t="n"/>
      <c r="T33" s="31" t="n"/>
      <c r="U33" s="31" t="n"/>
      <c r="V33" s="31" t="n"/>
      <c r="W33" s="31" t="n"/>
      <c r="X33" s="31" t="n"/>
      <c r="Y33" s="31" t="n"/>
      <c r="Z33" s="31" t="n"/>
      <c r="AA33" s="31" t="n"/>
      <c r="AE33" s="121" t="n">
        <v>9</v>
      </c>
      <c r="AF33" t="inlineStr">
        <is>
          <t>PAXLOVID</t>
        </is>
      </c>
      <c r="AG33" t="inlineStr">
        <is>
          <t>MISC. ANTIVIRALS</t>
        </is>
      </c>
      <c r="AH33" s="122" t="n">
        <v>132144.4016893462</v>
      </c>
      <c r="AI33" s="56" t="n">
        <v>423.4029250633002</v>
      </c>
      <c r="AK33" s="123" t="n">
        <v>9</v>
      </c>
      <c r="AL33" t="inlineStr">
        <is>
          <t>IMBRUVICA</t>
        </is>
      </c>
      <c r="AM33" t="inlineStr">
        <is>
          <t>ONCOLOGY</t>
        </is>
      </c>
      <c r="AN33" s="58" t="n">
        <v>68.54133877780316</v>
      </c>
    </row>
    <row r="34">
      <c r="B34" s="49" t="inlineStr">
        <is>
          <t>Retail 90</t>
        </is>
      </c>
      <c r="C34" s="10" t="n"/>
      <c r="D34" s="50" t="n">
        <v>222830</v>
      </c>
      <c r="E34" s="51" t="n">
        <v>23377403.918</v>
      </c>
      <c r="F34" s="51" t="n">
        <v>19385429</v>
      </c>
      <c r="G34" s="52" t="n">
        <v>104.911384993044</v>
      </c>
      <c r="H34" s="53" t="n">
        <v>86.99649508593996</v>
      </c>
      <c r="I34" s="31" t="n"/>
      <c r="J34" s="31" t="n"/>
      <c r="K34" s="31" t="n"/>
      <c r="L34" s="31" t="n"/>
      <c r="M34" s="31" t="n"/>
      <c r="N34" s="31" t="n"/>
      <c r="O34" s="31" t="n"/>
      <c r="P34" s="31" t="n"/>
      <c r="Q34" s="31" t="n"/>
      <c r="R34" s="31" t="n"/>
      <c r="S34" s="31" t="n"/>
      <c r="T34" s="31" t="n"/>
      <c r="U34" s="31" t="n"/>
      <c r="V34" s="31" t="n"/>
      <c r="W34" s="31" t="n"/>
      <c r="X34" s="31" t="n"/>
      <c r="Y34" s="31" t="n"/>
      <c r="Z34" s="31" t="n"/>
      <c r="AA34" s="31" t="n"/>
      <c r="AE34" s="121" t="n">
        <v>10</v>
      </c>
      <c r="AF34" t="inlineStr">
        <is>
          <t>LOKELMA</t>
        </is>
      </c>
      <c r="AG34" t="inlineStr">
        <is>
          <t>POTASSIUM REMOVING AGENTS</t>
        </is>
      </c>
      <c r="AH34" s="122" t="n">
        <v>121130.6189115226</v>
      </c>
      <c r="AI34" s="56" t="n">
        <v>165.4086408833709</v>
      </c>
      <c r="AK34" s="123" t="n">
        <v>10</v>
      </c>
      <c r="AL34" t="inlineStr">
        <is>
          <t>OFEV</t>
        </is>
      </c>
      <c r="AM34" t="inlineStr">
        <is>
          <t>PULMONARY FIBROSIS AGENTS</t>
        </is>
      </c>
      <c r="AN34" s="58" t="n">
        <v>18.49955854622294</v>
      </c>
    </row>
    <row r="35" ht="15" customHeight="1" thickBot="1">
      <c r="B35" s="59" t="inlineStr">
        <is>
          <t>Mail</t>
        </is>
      </c>
      <c r="C35" s="10" t="n"/>
      <c r="D35" s="60" t="n">
        <v>3478</v>
      </c>
      <c r="E35" s="61" t="n">
        <v>403509.3</v>
      </c>
      <c r="F35" s="61" t="n">
        <v>308442</v>
      </c>
      <c r="G35" s="62" t="n">
        <v>116.0176250718804</v>
      </c>
      <c r="H35" s="63" t="n">
        <v>88.68372627947096</v>
      </c>
      <c r="I35" s="31" t="n"/>
      <c r="J35" s="31" t="n"/>
      <c r="K35" s="31" t="n"/>
      <c r="L35" s="31" t="n"/>
      <c r="M35" s="31" t="n"/>
      <c r="N35" s="31" t="n"/>
      <c r="O35" s="31" t="n"/>
      <c r="P35" s="31" t="n"/>
      <c r="Q35" s="31" t="n"/>
      <c r="R35" s="31" t="n"/>
      <c r="S35" s="31" t="n"/>
      <c r="T35" s="31" t="n"/>
      <c r="U35" s="31" t="n"/>
      <c r="V35" s="31" t="n"/>
      <c r="W35" s="31" t="n"/>
      <c r="X35" s="31" t="n"/>
      <c r="Y35" s="31" t="n"/>
      <c r="Z35" s="31" t="n"/>
      <c r="AA35" s="31" t="n"/>
      <c r="AE35" s="121" t="n">
        <v>11</v>
      </c>
      <c r="AF35" t="inlineStr">
        <is>
          <t>AIMOVIG</t>
        </is>
      </c>
      <c r="AG35" t="inlineStr">
        <is>
          <t>MIGRAINE PRODUCTS</t>
        </is>
      </c>
      <c r="AH35" s="122" t="n">
        <v>113833.5430222364</v>
      </c>
      <c r="AI35" s="56" t="n">
        <v>228.2162379852893</v>
      </c>
      <c r="AK35" s="123" t="n">
        <v>11</v>
      </c>
      <c r="AL35" t="inlineStr">
        <is>
          <t>XTANDI</t>
        </is>
      </c>
      <c r="AM35" t="inlineStr">
        <is>
          <t>ONCOLOGY</t>
        </is>
      </c>
      <c r="AN35" s="58" t="n">
        <v>34.08124605264292</v>
      </c>
    </row>
    <row r="36" ht="15" customHeight="1" thickTop="1">
      <c r="B36" s="64" t="inlineStr">
        <is>
          <t>Non-Specialty</t>
        </is>
      </c>
      <c r="C36" s="10" t="n"/>
      <c r="D36" s="65" t="n">
        <v>440408</v>
      </c>
      <c r="E36" s="66" t="n">
        <v>35604070.715</v>
      </c>
      <c r="F36" s="66" t="n">
        <v>24851398</v>
      </c>
      <c r="G36" s="67" t="n">
        <v>80.84337867386604</v>
      </c>
      <c r="H36" s="68" t="n">
        <v>56.42812573795208</v>
      </c>
      <c r="I36" s="31" t="n"/>
      <c r="J36" s="31" t="n"/>
      <c r="K36" s="31" t="n"/>
      <c r="L36" s="31" t="n"/>
      <c r="M36" s="31" t="n"/>
      <c r="N36" s="31" t="n"/>
      <c r="O36" s="31" t="n"/>
      <c r="P36" s="31" t="n"/>
      <c r="Q36" s="31" t="n"/>
      <c r="R36" s="31" t="n"/>
      <c r="S36" s="31" t="n"/>
      <c r="T36" s="31" t="n"/>
      <c r="U36" s="31" t="n"/>
      <c r="V36" s="31" t="n"/>
      <c r="W36" s="31" t="n"/>
      <c r="X36" s="31" t="n"/>
      <c r="Y36" s="31" t="n"/>
      <c r="Z36" s="31" t="n"/>
      <c r="AA36" s="31" t="n"/>
      <c r="AE36" s="121" t="n">
        <v>12</v>
      </c>
      <c r="AF36" t="inlineStr">
        <is>
          <t>QULIPTA</t>
        </is>
      </c>
      <c r="AG36" t="inlineStr">
        <is>
          <t>MIGRAINE PRODUCTS</t>
        </is>
      </c>
      <c r="AH36" s="122" t="n">
        <v>87234.24160123404</v>
      </c>
      <c r="AI36" s="56" t="n">
        <v>76.07207932842975</v>
      </c>
      <c r="AK36" s="123" t="n">
        <v>12</v>
      </c>
      <c r="AL36" t="inlineStr">
        <is>
          <t>FLUZONE HIGH-DOSE 2025-2026</t>
        </is>
      </c>
      <c r="AM36" t="inlineStr">
        <is>
          <t>VACCINES</t>
        </is>
      </c>
      <c r="AN36" s="58" t="n">
        <v>4351.050159570095</v>
      </c>
    </row>
    <row r="37" ht="15" customHeight="1" thickBot="1">
      <c r="B37" s="59" t="inlineStr">
        <is>
          <t>Specialty</t>
        </is>
      </c>
      <c r="C37" s="10" t="n"/>
      <c r="D37" s="60" t="n">
        <v>0</v>
      </c>
      <c r="E37" s="61" t="n">
        <v>0</v>
      </c>
      <c r="F37" s="61" t="n">
        <v>0</v>
      </c>
      <c r="G37" s="62" t="n">
        <v>0</v>
      </c>
      <c r="H37" s="63" t="n">
        <v>0</v>
      </c>
      <c r="I37" s="31" t="n"/>
      <c r="J37" s="31" t="n"/>
      <c r="K37" s="31" t="n"/>
      <c r="L37" s="31" t="n"/>
      <c r="M37" s="31" t="n"/>
      <c r="N37" s="31" t="n"/>
      <c r="O37" s="31" t="n"/>
      <c r="P37" s="31" t="n"/>
      <c r="Q37" s="31" t="n"/>
      <c r="R37" s="31" t="n"/>
      <c r="S37" s="31" t="n"/>
      <c r="T37" s="31" t="n"/>
      <c r="U37" s="31" t="n"/>
      <c r="V37" s="31" t="n"/>
      <c r="W37" s="31" t="n"/>
      <c r="X37" s="31" t="n"/>
      <c r="Y37" s="31" t="n"/>
      <c r="Z37" s="31" t="n"/>
      <c r="AA37" s="31" t="n"/>
      <c r="AE37" s="121" t="n">
        <v>13</v>
      </c>
      <c r="AF37" t="inlineStr">
        <is>
          <t>ROCKLATAN</t>
        </is>
      </c>
      <c r="AG37" t="inlineStr">
        <is>
          <t>OPHTHALMICS - RHO KINASE INHIBITOR &amp; COMBOS</t>
        </is>
      </c>
      <c r="AH37" s="122" t="n">
        <v>86247.72213164018</v>
      </c>
      <c r="AI37" s="56" t="n">
        <v>196.0281448252941</v>
      </c>
      <c r="AK37" s="123" t="n">
        <v>13</v>
      </c>
      <c r="AL37" t="inlineStr">
        <is>
          <t>SHINGRIX</t>
        </is>
      </c>
      <c r="AM37" t="inlineStr">
        <is>
          <t>VACCINES</t>
        </is>
      </c>
      <c r="AN37" s="58" t="n">
        <v>1311.698006540325</v>
      </c>
    </row>
    <row r="38" ht="15.6" customHeight="1" thickBot="1" thickTop="1">
      <c r="B38" s="69" t="inlineStr">
        <is>
          <t>Total</t>
        </is>
      </c>
      <c r="C38" s="10" t="n"/>
      <c r="D38" s="70" t="n">
        <v>440408</v>
      </c>
      <c r="E38" s="71" t="n">
        <v>35604070.715</v>
      </c>
      <c r="F38" s="71" t="n">
        <v>24851398</v>
      </c>
      <c r="G38" s="72" t="n">
        <v>80.84337867386606</v>
      </c>
      <c r="H38" s="73" t="n">
        <v>56.42812573795208</v>
      </c>
      <c r="I38" s="31" t="n"/>
      <c r="J38" s="31" t="n"/>
      <c r="K38" s="31" t="n"/>
      <c r="L38" s="31" t="n"/>
      <c r="M38" s="31" t="n"/>
      <c r="N38" s="31" t="n"/>
      <c r="O38" s="31" t="n"/>
      <c r="P38" s="31" t="n"/>
      <c r="Q38" s="31" t="n"/>
      <c r="R38" s="31" t="n"/>
      <c r="S38" s="31" t="n"/>
      <c r="T38" s="31" t="n"/>
      <c r="U38" s="31" t="n"/>
      <c r="V38" s="31" t="n"/>
      <c r="W38" s="31" t="n"/>
      <c r="X38" s="31" t="n"/>
      <c r="Y38" s="31" t="n"/>
      <c r="Z38" s="31" t="n"/>
      <c r="AA38" s="31" t="n"/>
      <c r="AE38" s="121" t="n">
        <v>14</v>
      </c>
      <c r="AF38" t="inlineStr">
        <is>
          <t>ANORO ELLIPTA</t>
        </is>
      </c>
      <c r="AG38" t="inlineStr">
        <is>
          <t>LABA LAMA COMBO</t>
        </is>
      </c>
      <c r="AH38" s="122" t="n">
        <v>72239.41645283032</v>
      </c>
      <c r="AI38" s="56" t="n">
        <v>247.7889289672761</v>
      </c>
      <c r="AK38" s="123" t="n">
        <v>14</v>
      </c>
      <c r="AL38" t="inlineStr">
        <is>
          <t>CALQUENCE</t>
        </is>
      </c>
      <c r="AM38" t="inlineStr">
        <is>
          <t>ONCOLOGY</t>
        </is>
      </c>
      <c r="AN38" s="58" t="n">
        <v>23.3663654924329</v>
      </c>
    </row>
    <row r="39">
      <c r="B39" s="10" t="n"/>
      <c r="C39" s="10" t="n"/>
      <c r="D39" s="74" t="n"/>
      <c r="E39" s="74" t="n"/>
      <c r="F39" s="74" t="n"/>
      <c r="G39" s="75" t="n"/>
      <c r="H39" s="76" t="n"/>
      <c r="I39" s="31" t="n"/>
      <c r="J39" s="31" t="n"/>
      <c r="K39" s="31" t="n"/>
      <c r="L39" s="31" t="n"/>
      <c r="M39" s="31" t="n"/>
      <c r="N39" s="31" t="n"/>
      <c r="O39" s="31" t="n"/>
      <c r="P39" s="31" t="n"/>
      <c r="Q39" s="31" t="n"/>
      <c r="R39" s="31" t="n"/>
      <c r="S39" s="31" t="n"/>
      <c r="T39" s="31" t="n"/>
      <c r="U39" s="31" t="n"/>
      <c r="V39" s="31" t="n"/>
      <c r="W39" s="31" t="n"/>
      <c r="X39" s="31" t="n"/>
      <c r="Y39" s="31" t="n"/>
      <c r="Z39" s="31" t="n"/>
      <c r="AA39" s="31" t="n"/>
      <c r="AE39" s="121" t="n">
        <v>15</v>
      </c>
      <c r="AF39" t="inlineStr">
        <is>
          <t>UBRELVY</t>
        </is>
      </c>
      <c r="AG39" t="inlineStr">
        <is>
          <t>MIGRAINE PRODUCTS</t>
        </is>
      </c>
      <c r="AH39" s="122" t="n">
        <v>71899.51337620853</v>
      </c>
      <c r="AI39" s="56" t="n">
        <v>67.42752485929</v>
      </c>
      <c r="AK39" s="123" t="n">
        <v>15</v>
      </c>
      <c r="AL39" t="inlineStr">
        <is>
          <t>STELARA</t>
        </is>
      </c>
      <c r="AM39" t="inlineStr">
        <is>
          <t>IMMUNOMODULATORS</t>
        </is>
      </c>
      <c r="AN39" s="58" t="n">
        <v>16.11652116922026</v>
      </c>
    </row>
    <row r="40" ht="15" customHeight="1" thickBot="1">
      <c r="B40" s="27" t="inlineStr">
        <is>
          <t>Total</t>
        </is>
      </c>
      <c r="C40" s="10" t="n"/>
      <c r="D40" s="79" t="n"/>
      <c r="E40" s="79" t="n"/>
      <c r="F40" s="79" t="n"/>
      <c r="G40" s="79" t="n"/>
      <c r="H40" s="80" t="n"/>
      <c r="I40" s="31" t="n"/>
      <c r="J40" s="31" t="n"/>
      <c r="K40" s="31" t="n"/>
      <c r="L40" s="31" t="n"/>
      <c r="M40" s="31" t="n"/>
      <c r="N40" s="31" t="n"/>
      <c r="O40" s="31" t="n"/>
      <c r="P40" s="31" t="n"/>
      <c r="Q40" s="31" t="n"/>
      <c r="R40" s="31" t="n"/>
      <c r="S40" s="31" t="n"/>
      <c r="T40" s="31" t="n"/>
      <c r="U40" s="31" t="n"/>
      <c r="V40" s="31" t="n"/>
      <c r="W40" s="31" t="n"/>
      <c r="X40" s="31" t="n"/>
      <c r="Y40" s="31" t="n"/>
      <c r="Z40" s="31" t="n"/>
      <c r="AA40" s="31" t="n"/>
      <c r="AE40" s="121" t="n">
        <v>16</v>
      </c>
      <c r="AF40" t="inlineStr">
        <is>
          <t>TOUJEO SOLOSTAR</t>
        </is>
      </c>
      <c r="AG40" t="inlineStr">
        <is>
          <t>BASAL INSULIN</t>
        </is>
      </c>
      <c r="AH40" s="122" t="n">
        <v>68744.44935207925</v>
      </c>
      <c r="AI40" s="56" t="n">
        <v>100.7014950759792</v>
      </c>
      <c r="AK40" s="123" t="n">
        <v>16</v>
      </c>
      <c r="AL40" t="inlineStr">
        <is>
          <t>ENBREL MINI</t>
        </is>
      </c>
      <c r="AM40" t="inlineStr">
        <is>
          <t>IMMUNOMODULATORS</t>
        </is>
      </c>
      <c r="AN40" s="58" t="n">
        <v>29.75357754317586</v>
      </c>
    </row>
    <row r="41">
      <c r="B41" s="38" t="inlineStr">
        <is>
          <t>Retail 30</t>
        </is>
      </c>
      <c r="C41" s="10" t="n"/>
      <c r="D41" s="39" t="n">
        <v>258507</v>
      </c>
      <c r="E41" s="40" t="n">
        <v>13129037.797</v>
      </c>
      <c r="F41" s="40" t="n">
        <v>6228588</v>
      </c>
      <c r="G41" s="41" t="n">
        <v>50.78793919313596</v>
      </c>
      <c r="H41" s="42" t="n">
        <v>24.09446552704569</v>
      </c>
      <c r="I41" s="31" t="n"/>
      <c r="J41" s="31" t="n"/>
      <c r="K41" s="31" t="n"/>
      <c r="L41" s="31" t="n"/>
      <c r="M41" s="31" t="n"/>
      <c r="N41" s="31" t="n"/>
      <c r="O41" s="31" t="n"/>
      <c r="P41" s="31" t="n"/>
      <c r="Q41" s="31" t="n"/>
      <c r="R41" s="31" t="n"/>
      <c r="S41" s="31" t="n"/>
      <c r="T41" s="31" t="n"/>
      <c r="U41" s="31" t="n"/>
      <c r="V41" s="31" t="n"/>
      <c r="W41" s="31" t="n"/>
      <c r="X41" s="31" t="n"/>
      <c r="Y41" s="31" t="n"/>
      <c r="Z41" s="31" t="n"/>
      <c r="AA41" s="31" t="n"/>
      <c r="AE41" s="121" t="n">
        <v>17</v>
      </c>
      <c r="AF41" t="inlineStr">
        <is>
          <t>TOUJEO MAX SOLOSTAR</t>
        </is>
      </c>
      <c r="AG41" t="inlineStr">
        <is>
          <t>BASAL INSULIN</t>
        </is>
      </c>
      <c r="AH41" s="122" t="n">
        <v>66969.5451954349</v>
      </c>
      <c r="AI41" s="56" t="n">
        <v>56.49108260359808</v>
      </c>
      <c r="AK41" s="123" t="n">
        <v>17</v>
      </c>
      <c r="AL41" t="inlineStr">
        <is>
          <t>OHTUVAYRE</t>
        </is>
      </c>
      <c r="AM41" t="inlineStr">
        <is>
          <t>PDE3 &amp; PDE4 INHIBITORS</t>
        </is>
      </c>
      <c r="AN41" s="58" t="n">
        <v>78.72315692131713</v>
      </c>
    </row>
    <row r="42">
      <c r="B42" s="49" t="inlineStr">
        <is>
          <t>Retail 90</t>
        </is>
      </c>
      <c r="C42" s="10" t="n"/>
      <c r="D42" s="50" t="n">
        <v>240574</v>
      </c>
      <c r="E42" s="51" t="n">
        <v>25117581.908</v>
      </c>
      <c r="F42" s="51" t="n">
        <v>20699478</v>
      </c>
      <c r="G42" s="52" t="n">
        <v>104.4068848171457</v>
      </c>
      <c r="H42" s="53" t="n">
        <v>86.04204111832534</v>
      </c>
      <c r="I42" s="31" t="n"/>
      <c r="J42" s="31" t="n"/>
      <c r="K42" s="31" t="n"/>
      <c r="L42" s="31" t="n"/>
      <c r="M42" s="31" t="n"/>
      <c r="N42" s="31" t="n"/>
      <c r="O42" s="31" t="n"/>
      <c r="P42" s="31" t="n"/>
      <c r="Q42" s="31" t="n"/>
      <c r="R42" s="31" t="n"/>
      <c r="S42" s="31" t="n"/>
      <c r="T42" s="31" t="n"/>
      <c r="U42" s="31" t="n"/>
      <c r="V42" s="31" t="n"/>
      <c r="W42" s="31" t="n"/>
      <c r="X42" s="31" t="n"/>
      <c r="Y42" s="31" t="n"/>
      <c r="Z42" s="31" t="n"/>
      <c r="AA42" s="31" t="n"/>
      <c r="AE42" s="121" t="n">
        <v>18</v>
      </c>
      <c r="AF42" t="inlineStr">
        <is>
          <t>XTAMPZA ER</t>
        </is>
      </c>
      <c r="AG42" t="inlineStr">
        <is>
          <t>OPIOID AGONISTS &amp; COMBOS</t>
        </is>
      </c>
      <c r="AH42" s="122" t="n">
        <v>57430.91729704559</v>
      </c>
      <c r="AI42" s="56" t="n">
        <v>124.0262843351125</v>
      </c>
      <c r="AK42" s="123" t="n">
        <v>18</v>
      </c>
      <c r="AL42" t="inlineStr">
        <is>
          <t>OTEZLA</t>
        </is>
      </c>
      <c r="AM42" t="inlineStr">
        <is>
          <t>IMMUNOMODULATORS</t>
        </is>
      </c>
      <c r="AN42" s="58" t="n">
        <v>36.48177056277952</v>
      </c>
    </row>
    <row r="43" ht="15" customHeight="1" thickBot="1">
      <c r="B43" s="59" t="inlineStr">
        <is>
          <t>Mail</t>
        </is>
      </c>
      <c r="C43" s="10" t="n"/>
      <c r="D43" s="60" t="n">
        <v>3782</v>
      </c>
      <c r="E43" s="61" t="n">
        <v>439483.3</v>
      </c>
      <c r="F43" s="61" t="n">
        <v>335175</v>
      </c>
      <c r="G43" s="62" t="n">
        <v>116.2039397144368</v>
      </c>
      <c r="H43" s="63" t="n">
        <v>88.62374405076679</v>
      </c>
      <c r="I43" s="31" t="n"/>
      <c r="J43" s="31" t="n"/>
      <c r="K43" s="31" t="n"/>
      <c r="L43" s="31" t="n"/>
      <c r="M43" s="31" t="n"/>
      <c r="N43" s="31" t="n"/>
      <c r="O43" s="31" t="n"/>
      <c r="P43" s="31" t="n"/>
      <c r="Q43" s="31" t="n"/>
      <c r="R43" s="31" t="n"/>
      <c r="S43" s="31" t="n"/>
      <c r="T43" s="31" t="n"/>
      <c r="U43" s="31" t="n"/>
      <c r="V43" s="31" t="n"/>
      <c r="W43" s="31" t="n"/>
      <c r="X43" s="31" t="n"/>
      <c r="Y43" s="31" t="n"/>
      <c r="Z43" s="31" t="n"/>
      <c r="AA43" s="31" t="n"/>
      <c r="AE43" s="121" t="n">
        <v>19</v>
      </c>
      <c r="AF43" t="inlineStr">
        <is>
          <t>OMNIPOD 5 LIBRE2 PLUS G6 PODS</t>
        </is>
      </c>
      <c r="AG43" t="inlineStr">
        <is>
          <t>INSULIN ADMINISTRATION SUPPLIES</t>
        </is>
      </c>
      <c r="AH43" s="122" t="n">
        <v>49291.33184786748</v>
      </c>
      <c r="AI43" s="56" t="n">
        <v>66.62664016638638</v>
      </c>
      <c r="AK43" s="123" t="n">
        <v>19</v>
      </c>
      <c r="AL43" t="inlineStr">
        <is>
          <t>NEXLIZET</t>
        </is>
      </c>
      <c r="AM43" t="inlineStr">
        <is>
          <t>ACL INHIBITORS &amp; COMBOS</t>
        </is>
      </c>
      <c r="AN43" s="58" t="n">
        <v>283.8769917863257</v>
      </c>
    </row>
    <row r="44" ht="15.6" customHeight="1" thickBot="1" thickTop="1">
      <c r="B44" s="64" t="inlineStr">
        <is>
          <t>Non-Specialty</t>
        </is>
      </c>
      <c r="C44" s="10" t="n"/>
      <c r="D44" s="65" t="n">
        <v>502863</v>
      </c>
      <c r="E44" s="66" t="n">
        <v>38686103.005</v>
      </c>
      <c r="F44" s="66" t="n">
        <v>27263241</v>
      </c>
      <c r="G44" s="67" t="n">
        <v>76.93169512372157</v>
      </c>
      <c r="H44" s="68" t="n">
        <v>54.21604094952303</v>
      </c>
      <c r="I44" s="31" t="n"/>
      <c r="J44" s="31" t="n"/>
      <c r="K44" s="31" t="n"/>
      <c r="L44" s="31" t="n"/>
      <c r="M44" s="31" t="n"/>
      <c r="N44" s="31" t="n"/>
      <c r="O44" s="31" t="n"/>
      <c r="P44" s="31" t="n"/>
      <c r="Q44" s="31" t="n"/>
      <c r="R44" s="31" t="n"/>
      <c r="S44" s="31" t="n"/>
      <c r="T44" s="31" t="n"/>
      <c r="U44" s="31" t="n"/>
      <c r="V44" s="31" t="n"/>
      <c r="W44" s="31" t="n"/>
      <c r="X44" s="31" t="n"/>
      <c r="Y44" s="31" t="n"/>
      <c r="Z44" s="31" t="n"/>
      <c r="AA44" s="31" t="n"/>
      <c r="AE44" s="124" t="n">
        <v>20</v>
      </c>
      <c r="AF44" s="82" t="inlineStr">
        <is>
          <t>SPIRIVA RESPIMAT</t>
        </is>
      </c>
      <c r="AG44" s="82" t="inlineStr">
        <is>
          <t>LAMA/ACH</t>
        </is>
      </c>
      <c r="AH44" s="125" t="n">
        <v>48816.44477828774</v>
      </c>
      <c r="AI44" s="84" t="n">
        <v>164.2623045529861</v>
      </c>
      <c r="AK44" s="126" t="n">
        <v>20</v>
      </c>
      <c r="AL44" s="86" t="inlineStr">
        <is>
          <t>PRIVIGEN</t>
        </is>
      </c>
      <c r="AM44" s="86" t="inlineStr">
        <is>
          <t>IMMUNE SERUMS</t>
        </is>
      </c>
      <c r="AN44" s="87" t="n">
        <v>18.85005562909335</v>
      </c>
    </row>
    <row r="45" ht="15" customHeight="1" thickBot="1">
      <c r="B45" s="59" t="inlineStr">
        <is>
          <t>Specialty</t>
        </is>
      </c>
      <c r="C45" s="10" t="n"/>
      <c r="D45" s="60" t="n">
        <v>485</v>
      </c>
      <c r="E45" s="61" t="n">
        <v>18752</v>
      </c>
      <c r="F45" s="61" t="n">
        <v>16264</v>
      </c>
      <c r="G45" s="62" t="n">
        <v>38.66391752577319</v>
      </c>
      <c r="H45" s="63" t="n">
        <v>33.5340206185567</v>
      </c>
      <c r="I45" s="31" t="n"/>
      <c r="J45" s="31" t="n"/>
      <c r="K45" s="31" t="n"/>
      <c r="L45" s="31" t="n"/>
      <c r="M45" s="31" t="n"/>
      <c r="N45" s="31" t="n"/>
      <c r="O45" s="31" t="n"/>
      <c r="P45" s="31" t="n"/>
      <c r="Q45" s="31" t="n"/>
      <c r="R45" s="31" t="n"/>
      <c r="S45" s="31" t="n"/>
      <c r="T45" s="31" t="n"/>
      <c r="U45" s="31" t="n"/>
      <c r="V45" s="31" t="n"/>
      <c r="W45" s="31" t="n"/>
      <c r="X45" s="31" t="n"/>
      <c r="Y45" s="31" t="n"/>
      <c r="Z45" s="31" t="n"/>
      <c r="AA45" s="31" t="n"/>
    </row>
    <row r="46" ht="15.6" customHeight="1" thickBot="1" thickTop="1">
      <c r="B46" s="69" t="inlineStr">
        <is>
          <t>Total</t>
        </is>
      </c>
      <c r="C46" s="10" t="n"/>
      <c r="D46" s="70" t="n">
        <v>503348</v>
      </c>
      <c r="E46" s="71" t="n">
        <v>38704855.005</v>
      </c>
      <c r="F46" s="71" t="n">
        <v>27279505</v>
      </c>
      <c r="G46" s="72" t="n">
        <v>76.89482228001303</v>
      </c>
      <c r="H46" s="73" t="n">
        <v>54.19611282850036</v>
      </c>
      <c r="I46" s="31" t="n"/>
      <c r="J46" s="31" t="n"/>
      <c r="K46" s="31" t="n"/>
      <c r="L46" s="31" t="n"/>
      <c r="M46" s="31" t="n"/>
      <c r="N46" s="31" t="n"/>
      <c r="O46" s="31" t="n"/>
      <c r="P46" s="31" t="n"/>
      <c r="Q46" s="31" t="n"/>
      <c r="R46" s="31" t="n"/>
      <c r="S46" s="31" t="n"/>
      <c r="T46" s="31" t="n"/>
      <c r="U46" s="31" t="n"/>
      <c r="V46" s="31" t="n"/>
      <c r="W46" s="31" t="n"/>
      <c r="X46" s="31" t="n"/>
      <c r="Y46" s="31" t="n"/>
      <c r="Z46" s="31" t="n"/>
      <c r="AA46" s="31" t="n"/>
    </row>
    <row r="47" ht="15" customHeight="1" thickBot="1">
      <c r="AE47" s="20" t="inlineStr">
        <is>
          <t>Overall - Brand Only</t>
        </is>
      </c>
      <c r="AF47" s="21" t="n"/>
      <c r="AG47" s="23" t="n"/>
      <c r="AH47" s="23" t="n"/>
    </row>
    <row r="48" ht="34.95" customHeight="1" thickBot="1">
      <c r="B48" s="88" t="n"/>
      <c r="C48" s="88" t="n"/>
      <c r="D48" s="88" t="n"/>
      <c r="E48" s="88" t="n"/>
      <c r="F48" s="88" t="n"/>
      <c r="G48" s="88" t="n"/>
      <c r="H48" s="88" t="n"/>
      <c r="I48" s="88" t="n"/>
      <c r="J48" s="88" t="n"/>
      <c r="K48" s="88" t="n"/>
      <c r="L48" s="88" t="n"/>
      <c r="M48" s="88" t="n"/>
      <c r="N48" s="88" t="n"/>
      <c r="O48" s="88" t="n"/>
      <c r="P48" s="88" t="n"/>
      <c r="Q48" s="88" t="n"/>
      <c r="R48" s="88" t="n"/>
      <c r="S48" s="88" t="n"/>
      <c r="T48" s="88" t="n"/>
      <c r="U48" s="88" t="n"/>
      <c r="V48" s="88" t="n"/>
      <c r="W48" s="88" t="n"/>
      <c r="X48" s="88" t="n"/>
      <c r="Y48" s="88" t="n"/>
      <c r="Z48" s="88" t="n"/>
      <c r="AA48" s="88" t="n"/>
      <c r="AE48" s="32" t="inlineStr">
        <is>
          <t>Rank</t>
        </is>
      </c>
      <c r="AF48" s="33" t="inlineStr">
        <is>
          <t>Therapeutic Class</t>
        </is>
      </c>
      <c r="AG48" s="33" t="inlineStr">
        <is>
          <t>Total Rebates</t>
        </is>
      </c>
      <c r="AH48" s="34" t="inlineStr">
        <is>
          <t>Brand Scripts</t>
        </is>
      </c>
    </row>
    <row r="49" ht="15" customHeight="1" thickTop="1">
      <c r="AE49" s="118" t="n">
        <v>1</v>
      </c>
      <c r="AF49" s="44" t="inlineStr">
        <is>
          <t>GLUCAGON-LIKE PEPTIDE-1 AGONISTS (GLP1)</t>
        </is>
      </c>
      <c r="AG49" s="119" t="n">
        <v>12786780.4806563</v>
      </c>
      <c r="AH49" s="46" t="n">
        <v>24095.60052817913</v>
      </c>
    </row>
    <row r="50" ht="15" customHeight="1" thickBot="1">
      <c r="AE50" s="121" t="n">
        <v>2</v>
      </c>
      <c r="AF50" t="inlineStr">
        <is>
          <t>LABA LAMA COMBO</t>
        </is>
      </c>
      <c r="AG50" s="122" t="n">
        <v>1007461.224135442</v>
      </c>
      <c r="AH50" s="56" t="n">
        <v>4257.422574251343</v>
      </c>
    </row>
    <row r="51" ht="15" customHeight="1" thickBot="1">
      <c r="D51" s="11" t="inlineStr">
        <is>
          <t>Base Yr</t>
        </is>
      </c>
      <c r="E51" s="12" t="n"/>
      <c r="F51" s="12" t="n"/>
      <c r="G51" s="13" t="n"/>
      <c r="H51" s="14" t="n"/>
      <c r="J51" s="11" t="n">
        <v>2031</v>
      </c>
      <c r="K51" s="12" t="n"/>
      <c r="L51" s="12" t="n"/>
      <c r="M51" s="13" t="n"/>
      <c r="N51" s="14" t="n"/>
      <c r="P51" s="11" t="n">
        <v>2028</v>
      </c>
      <c r="Q51" s="12" t="n"/>
      <c r="R51" s="12" t="n"/>
      <c r="S51" s="13" t="n"/>
      <c r="T51" s="14" t="n"/>
      <c r="V51" s="11" t="n">
        <v>2029</v>
      </c>
      <c r="W51" s="12" t="n"/>
      <c r="X51" s="12" t="n"/>
      <c r="Y51" s="13" t="n"/>
      <c r="Z51" s="14" t="n"/>
      <c r="AE51" s="121" t="n">
        <v>3</v>
      </c>
      <c r="AF51" t="inlineStr">
        <is>
          <t>URINARY ANTISPASMODICS &amp; OAB DRUGS</t>
        </is>
      </c>
      <c r="AG51" s="122" t="n">
        <v>487821.5139308685</v>
      </c>
      <c r="AH51" s="56" t="n">
        <v>765.1978587844329</v>
      </c>
    </row>
    <row r="52" ht="15" customHeight="1" thickBot="1">
      <c r="B52" s="27" t="inlineStr">
        <is>
          <t>Excl - Brand</t>
        </is>
      </c>
      <c r="D52" s="28" t="inlineStr">
        <is>
          <t>R30</t>
        </is>
      </c>
      <c r="E52" s="29" t="inlineStr">
        <is>
          <t>R90</t>
        </is>
      </c>
      <c r="F52" s="29" t="inlineStr">
        <is>
          <t>Mail</t>
        </is>
      </c>
      <c r="G52" s="29" t="inlineStr">
        <is>
          <t>Specialty</t>
        </is>
      </c>
      <c r="H52" s="30" t="inlineStr">
        <is>
          <t>Total</t>
        </is>
      </c>
      <c r="J52" s="28" t="inlineStr">
        <is>
          <t>R30</t>
        </is>
      </c>
      <c r="K52" s="29" t="inlineStr">
        <is>
          <t>R90</t>
        </is>
      </c>
      <c r="L52" s="29" t="inlineStr">
        <is>
          <t>Mail</t>
        </is>
      </c>
      <c r="M52" s="29" t="inlineStr">
        <is>
          <t>Specialty</t>
        </is>
      </c>
      <c r="N52" s="30" t="inlineStr">
        <is>
          <t>Total</t>
        </is>
      </c>
      <c r="P52" s="28" t="inlineStr">
        <is>
          <t>R30</t>
        </is>
      </c>
      <c r="Q52" s="29" t="inlineStr">
        <is>
          <t>R90</t>
        </is>
      </c>
      <c r="R52" s="29" t="inlineStr">
        <is>
          <t>Mail</t>
        </is>
      </c>
      <c r="S52" s="29" t="inlineStr">
        <is>
          <t>Specialty</t>
        </is>
      </c>
      <c r="T52" s="30" t="inlineStr">
        <is>
          <t>Total</t>
        </is>
      </c>
      <c r="V52" s="28" t="inlineStr">
        <is>
          <t>R30</t>
        </is>
      </c>
      <c r="W52" s="29" t="inlineStr">
        <is>
          <t>R90</t>
        </is>
      </c>
      <c r="X52" s="29" t="inlineStr">
        <is>
          <t>Mail</t>
        </is>
      </c>
      <c r="Y52" s="29" t="inlineStr">
        <is>
          <t>Specialty</t>
        </is>
      </c>
      <c r="Z52" s="30" t="inlineStr">
        <is>
          <t>Total</t>
        </is>
      </c>
      <c r="AE52" s="121" t="n">
        <v>4</v>
      </c>
      <c r="AF52" t="inlineStr">
        <is>
          <t>MIGRAINE PRODUCTS</t>
        </is>
      </c>
      <c r="AG52" s="122" t="n">
        <v>455563.2266205859</v>
      </c>
      <c r="AH52" s="56" t="n">
        <v>672.5463376990722</v>
      </c>
    </row>
    <row r="53">
      <c r="B53" s="38" t="inlineStr">
        <is>
          <t>OTCs</t>
        </is>
      </c>
      <c r="D53" s="127" t="n">
        <v>0</v>
      </c>
      <c r="E53" s="128" t="n">
        <v>0</v>
      </c>
      <c r="F53" s="128" t="n">
        <v>0</v>
      </c>
      <c r="G53" s="128" t="n">
        <v>0</v>
      </c>
      <c r="H53" s="129" t="n">
        <v>0</v>
      </c>
      <c r="J53" s="127" t="n">
        <v>0</v>
      </c>
      <c r="K53" s="128" t="n">
        <v>0</v>
      </c>
      <c r="L53" s="128" t="n">
        <v>0</v>
      </c>
      <c r="M53" s="128" t="n">
        <v>0</v>
      </c>
      <c r="N53" s="129" t="n">
        <v>0</v>
      </c>
      <c r="P53" s="127" t="n">
        <v>0</v>
      </c>
      <c r="Q53" s="128" t="n">
        <v>0</v>
      </c>
      <c r="R53" s="128" t="n">
        <v>0</v>
      </c>
      <c r="S53" s="128" t="n">
        <v>0</v>
      </c>
      <c r="T53" s="129" t="n">
        <v>0</v>
      </c>
      <c r="V53" s="127" t="n">
        <v>0</v>
      </c>
      <c r="W53" s="128" t="n">
        <v>0</v>
      </c>
      <c r="X53" s="128" t="n">
        <v>0</v>
      </c>
      <c r="Y53" s="128" t="n">
        <v>0</v>
      </c>
      <c r="Z53" s="129" t="n">
        <v>0</v>
      </c>
      <c r="AE53" s="121" t="n">
        <v>5</v>
      </c>
      <c r="AF53" t="inlineStr">
        <is>
          <t>DIGESTIVE ENZYMES</t>
        </is>
      </c>
      <c r="AG53" s="122" t="n">
        <v>432787.8299096154</v>
      </c>
      <c r="AH53" s="56" t="n">
        <v>275.2919828095887</v>
      </c>
    </row>
    <row r="54">
      <c r="B54" s="49" t="inlineStr">
        <is>
          <t>Devices</t>
        </is>
      </c>
      <c r="D54" s="130" t="n">
        <v>0</v>
      </c>
      <c r="E54" s="131" t="n">
        <v>0</v>
      </c>
      <c r="F54" s="131" t="n">
        <v>0</v>
      </c>
      <c r="G54" s="131" t="n">
        <v>0</v>
      </c>
      <c r="H54" s="132" t="n">
        <v>0</v>
      </c>
      <c r="J54" s="130" t="n">
        <v>0</v>
      </c>
      <c r="K54" s="131" t="n">
        <v>0</v>
      </c>
      <c r="L54" s="131" t="n">
        <v>0</v>
      </c>
      <c r="M54" s="131" t="n">
        <v>0</v>
      </c>
      <c r="N54" s="132" t="n">
        <v>0</v>
      </c>
      <c r="P54" s="130" t="n">
        <v>0</v>
      </c>
      <c r="Q54" s="131" t="n">
        <v>0</v>
      </c>
      <c r="R54" s="131" t="n">
        <v>0</v>
      </c>
      <c r="S54" s="131" t="n">
        <v>0</v>
      </c>
      <c r="T54" s="132" t="n">
        <v>0</v>
      </c>
      <c r="V54" s="130" t="n">
        <v>0</v>
      </c>
      <c r="W54" s="131" t="n">
        <v>0</v>
      </c>
      <c r="X54" s="131" t="n">
        <v>0</v>
      </c>
      <c r="Y54" s="131" t="n">
        <v>0</v>
      </c>
      <c r="Z54" s="132" t="n">
        <v>0</v>
      </c>
      <c r="AE54" s="121" t="n">
        <v>6</v>
      </c>
      <c r="AF54" t="inlineStr">
        <is>
          <t>INSULIN ADMINISTRATION SUPPLIES</t>
        </is>
      </c>
      <c r="AG54" s="122" t="n">
        <v>241053.7570896112</v>
      </c>
      <c r="AH54" s="56" t="n">
        <v>582.9831014558808</v>
      </c>
    </row>
    <row r="55">
      <c r="B55" s="64" t="inlineStr">
        <is>
          <t>Vaccines</t>
        </is>
      </c>
      <c r="D55" s="130" t="n">
        <v>0</v>
      </c>
      <c r="E55" s="131" t="n">
        <v>0</v>
      </c>
      <c r="F55" s="131" t="n">
        <v>0</v>
      </c>
      <c r="G55" s="131" t="n">
        <v>0</v>
      </c>
      <c r="H55" s="132" t="n">
        <v>0</v>
      </c>
      <c r="J55" s="130" t="n">
        <v>0</v>
      </c>
      <c r="K55" s="131" t="n">
        <v>0</v>
      </c>
      <c r="L55" s="131" t="n">
        <v>0</v>
      </c>
      <c r="M55" s="131" t="n">
        <v>0</v>
      </c>
      <c r="N55" s="132" t="n">
        <v>0</v>
      </c>
      <c r="P55" s="130" t="n">
        <v>0</v>
      </c>
      <c r="Q55" s="131" t="n">
        <v>0</v>
      </c>
      <c r="R55" s="131" t="n">
        <v>0</v>
      </c>
      <c r="S55" s="131" t="n">
        <v>0</v>
      </c>
      <c r="T55" s="132" t="n">
        <v>0</v>
      </c>
      <c r="V55" s="130" t="n">
        <v>0</v>
      </c>
      <c r="W55" s="131" t="n">
        <v>0</v>
      </c>
      <c r="X55" s="131" t="n">
        <v>0</v>
      </c>
      <c r="Y55" s="131" t="n">
        <v>0</v>
      </c>
      <c r="Z55" s="132" t="n">
        <v>0</v>
      </c>
      <c r="AE55" s="121" t="n">
        <v>7</v>
      </c>
      <c r="AF55" t="inlineStr">
        <is>
          <t>BASAL INSULIN</t>
        </is>
      </c>
      <c r="AG55" s="122" t="n">
        <v>176539.9012613627</v>
      </c>
      <c r="AH55" s="56" t="n">
        <v>1481.646477104487</v>
      </c>
    </row>
    <row r="56">
      <c r="B56" s="64" t="inlineStr">
        <is>
          <t>Repackaged</t>
        </is>
      </c>
      <c r="D56" s="130" t="n">
        <v>0</v>
      </c>
      <c r="E56" s="131" t="n">
        <v>0</v>
      </c>
      <c r="F56" s="131" t="n">
        <v>0</v>
      </c>
      <c r="G56" s="131" t="n">
        <v>0</v>
      </c>
      <c r="H56" s="132" t="n">
        <v>0</v>
      </c>
      <c r="J56" s="130" t="n">
        <v>0</v>
      </c>
      <c r="K56" s="131" t="n">
        <v>0</v>
      </c>
      <c r="L56" s="131" t="n">
        <v>0</v>
      </c>
      <c r="M56" s="131" t="n">
        <v>0</v>
      </c>
      <c r="N56" s="132" t="n">
        <v>0</v>
      </c>
      <c r="P56" s="130" t="n">
        <v>0</v>
      </c>
      <c r="Q56" s="131" t="n">
        <v>0</v>
      </c>
      <c r="R56" s="131" t="n">
        <v>0</v>
      </c>
      <c r="S56" s="131" t="n">
        <v>0</v>
      </c>
      <c r="T56" s="132" t="n">
        <v>0</v>
      </c>
      <c r="V56" s="130" t="n">
        <v>0</v>
      </c>
      <c r="W56" s="131" t="n">
        <v>0</v>
      </c>
      <c r="X56" s="131" t="n">
        <v>0</v>
      </c>
      <c r="Y56" s="131" t="n">
        <v>0</v>
      </c>
      <c r="Z56" s="132" t="n">
        <v>0</v>
      </c>
      <c r="AE56" s="121" t="n">
        <v>8</v>
      </c>
      <c r="AF56" t="inlineStr">
        <is>
          <t>MISC. ANTIVIRALS</t>
        </is>
      </c>
      <c r="AG56" s="122" t="n">
        <v>157693.407691526</v>
      </c>
      <c r="AH56" s="56" t="n">
        <v>504.2537348743826</v>
      </c>
    </row>
    <row r="57">
      <c r="B57" s="64" t="inlineStr">
        <is>
          <t>MSBs</t>
        </is>
      </c>
      <c r="D57" s="130" t="n">
        <v>0</v>
      </c>
      <c r="E57" s="131" t="n">
        <v>0</v>
      </c>
      <c r="F57" s="131" t="n">
        <v>0</v>
      </c>
      <c r="G57" s="131" t="n">
        <v>0</v>
      </c>
      <c r="H57" s="132" t="n">
        <v>0</v>
      </c>
      <c r="J57" s="130" t="n">
        <v>0</v>
      </c>
      <c r="K57" s="131" t="n">
        <v>0</v>
      </c>
      <c r="L57" s="131" t="n">
        <v>0</v>
      </c>
      <c r="M57" s="131" t="n">
        <v>0</v>
      </c>
      <c r="N57" s="132" t="n">
        <v>0</v>
      </c>
      <c r="P57" s="130" t="n">
        <v>0</v>
      </c>
      <c r="Q57" s="131" t="n">
        <v>0</v>
      </c>
      <c r="R57" s="131" t="n">
        <v>0</v>
      </c>
      <c r="S57" s="131" t="n">
        <v>0</v>
      </c>
      <c r="T57" s="132" t="n">
        <v>0</v>
      </c>
      <c r="V57" s="130" t="n">
        <v>0</v>
      </c>
      <c r="W57" s="131" t="n">
        <v>0</v>
      </c>
      <c r="X57" s="131" t="n">
        <v>0</v>
      </c>
      <c r="Y57" s="131" t="n">
        <v>0</v>
      </c>
      <c r="Z57" s="132" t="n">
        <v>0</v>
      </c>
      <c r="AE57" s="121" t="n">
        <v>9</v>
      </c>
      <c r="AF57" t="inlineStr">
        <is>
          <t>OPHTHALMICS - RHO KINASE INHIBITOR &amp; COMBOS</t>
        </is>
      </c>
      <c r="AG57" s="122" t="n">
        <v>123026.4278810774</v>
      </c>
      <c r="AH57" s="56" t="n">
        <v>285.3184516305328</v>
      </c>
    </row>
    <row r="58">
      <c r="B58" s="64" t="inlineStr">
        <is>
          <t>Non FDA Approved</t>
        </is>
      </c>
      <c r="D58" s="130" t="n">
        <v>0</v>
      </c>
      <c r="E58" s="131" t="n">
        <v>6</v>
      </c>
      <c r="F58" s="131" t="n">
        <v>0</v>
      </c>
      <c r="G58" s="131" t="n">
        <v>0</v>
      </c>
      <c r="H58" s="132" t="n">
        <v>6</v>
      </c>
      <c r="J58" s="130" t="n">
        <v>0</v>
      </c>
      <c r="K58" s="131" t="n">
        <v>6.885489488627885</v>
      </c>
      <c r="L58" s="131" t="n">
        <v>0</v>
      </c>
      <c r="M58" s="131" t="n">
        <v>0</v>
      </c>
      <c r="N58" s="132" t="n">
        <v>6.885489488627885</v>
      </c>
      <c r="P58" s="130" t="n">
        <v>0</v>
      </c>
      <c r="Q58" s="131" t="n">
        <v>7.09762893823543</v>
      </c>
      <c r="R58" s="131" t="n">
        <v>0</v>
      </c>
      <c r="S58" s="131" t="n">
        <v>0</v>
      </c>
      <c r="T58" s="132" t="n">
        <v>7.09762893823543</v>
      </c>
      <c r="V58" s="130" t="n">
        <v>0</v>
      </c>
      <c r="W58" s="131" t="n">
        <v>7.29938773026082</v>
      </c>
      <c r="X58" s="131" t="n">
        <v>0</v>
      </c>
      <c r="Y58" s="131" t="n">
        <v>0</v>
      </c>
      <c r="Z58" s="132" t="n">
        <v>7.29938773026082</v>
      </c>
      <c r="AE58" s="121" t="n">
        <v>10</v>
      </c>
      <c r="AF58" t="inlineStr">
        <is>
          <t>POTASSIUM REMOVING AGENTS</t>
        </is>
      </c>
      <c r="AG58" s="122" t="n">
        <v>121130.6189115226</v>
      </c>
      <c r="AH58" s="56" t="n">
        <v>178.5021877230272</v>
      </c>
    </row>
    <row r="59">
      <c r="B59" s="64" t="inlineStr">
        <is>
          <t>LDD</t>
        </is>
      </c>
      <c r="D59" s="130" t="n">
        <v>18</v>
      </c>
      <c r="E59" s="131" t="n">
        <v>0</v>
      </c>
      <c r="F59" s="131" t="n">
        <v>0</v>
      </c>
      <c r="G59" s="131" t="n">
        <v>1</v>
      </c>
      <c r="H59" s="132" t="n">
        <v>19</v>
      </c>
      <c r="J59" s="130" t="n">
        <v>24.87719139716617</v>
      </c>
      <c r="K59" s="131" t="n">
        <v>0</v>
      </c>
      <c r="L59" s="131" t="n">
        <v>0</v>
      </c>
      <c r="M59" s="131" t="n">
        <v>0.6176590635903295</v>
      </c>
      <c r="N59" s="132" t="n">
        <v>25.4948504607565</v>
      </c>
      <c r="P59" s="130" t="n">
        <v>27.65663487526179</v>
      </c>
      <c r="Q59" s="131" t="n">
        <v>0</v>
      </c>
      <c r="R59" s="131" t="n">
        <v>0</v>
      </c>
      <c r="S59" s="131" t="n">
        <v>0.6107794764899804</v>
      </c>
      <c r="T59" s="132" t="n">
        <v>28.26741435175177</v>
      </c>
      <c r="V59" s="130" t="n">
        <v>31.05175440243663</v>
      </c>
      <c r="W59" s="131" t="n">
        <v>0</v>
      </c>
      <c r="X59" s="131" t="n">
        <v>0</v>
      </c>
      <c r="Y59" s="131" t="n">
        <v>0.6430482566932423</v>
      </c>
      <c r="Z59" s="132" t="n">
        <v>31.69480265912987</v>
      </c>
      <c r="AE59" s="121" t="n">
        <v>11</v>
      </c>
      <c r="AF59" t="inlineStr">
        <is>
          <t>LAMA/ACH</t>
        </is>
      </c>
      <c r="AG59" s="122" t="n">
        <v>80018.33548781663</v>
      </c>
      <c r="AH59" s="56" t="n">
        <v>195.1197448750256</v>
      </c>
    </row>
    <row r="60">
      <c r="B60" s="64" t="inlineStr">
        <is>
          <t>Institutional NDCs</t>
        </is>
      </c>
      <c r="D60" s="130" t="n">
        <v>11</v>
      </c>
      <c r="E60" s="131" t="n">
        <v>0</v>
      </c>
      <c r="F60" s="131" t="n">
        <v>0</v>
      </c>
      <c r="G60" s="131" t="n">
        <v>0</v>
      </c>
      <c r="H60" s="132" t="n">
        <v>11</v>
      </c>
      <c r="J60" s="130" t="n">
        <v>12.15752497820848</v>
      </c>
      <c r="K60" s="131" t="n">
        <v>0</v>
      </c>
      <c r="L60" s="131" t="n">
        <v>0</v>
      </c>
      <c r="M60" s="131" t="n">
        <v>0</v>
      </c>
      <c r="N60" s="132" t="n">
        <v>12.15752497820848</v>
      </c>
      <c r="P60" s="130" t="n">
        <v>6.618249046619539</v>
      </c>
      <c r="Q60" s="131" t="n">
        <v>0</v>
      </c>
      <c r="R60" s="131" t="n">
        <v>0</v>
      </c>
      <c r="S60" s="131" t="n">
        <v>0</v>
      </c>
      <c r="T60" s="132" t="n">
        <v>6.618249046619539</v>
      </c>
      <c r="V60" s="130" t="n">
        <v>6.034114128367583</v>
      </c>
      <c r="W60" s="131" t="n">
        <v>0</v>
      </c>
      <c r="X60" s="131" t="n">
        <v>0</v>
      </c>
      <c r="Y60" s="131" t="n">
        <v>0</v>
      </c>
      <c r="Z60" s="132" t="n">
        <v>6.034114128367583</v>
      </c>
      <c r="AE60" s="121" t="n">
        <v>12</v>
      </c>
      <c r="AF60" t="inlineStr">
        <is>
          <t>OPIOID AGONISTS &amp; COMBOS</t>
        </is>
      </c>
      <c r="AG60" s="122" t="n">
        <v>57430.9172970456</v>
      </c>
      <c r="AH60" s="56" t="n">
        <v>124.0262843351125</v>
      </c>
    </row>
    <row r="61">
      <c r="B61" s="64" t="inlineStr">
        <is>
          <t>Formulary Exclusions</t>
        </is>
      </c>
      <c r="D61" s="130" t="n">
        <v>3636</v>
      </c>
      <c r="E61" s="131" t="n">
        <v>1603</v>
      </c>
      <c r="F61" s="131" t="n">
        <v>32</v>
      </c>
      <c r="G61" s="131" t="n">
        <v>0</v>
      </c>
      <c r="H61" s="132" t="n">
        <v>5271</v>
      </c>
      <c r="J61" s="130" t="n">
        <v>6044.873869593554</v>
      </c>
      <c r="K61" s="131" t="n">
        <v>3778.992897518413</v>
      </c>
      <c r="L61" s="131" t="n">
        <v>69.29836851932255</v>
      </c>
      <c r="M61" s="131" t="n">
        <v>0</v>
      </c>
      <c r="N61" s="132" t="n">
        <v>9893.16513563129</v>
      </c>
      <c r="P61" s="130" t="n">
        <v>6228.77688994102</v>
      </c>
      <c r="Q61" s="131" t="n">
        <v>3999.114543167051</v>
      </c>
      <c r="R61" s="131" t="n">
        <v>73.5852791072068</v>
      </c>
      <c r="S61" s="131" t="n">
        <v>0</v>
      </c>
      <c r="T61" s="132" t="n">
        <v>10301.47671221528</v>
      </c>
      <c r="V61" s="130" t="n">
        <v>6447.101264258589</v>
      </c>
      <c r="W61" s="131" t="n">
        <v>4230.066745339465</v>
      </c>
      <c r="X61" s="131" t="n">
        <v>77.66240762792478</v>
      </c>
      <c r="Y61" s="131" t="n">
        <v>0</v>
      </c>
      <c r="Z61" s="132" t="n">
        <v>10754.83041722598</v>
      </c>
      <c r="AE61" s="121" t="n">
        <v>13</v>
      </c>
      <c r="AF61" t="inlineStr">
        <is>
          <t>VASOACTIVE SGC STIMULATOR</t>
        </is>
      </c>
      <c r="AG61" s="122" t="n">
        <v>44767.76552587574</v>
      </c>
      <c r="AH61" s="56" t="n">
        <v>58.11654949956274</v>
      </c>
    </row>
    <row r="62">
      <c r="B62" s="64" t="inlineStr">
        <is>
          <t>Synthroid</t>
        </is>
      </c>
      <c r="D62" s="130" t="n">
        <v>331</v>
      </c>
      <c r="E62" s="131" t="n">
        <v>641</v>
      </c>
      <c r="F62" s="131" t="n">
        <v>4</v>
      </c>
      <c r="G62" s="131" t="n">
        <v>0</v>
      </c>
      <c r="H62" s="132" t="n">
        <v>976</v>
      </c>
      <c r="J62" s="130" t="n">
        <v>351.9287478386029</v>
      </c>
      <c r="K62" s="131" t="n">
        <v>695.2653220010801</v>
      </c>
      <c r="L62" s="131" t="n">
        <v>4.363987808065344</v>
      </c>
      <c r="M62" s="131" t="n">
        <v>0</v>
      </c>
      <c r="N62" s="132" t="n">
        <v>1051.558057647748</v>
      </c>
      <c r="P62" s="130" t="n">
        <v>344.8677977438759</v>
      </c>
      <c r="Q62" s="131" t="n">
        <v>695.6708181072372</v>
      </c>
      <c r="R62" s="131" t="n">
        <v>4.376881306996877</v>
      </c>
      <c r="S62" s="131" t="n">
        <v>0</v>
      </c>
      <c r="T62" s="132" t="n">
        <v>1044.91549715811</v>
      </c>
      <c r="V62" s="130" t="n">
        <v>337.2252462051625</v>
      </c>
      <c r="W62" s="131" t="n">
        <v>693.7423997998153</v>
      </c>
      <c r="X62" s="131" t="n">
        <v>4.349920807420687</v>
      </c>
      <c r="Y62" s="131" t="n">
        <v>0</v>
      </c>
      <c r="Z62" s="132" t="n">
        <v>1035.317566812398</v>
      </c>
      <c r="AE62" s="121" t="n">
        <v>14</v>
      </c>
      <c r="AF62" t="inlineStr">
        <is>
          <t>BASAL &amp; GLP-1 COMBO</t>
        </is>
      </c>
      <c r="AG62" s="122" t="n">
        <v>39752.11612430814</v>
      </c>
      <c r="AH62" s="56" t="n">
        <v>45.02912381446224</v>
      </c>
    </row>
    <row r="63">
      <c r="B63" s="64" t="inlineStr">
        <is>
          <t>Misc</t>
        </is>
      </c>
      <c r="D63" s="130" t="n">
        <v>1712</v>
      </c>
      <c r="E63" s="131" t="n">
        <v>1322</v>
      </c>
      <c r="F63" s="131" t="n">
        <v>21</v>
      </c>
      <c r="G63" s="131" t="n">
        <v>2977</v>
      </c>
      <c r="H63" s="132" t="n">
        <v>6032</v>
      </c>
      <c r="J63" s="130" t="n">
        <v>2692.467611904198</v>
      </c>
      <c r="K63" s="131" t="n">
        <v>2139.409809914607</v>
      </c>
      <c r="L63" s="131" t="n">
        <v>34.42048685206294</v>
      </c>
      <c r="M63" s="131" t="n">
        <v>4055.662939861252</v>
      </c>
      <c r="N63" s="132" t="n">
        <v>8921.960848532119</v>
      </c>
      <c r="P63" s="130" t="n">
        <v>3161.627253255683</v>
      </c>
      <c r="Q63" s="131" t="n">
        <v>2604.953328398546</v>
      </c>
      <c r="R63" s="131" t="n">
        <v>42.03577551248003</v>
      </c>
      <c r="S63" s="131" t="n">
        <v>4367.592784770583</v>
      </c>
      <c r="T63" s="132" t="n">
        <v>10176.20914193729</v>
      </c>
      <c r="V63" s="130" t="n">
        <v>3718.42453944005</v>
      </c>
      <c r="W63" s="131" t="n">
        <v>3171.189177178967</v>
      </c>
      <c r="X63" s="131" t="n">
        <v>51.03255827472316</v>
      </c>
      <c r="Y63" s="131" t="n">
        <v>4661.350612147647</v>
      </c>
      <c r="Z63" s="132" t="n">
        <v>11601.99688704139</v>
      </c>
      <c r="AE63" s="121" t="n">
        <v>15</v>
      </c>
      <c r="AF63" t="inlineStr">
        <is>
          <t>ESTROGENS &amp; COMBOS</t>
        </is>
      </c>
      <c r="AG63" s="122" t="n">
        <v>38182.76904142704</v>
      </c>
      <c r="AH63" s="56" t="n">
        <v>132.531256641303</v>
      </c>
    </row>
    <row r="64">
      <c r="B64" s="64" t="inlineStr">
        <is>
          <t>Specialty</t>
        </is>
      </c>
      <c r="D64" s="133" t="n">
        <v>0</v>
      </c>
      <c r="E64" s="134" t="n">
        <v>0</v>
      </c>
      <c r="F64" s="134" t="n">
        <v>0</v>
      </c>
      <c r="G64" s="134" t="n">
        <v>2977</v>
      </c>
      <c r="H64" s="135" t="n">
        <v>2977</v>
      </c>
      <c r="J64" s="133" t="n">
        <v>0</v>
      </c>
      <c r="K64" s="134" t="n">
        <v>0</v>
      </c>
      <c r="L64" s="134" t="n">
        <v>0</v>
      </c>
      <c r="M64" s="134" t="n">
        <v>4055.659530255103</v>
      </c>
      <c r="N64" s="135" t="n">
        <v>4055.659530255103</v>
      </c>
      <c r="P64" s="133" t="n">
        <v>0</v>
      </c>
      <c r="Q64" s="134" t="n">
        <v>0</v>
      </c>
      <c r="R64" s="134" t="n">
        <v>0</v>
      </c>
      <c r="S64" s="134" t="n">
        <v>4367.589286582866</v>
      </c>
      <c r="T64" s="135" t="n">
        <v>4367.589286582866</v>
      </c>
      <c r="V64" s="133" t="n">
        <v>0</v>
      </c>
      <c r="W64" s="134" t="n">
        <v>0</v>
      </c>
      <c r="X64" s="134" t="n">
        <v>0</v>
      </c>
      <c r="Y64" s="134" t="n">
        <v>4661.347007650006</v>
      </c>
      <c r="Z64" s="135" t="n">
        <v>4661.347007650006</v>
      </c>
      <c r="AE64" s="121" t="n">
        <v>16</v>
      </c>
      <c r="AF64" t="inlineStr">
        <is>
          <t>RAPID ACTING</t>
        </is>
      </c>
      <c r="AG64" s="122" t="n">
        <v>36325.1550976173</v>
      </c>
      <c r="AH64" s="56" t="n">
        <v>662.5830891462598</v>
      </c>
    </row>
    <row r="65">
      <c r="A65" s="98" t="inlineStr">
        <is>
          <t>Added MFP row but needs adjusting for non-CY(Should just need adjustment in Exclusion Summary)</t>
        </is>
      </c>
      <c r="B65" s="64" t="inlineStr">
        <is>
          <t>MFP 2026, 2027</t>
        </is>
      </c>
      <c r="D65" s="133" t="n">
        <v>0</v>
      </c>
      <c r="E65" s="134" t="n">
        <v>0</v>
      </c>
      <c r="F65" s="134" t="n">
        <v>0</v>
      </c>
      <c r="G65" s="134" t="n">
        <v>0</v>
      </c>
      <c r="H65" s="135" t="n">
        <v>0</v>
      </c>
      <c r="J65" s="133" t="n">
        <v>0</v>
      </c>
      <c r="K65" s="134" t="n">
        <v>0</v>
      </c>
      <c r="L65" s="134" t="n">
        <v>0</v>
      </c>
      <c r="M65" s="134" t="n">
        <v>0</v>
      </c>
      <c r="N65" s="135" t="n">
        <v>0</v>
      </c>
      <c r="P65" s="133" t="n">
        <v>0</v>
      </c>
      <c r="Q65" s="134" t="n">
        <v>0</v>
      </c>
      <c r="R65" s="134" t="n">
        <v>0</v>
      </c>
      <c r="S65" s="134" t="n">
        <v>0</v>
      </c>
      <c r="T65" s="135" t="n">
        <v>0</v>
      </c>
      <c r="V65" s="133" t="n">
        <v>0</v>
      </c>
      <c r="W65" s="134" t="n">
        <v>0</v>
      </c>
      <c r="X65" s="134" t="n">
        <v>0</v>
      </c>
      <c r="Y65" s="134" t="n">
        <v>0</v>
      </c>
      <c r="Z65" s="135" t="n">
        <v>0</v>
      </c>
      <c r="AE65" s="121" t="n">
        <v>17</v>
      </c>
      <c r="AF65" t="inlineStr">
        <is>
          <t>VAGINAL ESTROGENS</t>
        </is>
      </c>
      <c r="AG65" s="122" t="n">
        <v>32192.12832041305</v>
      </c>
      <c r="AH65" s="56" t="n">
        <v>174.0093568739145</v>
      </c>
    </row>
    <row r="66">
      <c r="A66" s="99" t="n"/>
      <c r="B66" s="100" t="inlineStr">
        <is>
          <t>ENTER DESC</t>
        </is>
      </c>
      <c r="D66" s="133" t="n">
        <v>0</v>
      </c>
      <c r="E66" s="134" t="n">
        <v>0</v>
      </c>
      <c r="F66" s="134" t="n">
        <v>0</v>
      </c>
      <c r="G66" s="134" t="n">
        <v>0</v>
      </c>
      <c r="H66" s="135" t="n">
        <v>0</v>
      </c>
      <c r="J66" s="133" t="n">
        <v>0</v>
      </c>
      <c r="K66" s="134" t="n">
        <v>0</v>
      </c>
      <c r="L66" s="134" t="n">
        <v>0</v>
      </c>
      <c r="M66" s="134" t="n">
        <v>0</v>
      </c>
      <c r="N66" s="135" t="n">
        <v>0</v>
      </c>
      <c r="P66" s="133" t="n">
        <v>0</v>
      </c>
      <c r="Q66" s="134" t="n">
        <v>0</v>
      </c>
      <c r="R66" s="134" t="n">
        <v>0</v>
      </c>
      <c r="S66" s="134" t="n">
        <v>0</v>
      </c>
      <c r="T66" s="135" t="n">
        <v>0</v>
      </c>
      <c r="V66" s="133" t="n">
        <v>0</v>
      </c>
      <c r="W66" s="134" t="n">
        <v>0</v>
      </c>
      <c r="X66" s="134" t="n">
        <v>0</v>
      </c>
      <c r="Y66" s="134" t="n">
        <v>0</v>
      </c>
      <c r="Z66" s="135" t="n">
        <v>0</v>
      </c>
      <c r="AE66" s="121" t="n">
        <v>18</v>
      </c>
      <c r="AF66" t="inlineStr">
        <is>
          <t>LAXATIVES</t>
        </is>
      </c>
      <c r="AG66" s="122" t="n">
        <v>19684.21538324668</v>
      </c>
      <c r="AH66" s="56" t="n">
        <v>168.9048635568734</v>
      </c>
    </row>
    <row r="67" ht="15" customHeight="1" thickBot="1">
      <c r="B67" s="59" t="inlineStr">
        <is>
          <t>Non-Rebatable</t>
        </is>
      </c>
      <c r="D67" s="136" t="n">
        <v>0</v>
      </c>
      <c r="E67" s="137" t="n">
        <v>0</v>
      </c>
      <c r="F67" s="137" t="n">
        <v>0</v>
      </c>
      <c r="G67" s="137" t="n">
        <v>0</v>
      </c>
      <c r="H67" s="138" t="n">
        <v>0</v>
      </c>
      <c r="J67" s="139" t="n">
        <v>32665.80535718387</v>
      </c>
      <c r="K67" s="140" t="n">
        <v>14983.82477133271</v>
      </c>
      <c r="L67" s="140" t="n">
        <v>202.3739864950116</v>
      </c>
      <c r="M67" s="140" t="n">
        <v>552.1088310115437</v>
      </c>
      <c r="N67" s="141" t="n">
        <v>48404.11294602313</v>
      </c>
      <c r="P67" s="139" t="n">
        <v>29468.774697933</v>
      </c>
      <c r="Q67" s="140" t="n">
        <v>10340.41686575612</v>
      </c>
      <c r="R67" s="140" t="n">
        <v>142.2558187419964</v>
      </c>
      <c r="S67" s="140" t="n">
        <v>529.4434178862319</v>
      </c>
      <c r="T67" s="141" t="n">
        <v>40480.89080031734</v>
      </c>
      <c r="V67" s="139" t="n">
        <v>27700.89671012675</v>
      </c>
      <c r="W67" s="140" t="n">
        <v>8009.429015133595</v>
      </c>
      <c r="X67" s="140" t="n">
        <v>115.5740789429929</v>
      </c>
      <c r="Y67" s="140" t="n">
        <v>507.7439456670621</v>
      </c>
      <c r="Z67" s="141" t="n">
        <v>36333.6437498704</v>
      </c>
      <c r="AE67" s="121" t="n">
        <v>19</v>
      </c>
      <c r="AF67" t="inlineStr">
        <is>
          <t>SHORT ACTING</t>
        </is>
      </c>
      <c r="AG67" s="122" t="n">
        <v>16376.99177727559</v>
      </c>
      <c r="AH67" s="56" t="n">
        <v>196.4907220994716</v>
      </c>
    </row>
    <row r="68" ht="15.6" customHeight="1" thickBot="1" thickTop="1">
      <c r="B68" s="69" t="inlineStr">
        <is>
          <t>Total</t>
        </is>
      </c>
      <c r="D68" s="142" t="n">
        <v>5708</v>
      </c>
      <c r="E68" s="143" t="n">
        <v>3572</v>
      </c>
      <c r="F68" s="143" t="n">
        <v>57</v>
      </c>
      <c r="G68" s="143" t="n">
        <v>2978</v>
      </c>
      <c r="H68" s="144" t="n">
        <v>15292</v>
      </c>
      <c r="J68" s="142" t="n">
        <v>41792.1103028956</v>
      </c>
      <c r="K68" s="143" t="n">
        <v>21604.37829025543</v>
      </c>
      <c r="L68" s="143" t="n">
        <v>310.4568296744625</v>
      </c>
      <c r="M68" s="143" t="n">
        <v>4608.389429936386</v>
      </c>
      <c r="N68" s="144" t="n">
        <v>72370.99438301698</v>
      </c>
      <c r="P68" s="142" t="n">
        <v>39238.32152279546</v>
      </c>
      <c r="Q68" s="143" t="n">
        <v>17647.25318436719</v>
      </c>
      <c r="R68" s="143" t="n">
        <v>262.2537546686801</v>
      </c>
      <c r="S68" s="143" t="n">
        <v>4897.646982133305</v>
      </c>
      <c r="T68" s="144" t="n">
        <v>66413.06473054748</v>
      </c>
      <c r="V68" s="142" t="n">
        <v>38240.73362856136</v>
      </c>
      <c r="W68" s="143" t="n">
        <v>16111.7267251821</v>
      </c>
      <c r="X68" s="143" t="n">
        <v>248.6189656530615</v>
      </c>
      <c r="Y68" s="143" t="n">
        <v>5169.737606071402</v>
      </c>
      <c r="Z68" s="144" t="n">
        <v>64432.16393311792</v>
      </c>
      <c r="AE68" s="124" t="n">
        <v>20</v>
      </c>
      <c r="AF68" s="82" t="inlineStr">
        <is>
          <t>SGLT-2 INHIBITORS &amp; COMBOS</t>
        </is>
      </c>
      <c r="AG68" s="125" t="n">
        <v>14537.12302648489</v>
      </c>
      <c r="AH68" s="84" t="n">
        <v>12766.09970158144</v>
      </c>
    </row>
    <row r="69" ht="15" customHeight="1" thickBot="1">
      <c r="D69" s="145" t="n"/>
      <c r="E69" s="145" t="n"/>
      <c r="F69" s="145" t="n"/>
      <c r="G69" s="145" t="n"/>
      <c r="H69" s="145" t="n"/>
      <c r="J69" s="145" t="n"/>
      <c r="K69" s="145" t="n"/>
      <c r="L69" s="145" t="n"/>
      <c r="M69" s="145" t="n"/>
      <c r="N69" s="145" t="n"/>
      <c r="P69" s="145" t="n"/>
      <c r="Q69" s="145" t="n"/>
      <c r="R69" s="145" t="n"/>
      <c r="S69" s="145" t="n"/>
      <c r="T69" s="145" t="n"/>
      <c r="V69" s="145" t="n"/>
      <c r="W69" s="145" t="n"/>
      <c r="X69" s="145" t="n"/>
      <c r="Y69" s="145" t="n"/>
      <c r="Z69" s="145" t="n"/>
    </row>
    <row r="70" ht="15" customHeight="1" thickBot="1">
      <c r="B70" s="27" t="inlineStr">
        <is>
          <t>Excl - Generic</t>
        </is>
      </c>
      <c r="D70" s="28" t="inlineStr">
        <is>
          <t>R30</t>
        </is>
      </c>
      <c r="E70" s="29" t="inlineStr">
        <is>
          <t>R90</t>
        </is>
      </c>
      <c r="F70" s="29" t="inlineStr">
        <is>
          <t>Mail</t>
        </is>
      </c>
      <c r="G70" s="29" t="inlineStr">
        <is>
          <t>Specialty</t>
        </is>
      </c>
      <c r="H70" s="30" t="inlineStr">
        <is>
          <t>Total</t>
        </is>
      </c>
      <c r="J70" s="28" t="inlineStr">
        <is>
          <t>R30</t>
        </is>
      </c>
      <c r="K70" s="29" t="inlineStr">
        <is>
          <t>R90</t>
        </is>
      </c>
      <c r="L70" s="29" t="inlineStr">
        <is>
          <t>Mail</t>
        </is>
      </c>
      <c r="M70" s="29" t="inlineStr">
        <is>
          <t>Specialty</t>
        </is>
      </c>
      <c r="N70" s="30" t="inlineStr">
        <is>
          <t>Total</t>
        </is>
      </c>
      <c r="P70" s="28" t="inlineStr">
        <is>
          <t>R30</t>
        </is>
      </c>
      <c r="Q70" s="29" t="inlineStr">
        <is>
          <t>R90</t>
        </is>
      </c>
      <c r="R70" s="29" t="inlineStr">
        <is>
          <t>Mail</t>
        </is>
      </c>
      <c r="S70" s="29" t="inlineStr">
        <is>
          <t>Specialty</t>
        </is>
      </c>
      <c r="T70" s="30" t="inlineStr">
        <is>
          <t>Total</t>
        </is>
      </c>
      <c r="V70" s="28" t="inlineStr">
        <is>
          <t>R30</t>
        </is>
      </c>
      <c r="W70" s="29" t="inlineStr">
        <is>
          <t>R90</t>
        </is>
      </c>
      <c r="X70" s="29" t="inlineStr">
        <is>
          <t>Mail</t>
        </is>
      </c>
      <c r="Y70" s="29" t="inlineStr">
        <is>
          <t>Specialty</t>
        </is>
      </c>
      <c r="Z70" s="30" t="inlineStr">
        <is>
          <t>Total</t>
        </is>
      </c>
    </row>
    <row r="71">
      <c r="B71" s="38" t="inlineStr">
        <is>
          <t>OTCs</t>
        </is>
      </c>
      <c r="D71" s="127" t="n">
        <v>0</v>
      </c>
      <c r="E71" s="128" t="n">
        <v>0</v>
      </c>
      <c r="F71" s="128" t="n">
        <v>0</v>
      </c>
      <c r="G71" s="128" t="n">
        <v>0</v>
      </c>
      <c r="H71" s="129" t="n">
        <v>0</v>
      </c>
      <c r="J71" s="127" t="n">
        <v>0</v>
      </c>
      <c r="K71" s="128" t="n">
        <v>0</v>
      </c>
      <c r="L71" s="128" t="n">
        <v>0</v>
      </c>
      <c r="M71" s="128" t="n">
        <v>0</v>
      </c>
      <c r="N71" s="129" t="n">
        <v>0</v>
      </c>
      <c r="P71" s="127" t="n">
        <v>0</v>
      </c>
      <c r="Q71" s="128" t="n">
        <v>0</v>
      </c>
      <c r="R71" s="128" t="n">
        <v>0</v>
      </c>
      <c r="S71" s="128" t="n">
        <v>0</v>
      </c>
      <c r="T71" s="129" t="n">
        <v>0</v>
      </c>
      <c r="V71" s="127" t="n">
        <v>0</v>
      </c>
      <c r="W71" s="128" t="n">
        <v>0</v>
      </c>
      <c r="X71" s="128" t="n">
        <v>0</v>
      </c>
      <c r="Y71" s="128" t="n">
        <v>0</v>
      </c>
      <c r="Z71" s="129" t="n">
        <v>0</v>
      </c>
    </row>
    <row r="72">
      <c r="B72" s="49" t="inlineStr">
        <is>
          <t>Devices</t>
        </is>
      </c>
      <c r="D72" s="130" t="n">
        <v>0</v>
      </c>
      <c r="E72" s="131" t="n">
        <v>0</v>
      </c>
      <c r="F72" s="131" t="n">
        <v>0</v>
      </c>
      <c r="G72" s="131" t="n">
        <v>0</v>
      </c>
      <c r="H72" s="132" t="n">
        <v>0</v>
      </c>
      <c r="J72" s="130" t="n">
        <v>0</v>
      </c>
      <c r="K72" s="131" t="n">
        <v>0</v>
      </c>
      <c r="L72" s="131" t="n">
        <v>0</v>
      </c>
      <c r="M72" s="131" t="n">
        <v>0</v>
      </c>
      <c r="N72" s="132" t="n">
        <v>0</v>
      </c>
      <c r="P72" s="130" t="n">
        <v>0</v>
      </c>
      <c r="Q72" s="131" t="n">
        <v>0</v>
      </c>
      <c r="R72" s="131" t="n">
        <v>0</v>
      </c>
      <c r="S72" s="131" t="n">
        <v>0</v>
      </c>
      <c r="T72" s="132" t="n">
        <v>0</v>
      </c>
      <c r="V72" s="130" t="n">
        <v>0</v>
      </c>
      <c r="W72" s="131" t="n">
        <v>0</v>
      </c>
      <c r="X72" s="131" t="n">
        <v>0</v>
      </c>
      <c r="Y72" s="131" t="n">
        <v>0</v>
      </c>
      <c r="Z72" s="132" t="n">
        <v>0</v>
      </c>
    </row>
    <row r="73">
      <c r="B73" s="64" t="inlineStr">
        <is>
          <t>Vaccines</t>
        </is>
      </c>
      <c r="D73" s="130" t="n">
        <v>0</v>
      </c>
      <c r="E73" s="131" t="n">
        <v>0</v>
      </c>
      <c r="F73" s="131" t="n">
        <v>0</v>
      </c>
      <c r="G73" s="131" t="n">
        <v>0</v>
      </c>
      <c r="H73" s="132" t="n">
        <v>0</v>
      </c>
      <c r="J73" s="130" t="n">
        <v>0</v>
      </c>
      <c r="K73" s="131" t="n">
        <v>0</v>
      </c>
      <c r="L73" s="131" t="n">
        <v>0</v>
      </c>
      <c r="M73" s="131" t="n">
        <v>0</v>
      </c>
      <c r="N73" s="132" t="n">
        <v>0</v>
      </c>
      <c r="P73" s="130" t="n">
        <v>0</v>
      </c>
      <c r="Q73" s="131" t="n">
        <v>0</v>
      </c>
      <c r="R73" s="131" t="n">
        <v>0</v>
      </c>
      <c r="S73" s="131" t="n">
        <v>0</v>
      </c>
      <c r="T73" s="132" t="n">
        <v>0</v>
      </c>
      <c r="V73" s="130" t="n">
        <v>0</v>
      </c>
      <c r="W73" s="131" t="n">
        <v>0</v>
      </c>
      <c r="X73" s="131" t="n">
        <v>0</v>
      </c>
      <c r="Y73" s="131" t="n">
        <v>0</v>
      </c>
      <c r="Z73" s="132" t="n">
        <v>0</v>
      </c>
    </row>
    <row r="74">
      <c r="B74" s="64" t="inlineStr">
        <is>
          <t>Repackaged</t>
        </is>
      </c>
      <c r="D74" s="130" t="n">
        <v>0</v>
      </c>
      <c r="E74" s="131" t="n">
        <v>0</v>
      </c>
      <c r="F74" s="131" t="n">
        <v>0</v>
      </c>
      <c r="G74" s="131" t="n">
        <v>0</v>
      </c>
      <c r="H74" s="132" t="n">
        <v>0</v>
      </c>
      <c r="J74" s="130" t="n">
        <v>0</v>
      </c>
      <c r="K74" s="131" t="n">
        <v>0</v>
      </c>
      <c r="L74" s="131" t="n">
        <v>0</v>
      </c>
      <c r="M74" s="131" t="n">
        <v>0</v>
      </c>
      <c r="N74" s="132" t="n">
        <v>0</v>
      </c>
      <c r="P74" s="130" t="n">
        <v>0</v>
      </c>
      <c r="Q74" s="131" t="n">
        <v>0</v>
      </c>
      <c r="R74" s="131" t="n">
        <v>0</v>
      </c>
      <c r="S74" s="131" t="n">
        <v>0</v>
      </c>
      <c r="T74" s="132" t="n">
        <v>0</v>
      </c>
      <c r="V74" s="130" t="n">
        <v>0</v>
      </c>
      <c r="W74" s="131" t="n">
        <v>0</v>
      </c>
      <c r="X74" s="131" t="n">
        <v>0</v>
      </c>
      <c r="Y74" s="131" t="n">
        <v>0</v>
      </c>
      <c r="Z74" s="132" t="n">
        <v>0</v>
      </c>
    </row>
    <row r="75">
      <c r="B75" s="64" t="inlineStr">
        <is>
          <t>MSBs</t>
        </is>
      </c>
      <c r="D75" s="130" t="n">
        <v>0</v>
      </c>
      <c r="E75" s="131" t="n">
        <v>0</v>
      </c>
      <c r="F75" s="131" t="n">
        <v>0</v>
      </c>
      <c r="G75" s="131" t="n">
        <v>0</v>
      </c>
      <c r="H75" s="132" t="n">
        <v>0</v>
      </c>
      <c r="J75" s="130" t="n">
        <v>0</v>
      </c>
      <c r="K75" s="131" t="n">
        <v>0</v>
      </c>
      <c r="L75" s="131" t="n">
        <v>0</v>
      </c>
      <c r="M75" s="131" t="n">
        <v>0</v>
      </c>
      <c r="N75" s="132" t="n">
        <v>0</v>
      </c>
      <c r="P75" s="130" t="n">
        <v>0</v>
      </c>
      <c r="Q75" s="131" t="n">
        <v>0</v>
      </c>
      <c r="R75" s="131" t="n">
        <v>0</v>
      </c>
      <c r="S75" s="131" t="n">
        <v>0</v>
      </c>
      <c r="T75" s="132" t="n">
        <v>0</v>
      </c>
      <c r="V75" s="130" t="n">
        <v>0</v>
      </c>
      <c r="W75" s="131" t="n">
        <v>0</v>
      </c>
      <c r="X75" s="131" t="n">
        <v>0</v>
      </c>
      <c r="Y75" s="131" t="n">
        <v>0</v>
      </c>
      <c r="Z75" s="132" t="n">
        <v>0</v>
      </c>
    </row>
    <row r="76">
      <c r="B76" s="64" t="inlineStr">
        <is>
          <t>Non FDA Approved</t>
        </is>
      </c>
      <c r="D76" s="130" t="n">
        <v>0</v>
      </c>
      <c r="E76" s="131" t="n">
        <v>0</v>
      </c>
      <c r="F76" s="131" t="n">
        <v>0</v>
      </c>
      <c r="G76" s="131" t="n">
        <v>0</v>
      </c>
      <c r="H76" s="132" t="n">
        <v>0</v>
      </c>
      <c r="J76" s="130" t="n">
        <v>0</v>
      </c>
      <c r="K76" s="131" t="n">
        <v>0</v>
      </c>
      <c r="L76" s="131" t="n">
        <v>0</v>
      </c>
      <c r="M76" s="131" t="n">
        <v>0</v>
      </c>
      <c r="N76" s="132" t="n">
        <v>0</v>
      </c>
      <c r="P76" s="130" t="n">
        <v>0</v>
      </c>
      <c r="Q76" s="131" t="n">
        <v>0</v>
      </c>
      <c r="R76" s="131" t="n">
        <v>0</v>
      </c>
      <c r="S76" s="131" t="n">
        <v>0</v>
      </c>
      <c r="T76" s="132" t="n">
        <v>0</v>
      </c>
      <c r="V76" s="130" t="n">
        <v>0</v>
      </c>
      <c r="W76" s="131" t="n">
        <v>0</v>
      </c>
      <c r="X76" s="131" t="n">
        <v>0</v>
      </c>
      <c r="Y76" s="131" t="n">
        <v>0</v>
      </c>
      <c r="Z76" s="132" t="n">
        <v>0</v>
      </c>
    </row>
    <row r="77">
      <c r="B77" s="64" t="inlineStr">
        <is>
          <t>LDD</t>
        </is>
      </c>
      <c r="D77" s="130" t="n">
        <v>0</v>
      </c>
      <c r="E77" s="131" t="n">
        <v>0</v>
      </c>
      <c r="F77" s="131" t="n">
        <v>0</v>
      </c>
      <c r="G77" s="131" t="n">
        <v>0</v>
      </c>
      <c r="H77" s="132" t="n">
        <v>0</v>
      </c>
      <c r="J77" s="130" t="n">
        <v>0</v>
      </c>
      <c r="K77" s="131" t="n">
        <v>0</v>
      </c>
      <c r="L77" s="131" t="n">
        <v>0</v>
      </c>
      <c r="M77" s="131" t="n">
        <v>0.7494770222813295</v>
      </c>
      <c r="N77" s="132" t="n">
        <v>0.7494770222813295</v>
      </c>
      <c r="P77" s="130" t="n">
        <v>0</v>
      </c>
      <c r="Q77" s="131" t="n">
        <v>0</v>
      </c>
      <c r="R77" s="131" t="n">
        <v>0</v>
      </c>
      <c r="S77" s="131" t="n">
        <v>0.8356985266883201</v>
      </c>
      <c r="T77" s="132" t="n">
        <v>0.8356985266883201</v>
      </c>
      <c r="V77" s="130" t="n">
        <v>0</v>
      </c>
      <c r="W77" s="131" t="n">
        <v>0</v>
      </c>
      <c r="X77" s="131" t="n">
        <v>0</v>
      </c>
      <c r="Y77" s="131" t="n">
        <v>0.8963748172115763</v>
      </c>
      <c r="Z77" s="132" t="n">
        <v>0.8963748172115763</v>
      </c>
    </row>
    <row r="78">
      <c r="B78" s="64" t="inlineStr">
        <is>
          <t>Institutional NDCs</t>
        </is>
      </c>
      <c r="D78" s="130" t="n">
        <v>12</v>
      </c>
      <c r="E78" s="131" t="n">
        <v>0</v>
      </c>
      <c r="F78" s="131" t="n">
        <v>0</v>
      </c>
      <c r="G78" s="131" t="n">
        <v>0</v>
      </c>
      <c r="H78" s="132" t="n">
        <v>12</v>
      </c>
      <c r="J78" s="130" t="n">
        <v>14.09182804708895</v>
      </c>
      <c r="K78" s="131" t="n">
        <v>0</v>
      </c>
      <c r="L78" s="131" t="n">
        <v>0</v>
      </c>
      <c r="M78" s="131" t="n">
        <v>0</v>
      </c>
      <c r="N78" s="132" t="n">
        <v>14.09182804708895</v>
      </c>
      <c r="P78" s="130" t="n">
        <v>19.96087013213621</v>
      </c>
      <c r="Q78" s="131" t="n">
        <v>0</v>
      </c>
      <c r="R78" s="131" t="n">
        <v>0</v>
      </c>
      <c r="S78" s="131" t="n">
        <v>0</v>
      </c>
      <c r="T78" s="132" t="n">
        <v>19.96087013213621</v>
      </c>
      <c r="V78" s="130" t="n">
        <v>22.02775740512093</v>
      </c>
      <c r="W78" s="131" t="n">
        <v>0</v>
      </c>
      <c r="X78" s="131" t="n">
        <v>0</v>
      </c>
      <c r="Y78" s="131" t="n">
        <v>0</v>
      </c>
      <c r="Z78" s="132" t="n">
        <v>22.02775740512093</v>
      </c>
    </row>
    <row r="79" ht="15" customHeight="1">
      <c r="B79" s="64" t="inlineStr">
        <is>
          <t>Formulary Exclusions</t>
        </is>
      </c>
      <c r="D79" s="130" t="n">
        <v>2019</v>
      </c>
      <c r="E79" s="131" t="n">
        <v>2404</v>
      </c>
      <c r="F79" s="131" t="n">
        <v>10</v>
      </c>
      <c r="G79" s="131" t="n">
        <v>0</v>
      </c>
      <c r="H79" s="132" t="n">
        <v>4433</v>
      </c>
      <c r="J79" s="130" t="n">
        <v>2476.941695579429</v>
      </c>
      <c r="K79" s="131" t="n">
        <v>2849.092396586792</v>
      </c>
      <c r="L79" s="131" t="n">
        <v>11.82289063599359</v>
      </c>
      <c r="M79" s="131" t="n">
        <v>0</v>
      </c>
      <c r="N79" s="132" t="n">
        <v>5337.856982802215</v>
      </c>
      <c r="P79" s="130" t="n">
        <v>2558.682056625254</v>
      </c>
      <c r="Q79" s="131" t="n">
        <v>2925.262718709263</v>
      </c>
      <c r="R79" s="131" t="n">
        <v>12.15252135439121</v>
      </c>
      <c r="S79" s="131" t="n">
        <v>0</v>
      </c>
      <c r="T79" s="132" t="n">
        <v>5496.097296688908</v>
      </c>
      <c r="V79" s="130" t="n">
        <v>2611.881295037885</v>
      </c>
      <c r="W79" s="131" t="n">
        <v>2984.036659919333</v>
      </c>
      <c r="X79" s="131" t="n">
        <v>12.40600426369416</v>
      </c>
      <c r="Y79" s="131" t="n">
        <v>0</v>
      </c>
      <c r="Z79" s="132" t="n">
        <v>5608.323959220912</v>
      </c>
    </row>
    <row r="80">
      <c r="B80" s="64" t="inlineStr">
        <is>
          <t>Synthroid</t>
        </is>
      </c>
      <c r="D80" s="130" t="n">
        <v>0</v>
      </c>
      <c r="E80" s="131" t="n">
        <v>0</v>
      </c>
      <c r="F80" s="131" t="n">
        <v>0</v>
      </c>
      <c r="G80" s="131" t="n">
        <v>0</v>
      </c>
      <c r="H80" s="132" t="n">
        <v>0</v>
      </c>
      <c r="J80" s="130" t="n">
        <v>0</v>
      </c>
      <c r="K80" s="131" t="n">
        <v>0</v>
      </c>
      <c r="L80" s="131" t="n">
        <v>0</v>
      </c>
      <c r="M80" s="131" t="n">
        <v>0</v>
      </c>
      <c r="N80" s="132" t="n">
        <v>0</v>
      </c>
      <c r="P80" s="130" t="n">
        <v>0</v>
      </c>
      <c r="Q80" s="131" t="n">
        <v>0</v>
      </c>
      <c r="R80" s="131" t="n">
        <v>0</v>
      </c>
      <c r="S80" s="131" t="n">
        <v>0</v>
      </c>
      <c r="T80" s="132" t="n">
        <v>0</v>
      </c>
      <c r="V80" s="130" t="n">
        <v>0</v>
      </c>
      <c r="W80" s="131" t="n">
        <v>0</v>
      </c>
      <c r="X80" s="131" t="n">
        <v>0</v>
      </c>
      <c r="Y80" s="131" t="n">
        <v>0</v>
      </c>
      <c r="Z80" s="132" t="n">
        <v>0</v>
      </c>
    </row>
    <row r="81">
      <c r="B81" s="64" t="inlineStr">
        <is>
          <t>Misc</t>
        </is>
      </c>
      <c r="D81" s="130" t="n">
        <v>20</v>
      </c>
      <c r="E81" s="131" t="n">
        <v>0</v>
      </c>
      <c r="F81" s="131" t="n">
        <v>0</v>
      </c>
      <c r="G81" s="131" t="n">
        <v>383</v>
      </c>
      <c r="H81" s="132" t="n">
        <v>403</v>
      </c>
      <c r="J81" s="130" t="n">
        <v>22.84568983718054</v>
      </c>
      <c r="K81" s="131" t="n">
        <v>0</v>
      </c>
      <c r="L81" s="131" t="n">
        <v>0</v>
      </c>
      <c r="M81" s="131" t="n">
        <v>646.2757591213291</v>
      </c>
      <c r="N81" s="132" t="n">
        <v>669.1214489585096</v>
      </c>
      <c r="P81" s="130" t="n">
        <v>35.63096672660322</v>
      </c>
      <c r="Q81" s="131" t="n">
        <v>0</v>
      </c>
      <c r="R81" s="131" t="n">
        <v>0</v>
      </c>
      <c r="S81" s="131" t="n">
        <v>732.1357703742319</v>
      </c>
      <c r="T81" s="132" t="n">
        <v>767.7667371008351</v>
      </c>
      <c r="V81" s="130" t="n">
        <v>53.71684799538343</v>
      </c>
      <c r="W81" s="131" t="n">
        <v>0</v>
      </c>
      <c r="X81" s="131" t="n">
        <v>0</v>
      </c>
      <c r="Y81" s="131" t="n">
        <v>880.0595490867236</v>
      </c>
      <c r="Z81" s="132" t="n">
        <v>933.776397082107</v>
      </c>
    </row>
    <row r="82">
      <c r="B82" s="64" t="inlineStr">
        <is>
          <t>Specialty</t>
        </is>
      </c>
      <c r="D82" s="133" t="n">
        <v>0</v>
      </c>
      <c r="E82" s="134" t="n">
        <v>0</v>
      </c>
      <c r="F82" s="134" t="n">
        <v>0</v>
      </c>
      <c r="G82" s="134" t="n">
        <v>383</v>
      </c>
      <c r="H82" s="135" t="n">
        <v>383</v>
      </c>
      <c r="J82" s="133" t="n">
        <v>0</v>
      </c>
      <c r="K82" s="134" t="n">
        <v>0</v>
      </c>
      <c r="L82" s="134" t="n">
        <v>0</v>
      </c>
      <c r="M82" s="134" t="n">
        <v>646.2757591213291</v>
      </c>
      <c r="N82" s="135" t="n">
        <v>646.2757591213291</v>
      </c>
      <c r="P82" s="133" t="n">
        <v>0</v>
      </c>
      <c r="Q82" s="134" t="n">
        <v>0</v>
      </c>
      <c r="R82" s="134" t="n">
        <v>0</v>
      </c>
      <c r="S82" s="134" t="n">
        <v>732.1357703742319</v>
      </c>
      <c r="T82" s="135" t="n">
        <v>732.1357703742319</v>
      </c>
      <c r="V82" s="133" t="n">
        <v>0</v>
      </c>
      <c r="W82" s="134" t="n">
        <v>0</v>
      </c>
      <c r="X82" s="134" t="n">
        <v>0</v>
      </c>
      <c r="Y82" s="134" t="n">
        <v>880.0595490867236</v>
      </c>
      <c r="Z82" s="135" t="n">
        <v>880.0595490867236</v>
      </c>
    </row>
    <row r="83">
      <c r="A83" s="98" t="inlineStr">
        <is>
          <t>Added MFP row but needs adjusting for non-CY</t>
        </is>
      </c>
      <c r="B83" s="64" t="inlineStr">
        <is>
          <t>MFP 2026, 2027</t>
        </is>
      </c>
      <c r="D83" s="133" t="n">
        <v>0</v>
      </c>
      <c r="E83" s="134" t="n">
        <v>0</v>
      </c>
      <c r="F83" s="134" t="n">
        <v>0</v>
      </c>
      <c r="G83" s="134" t="n">
        <v>0</v>
      </c>
      <c r="H83" s="135" t="n">
        <v>0</v>
      </c>
      <c r="J83" s="133" t="n">
        <v>0</v>
      </c>
      <c r="K83" s="134" t="n">
        <v>0</v>
      </c>
      <c r="L83" s="134" t="n">
        <v>0</v>
      </c>
      <c r="M83" s="134" t="n">
        <v>0</v>
      </c>
      <c r="N83" s="135" t="n">
        <v>0</v>
      </c>
      <c r="P83" s="133" t="n">
        <v>0</v>
      </c>
      <c r="Q83" s="134" t="n">
        <v>0</v>
      </c>
      <c r="R83" s="134" t="n">
        <v>0</v>
      </c>
      <c r="S83" s="134" t="n">
        <v>0</v>
      </c>
      <c r="T83" s="135" t="n">
        <v>0</v>
      </c>
      <c r="V83" s="133" t="n">
        <v>0</v>
      </c>
      <c r="W83" s="134" t="n">
        <v>0</v>
      </c>
      <c r="X83" s="134" t="n">
        <v>0</v>
      </c>
      <c r="Y83" s="134" t="n">
        <v>0</v>
      </c>
      <c r="Z83" s="135" t="n">
        <v>0</v>
      </c>
    </row>
    <row r="84">
      <c r="B84" s="100">
        <f>$B$66</f>
        <v/>
      </c>
      <c r="D84" s="133" t="n">
        <v>0</v>
      </c>
      <c r="E84" s="134" t="n">
        <v>0</v>
      </c>
      <c r="F84" s="134" t="n">
        <v>0</v>
      </c>
      <c r="G84" s="134" t="n">
        <v>0</v>
      </c>
      <c r="H84" s="135" t="n">
        <v>0</v>
      </c>
      <c r="J84" s="133" t="n">
        <v>0</v>
      </c>
      <c r="K84" s="134" t="n">
        <v>0</v>
      </c>
      <c r="L84" s="134" t="n">
        <v>0</v>
      </c>
      <c r="M84" s="134" t="n">
        <v>0</v>
      </c>
      <c r="N84" s="135" t="n">
        <v>0</v>
      </c>
      <c r="P84" s="133" t="n">
        <v>0</v>
      </c>
      <c r="Q84" s="134" t="n">
        <v>0</v>
      </c>
      <c r="R84" s="134" t="n">
        <v>0</v>
      </c>
      <c r="S84" s="134" t="n">
        <v>0</v>
      </c>
      <c r="T84" s="135" t="n">
        <v>0</v>
      </c>
      <c r="V84" s="133" t="n">
        <v>0</v>
      </c>
      <c r="W84" s="134" t="n">
        <v>0</v>
      </c>
      <c r="X84" s="134" t="n">
        <v>0</v>
      </c>
      <c r="Y84" s="134" t="n">
        <v>0</v>
      </c>
      <c r="Z84" s="135" t="n">
        <v>0</v>
      </c>
    </row>
    <row r="85" ht="15" customHeight="1" thickBot="1">
      <c r="B85" s="59" t="inlineStr">
        <is>
          <t>Non-Rebatable</t>
        </is>
      </c>
      <c r="D85" s="136" t="n">
        <v>0</v>
      </c>
      <c r="E85" s="137" t="n">
        <v>0</v>
      </c>
      <c r="F85" s="137" t="n">
        <v>0</v>
      </c>
      <c r="G85" s="137" t="n">
        <v>0</v>
      </c>
      <c r="H85" s="138" t="n">
        <v>0</v>
      </c>
      <c r="J85" s="139" t="n">
        <v>239343.9668228973</v>
      </c>
      <c r="K85" s="140" t="n">
        <v>246638.3140649248</v>
      </c>
      <c r="L85" s="140" t="n">
        <v>3884.037794688341</v>
      </c>
      <c r="M85" s="140" t="n">
        <v>0</v>
      </c>
      <c r="N85" s="141" t="n">
        <v>489866.3186825104</v>
      </c>
      <c r="P85" s="139" t="n">
        <v>244499.1255482345</v>
      </c>
      <c r="Q85" s="140" t="n">
        <v>252865.283451084</v>
      </c>
      <c r="R85" s="140" t="n">
        <v>3973.333705512458</v>
      </c>
      <c r="S85" s="140" t="n">
        <v>0</v>
      </c>
      <c r="T85" s="141" t="n">
        <v>501337.7427048309</v>
      </c>
      <c r="V85" s="139" t="n">
        <v>248584.5047241183</v>
      </c>
      <c r="W85" s="140" t="n">
        <v>256728.376959773</v>
      </c>
      <c r="X85" s="140" t="n">
        <v>4026.4599762026</v>
      </c>
      <c r="Y85" s="140" t="n">
        <v>0</v>
      </c>
      <c r="Z85" s="141" t="n">
        <v>509339.3416600939</v>
      </c>
    </row>
    <row r="86" ht="15.6" customHeight="1" thickBot="1" thickTop="1">
      <c r="B86" s="69" t="inlineStr">
        <is>
          <t>Total</t>
        </is>
      </c>
      <c r="D86" s="142" t="n">
        <v>2051</v>
      </c>
      <c r="E86" s="143" t="n">
        <v>2404</v>
      </c>
      <c r="F86" s="143" t="n">
        <v>10</v>
      </c>
      <c r="G86" s="143" t="n">
        <v>383</v>
      </c>
      <c r="H86" s="144" t="n">
        <v>5231</v>
      </c>
      <c r="J86" s="142" t="n">
        <v>241857.846036361</v>
      </c>
      <c r="K86" s="143" t="n">
        <v>249487.4064615115</v>
      </c>
      <c r="L86" s="143" t="n">
        <v>3895.860685324335</v>
      </c>
      <c r="M86" s="143" t="n">
        <v>647.0252361436104</v>
      </c>
      <c r="N86" s="144" t="n">
        <v>496534.4141784618</v>
      </c>
      <c r="P86" s="142" t="n">
        <v>247113.3994417185</v>
      </c>
      <c r="Q86" s="143" t="n">
        <v>255790.5461697932</v>
      </c>
      <c r="R86" s="143" t="n">
        <v>3985.486226866849</v>
      </c>
      <c r="S86" s="143" t="n">
        <v>732.9714689009203</v>
      </c>
      <c r="T86" s="144" t="n">
        <v>508354.5390776537</v>
      </c>
      <c r="V86" s="142" t="n">
        <v>251272.1306245567</v>
      </c>
      <c r="W86" s="143" t="n">
        <v>259712.4136196924</v>
      </c>
      <c r="X86" s="143" t="n">
        <v>4038.865980466294</v>
      </c>
      <c r="Y86" s="143" t="n">
        <v>880.9559239039352</v>
      </c>
      <c r="Z86" s="144" t="n">
        <v>516784.4256977059</v>
      </c>
    </row>
    <row r="87" ht="15" customHeight="1" thickBot="1">
      <c r="D87" s="145" t="n"/>
      <c r="E87" s="145" t="n"/>
      <c r="F87" s="145" t="n"/>
      <c r="G87" s="145" t="n"/>
      <c r="H87" s="145" t="n"/>
      <c r="J87" s="145" t="n"/>
      <c r="K87" s="145" t="n"/>
      <c r="L87" s="145" t="n"/>
      <c r="M87" s="145" t="n"/>
      <c r="N87" s="145" t="n"/>
      <c r="P87" s="145" t="n"/>
      <c r="Q87" s="145" t="n"/>
      <c r="R87" s="145" t="n"/>
      <c r="S87" s="145" t="n"/>
      <c r="T87" s="145" t="n"/>
      <c r="V87" s="145" t="n"/>
      <c r="W87" s="145" t="n"/>
      <c r="X87" s="145" t="n"/>
      <c r="Y87" s="145" t="n"/>
      <c r="Z87" s="145" t="n"/>
    </row>
    <row r="88" ht="15" customHeight="1" thickBot="1">
      <c r="B88" s="27" t="inlineStr">
        <is>
          <t>Excl - Total</t>
        </is>
      </c>
      <c r="D88" s="28" t="inlineStr">
        <is>
          <t>R30</t>
        </is>
      </c>
      <c r="E88" s="29" t="inlineStr">
        <is>
          <t>R90</t>
        </is>
      </c>
      <c r="F88" s="29" t="inlineStr">
        <is>
          <t>Mail</t>
        </is>
      </c>
      <c r="G88" s="29" t="inlineStr">
        <is>
          <t>Specialty</t>
        </is>
      </c>
      <c r="H88" s="30" t="inlineStr">
        <is>
          <t>Total</t>
        </is>
      </c>
      <c r="J88" s="28" t="inlineStr">
        <is>
          <t>R30</t>
        </is>
      </c>
      <c r="K88" s="29" t="inlineStr">
        <is>
          <t>R90</t>
        </is>
      </c>
      <c r="L88" s="29" t="inlineStr">
        <is>
          <t>Mail</t>
        </is>
      </c>
      <c r="M88" s="29" t="inlineStr">
        <is>
          <t>Specialty</t>
        </is>
      </c>
      <c r="N88" s="30" t="inlineStr">
        <is>
          <t>Total</t>
        </is>
      </c>
      <c r="P88" s="28" t="inlineStr">
        <is>
          <t>R30</t>
        </is>
      </c>
      <c r="Q88" s="29" t="inlineStr">
        <is>
          <t>R90</t>
        </is>
      </c>
      <c r="R88" s="29" t="inlineStr">
        <is>
          <t>Mail</t>
        </is>
      </c>
      <c r="S88" s="29" t="inlineStr">
        <is>
          <t>Specialty</t>
        </is>
      </c>
      <c r="T88" s="30" t="inlineStr">
        <is>
          <t>Total</t>
        </is>
      </c>
      <c r="V88" s="28" t="inlineStr">
        <is>
          <t>R30</t>
        </is>
      </c>
      <c r="W88" s="29" t="inlineStr">
        <is>
          <t>R90</t>
        </is>
      </c>
      <c r="X88" s="29" t="inlineStr">
        <is>
          <t>Mail</t>
        </is>
      </c>
      <c r="Y88" s="29" t="inlineStr">
        <is>
          <t>Specialty</t>
        </is>
      </c>
      <c r="Z88" s="30" t="inlineStr">
        <is>
          <t>Total</t>
        </is>
      </c>
    </row>
    <row r="89">
      <c r="B89" s="38" t="inlineStr">
        <is>
          <t>OTCs</t>
        </is>
      </c>
      <c r="D89" s="127" t="n">
        <v>0</v>
      </c>
      <c r="E89" s="128" t="n">
        <v>0</v>
      </c>
      <c r="F89" s="128" t="n">
        <v>0</v>
      </c>
      <c r="G89" s="128" t="n">
        <v>0</v>
      </c>
      <c r="H89" s="129" t="n">
        <v>0</v>
      </c>
      <c r="J89" s="127" t="n">
        <v>0</v>
      </c>
      <c r="K89" s="128" t="n">
        <v>0</v>
      </c>
      <c r="L89" s="128" t="n">
        <v>0</v>
      </c>
      <c r="M89" s="128" t="n">
        <v>0</v>
      </c>
      <c r="N89" s="129" t="n">
        <v>0</v>
      </c>
      <c r="P89" s="127" t="n">
        <v>0</v>
      </c>
      <c r="Q89" s="128" t="n">
        <v>0</v>
      </c>
      <c r="R89" s="128" t="n">
        <v>0</v>
      </c>
      <c r="S89" s="128" t="n">
        <v>0</v>
      </c>
      <c r="T89" s="129" t="n">
        <v>0</v>
      </c>
      <c r="V89" s="127" t="n">
        <v>0</v>
      </c>
      <c r="W89" s="128" t="n">
        <v>0</v>
      </c>
      <c r="X89" s="128" t="n">
        <v>0</v>
      </c>
      <c r="Y89" s="128" t="n">
        <v>0</v>
      </c>
      <c r="Z89" s="129" t="n">
        <v>0</v>
      </c>
    </row>
    <row r="90">
      <c r="B90" s="49" t="inlineStr">
        <is>
          <t>Devices</t>
        </is>
      </c>
      <c r="D90" s="130" t="n">
        <v>0</v>
      </c>
      <c r="E90" s="131" t="n">
        <v>0</v>
      </c>
      <c r="F90" s="131" t="n">
        <v>0</v>
      </c>
      <c r="G90" s="131" t="n">
        <v>0</v>
      </c>
      <c r="H90" s="132" t="n">
        <v>0</v>
      </c>
      <c r="J90" s="130" t="n">
        <v>0</v>
      </c>
      <c r="K90" s="131" t="n">
        <v>0</v>
      </c>
      <c r="L90" s="131" t="n">
        <v>0</v>
      </c>
      <c r="M90" s="131" t="n">
        <v>0</v>
      </c>
      <c r="N90" s="132" t="n">
        <v>0</v>
      </c>
      <c r="P90" s="130" t="n">
        <v>0</v>
      </c>
      <c r="Q90" s="131" t="n">
        <v>0</v>
      </c>
      <c r="R90" s="131" t="n">
        <v>0</v>
      </c>
      <c r="S90" s="131" t="n">
        <v>0</v>
      </c>
      <c r="T90" s="132" t="n">
        <v>0</v>
      </c>
      <c r="V90" s="130" t="n">
        <v>0</v>
      </c>
      <c r="W90" s="131" t="n">
        <v>0</v>
      </c>
      <c r="X90" s="131" t="n">
        <v>0</v>
      </c>
      <c r="Y90" s="131" t="n">
        <v>0</v>
      </c>
      <c r="Z90" s="132" t="n">
        <v>0</v>
      </c>
    </row>
    <row r="91">
      <c r="B91" s="64" t="inlineStr">
        <is>
          <t>Vaccines</t>
        </is>
      </c>
      <c r="D91" s="130" t="n">
        <v>0</v>
      </c>
      <c r="E91" s="131" t="n">
        <v>0</v>
      </c>
      <c r="F91" s="131" t="n">
        <v>0</v>
      </c>
      <c r="G91" s="131" t="n">
        <v>0</v>
      </c>
      <c r="H91" s="132" t="n">
        <v>0</v>
      </c>
      <c r="J91" s="130" t="n">
        <v>0</v>
      </c>
      <c r="K91" s="131" t="n">
        <v>0</v>
      </c>
      <c r="L91" s="131" t="n">
        <v>0</v>
      </c>
      <c r="M91" s="131" t="n">
        <v>0</v>
      </c>
      <c r="N91" s="132" t="n">
        <v>0</v>
      </c>
      <c r="P91" s="130" t="n">
        <v>0</v>
      </c>
      <c r="Q91" s="131" t="n">
        <v>0</v>
      </c>
      <c r="R91" s="131" t="n">
        <v>0</v>
      </c>
      <c r="S91" s="131" t="n">
        <v>0</v>
      </c>
      <c r="T91" s="132" t="n">
        <v>0</v>
      </c>
      <c r="V91" s="130" t="n">
        <v>0</v>
      </c>
      <c r="W91" s="131" t="n">
        <v>0</v>
      </c>
      <c r="X91" s="131" t="n">
        <v>0</v>
      </c>
      <c r="Y91" s="131" t="n">
        <v>0</v>
      </c>
      <c r="Z91" s="132" t="n">
        <v>0</v>
      </c>
    </row>
    <row r="92">
      <c r="B92" s="64" t="inlineStr">
        <is>
          <t>Repackaged</t>
        </is>
      </c>
      <c r="D92" s="130" t="n">
        <v>0</v>
      </c>
      <c r="E92" s="131" t="n">
        <v>0</v>
      </c>
      <c r="F92" s="131" t="n">
        <v>0</v>
      </c>
      <c r="G92" s="131" t="n">
        <v>0</v>
      </c>
      <c r="H92" s="132" t="n">
        <v>0</v>
      </c>
      <c r="J92" s="130" t="n">
        <v>0</v>
      </c>
      <c r="K92" s="131" t="n">
        <v>0</v>
      </c>
      <c r="L92" s="131" t="n">
        <v>0</v>
      </c>
      <c r="M92" s="131" t="n">
        <v>0</v>
      </c>
      <c r="N92" s="132" t="n">
        <v>0</v>
      </c>
      <c r="P92" s="130" t="n">
        <v>0</v>
      </c>
      <c r="Q92" s="131" t="n">
        <v>0</v>
      </c>
      <c r="R92" s="131" t="n">
        <v>0</v>
      </c>
      <c r="S92" s="131" t="n">
        <v>0</v>
      </c>
      <c r="T92" s="132" t="n">
        <v>0</v>
      </c>
      <c r="V92" s="130" t="n">
        <v>0</v>
      </c>
      <c r="W92" s="131" t="n">
        <v>0</v>
      </c>
      <c r="X92" s="131" t="n">
        <v>0</v>
      </c>
      <c r="Y92" s="131" t="n">
        <v>0</v>
      </c>
      <c r="Z92" s="132" t="n">
        <v>0</v>
      </c>
    </row>
    <row r="93">
      <c r="B93" s="64" t="inlineStr">
        <is>
          <t>MSBs</t>
        </is>
      </c>
      <c r="D93" s="130" t="n">
        <v>0</v>
      </c>
      <c r="E93" s="131" t="n">
        <v>0</v>
      </c>
      <c r="F93" s="131" t="n">
        <v>0</v>
      </c>
      <c r="G93" s="131" t="n">
        <v>0</v>
      </c>
      <c r="H93" s="132" t="n">
        <v>0</v>
      </c>
      <c r="J93" s="130" t="n">
        <v>0</v>
      </c>
      <c r="K93" s="131" t="n">
        <v>0</v>
      </c>
      <c r="L93" s="131" t="n">
        <v>0</v>
      </c>
      <c r="M93" s="131" t="n">
        <v>0</v>
      </c>
      <c r="N93" s="132" t="n">
        <v>0</v>
      </c>
      <c r="P93" s="130" t="n">
        <v>0</v>
      </c>
      <c r="Q93" s="131" t="n">
        <v>0</v>
      </c>
      <c r="R93" s="131" t="n">
        <v>0</v>
      </c>
      <c r="S93" s="131" t="n">
        <v>0</v>
      </c>
      <c r="T93" s="132" t="n">
        <v>0</v>
      </c>
      <c r="V93" s="130" t="n">
        <v>0</v>
      </c>
      <c r="W93" s="131" t="n">
        <v>0</v>
      </c>
      <c r="X93" s="131" t="n">
        <v>0</v>
      </c>
      <c r="Y93" s="131" t="n">
        <v>0</v>
      </c>
      <c r="Z93" s="132" t="n">
        <v>0</v>
      </c>
    </row>
    <row r="94">
      <c r="B94" s="64" t="inlineStr">
        <is>
          <t>Non FDA Approved</t>
        </is>
      </c>
      <c r="D94" s="130" t="n">
        <v>0</v>
      </c>
      <c r="E94" s="131" t="n">
        <v>6</v>
      </c>
      <c r="F94" s="131" t="n">
        <v>0</v>
      </c>
      <c r="G94" s="131" t="n">
        <v>0</v>
      </c>
      <c r="H94" s="132" t="n">
        <v>6</v>
      </c>
      <c r="J94" s="130" t="n">
        <v>0</v>
      </c>
      <c r="K94" s="131" t="n">
        <v>6.885489488627885</v>
      </c>
      <c r="L94" s="131" t="n">
        <v>0</v>
      </c>
      <c r="M94" s="131" t="n">
        <v>0</v>
      </c>
      <c r="N94" s="132" t="n">
        <v>6.885489488627885</v>
      </c>
      <c r="P94" s="130" t="n">
        <v>0</v>
      </c>
      <c r="Q94" s="131" t="n">
        <v>7.09762893823543</v>
      </c>
      <c r="R94" s="131" t="n">
        <v>0</v>
      </c>
      <c r="S94" s="131" t="n">
        <v>0</v>
      </c>
      <c r="T94" s="132" t="n">
        <v>7.09762893823543</v>
      </c>
      <c r="V94" s="130" t="n">
        <v>0</v>
      </c>
      <c r="W94" s="131" t="n">
        <v>7.29938773026082</v>
      </c>
      <c r="X94" s="131" t="n">
        <v>0</v>
      </c>
      <c r="Y94" s="131" t="n">
        <v>0</v>
      </c>
      <c r="Z94" s="132" t="n">
        <v>7.29938773026082</v>
      </c>
    </row>
    <row r="95">
      <c r="B95" s="64" t="inlineStr">
        <is>
          <t>LDD</t>
        </is>
      </c>
      <c r="D95" s="130" t="n">
        <v>18</v>
      </c>
      <c r="E95" s="131" t="n">
        <v>0</v>
      </c>
      <c r="F95" s="131" t="n">
        <v>0</v>
      </c>
      <c r="G95" s="131" t="n">
        <v>1</v>
      </c>
      <c r="H95" s="132" t="n">
        <v>19</v>
      </c>
      <c r="J95" s="130" t="n">
        <v>24.87719139716617</v>
      </c>
      <c r="K95" s="131" t="n">
        <v>0</v>
      </c>
      <c r="L95" s="131" t="n">
        <v>0</v>
      </c>
      <c r="M95" s="131" t="n">
        <v>1.367136085871659</v>
      </c>
      <c r="N95" s="132" t="n">
        <v>26.24432748303783</v>
      </c>
      <c r="P95" s="130" t="n">
        <v>27.65663487526179</v>
      </c>
      <c r="Q95" s="131" t="n">
        <v>0</v>
      </c>
      <c r="R95" s="131" t="n">
        <v>0</v>
      </c>
      <c r="S95" s="131" t="n">
        <v>1.446478003178301</v>
      </c>
      <c r="T95" s="132" t="n">
        <v>29.10311287844009</v>
      </c>
      <c r="V95" s="130" t="n">
        <v>31.05175440243663</v>
      </c>
      <c r="W95" s="131" t="n">
        <v>0</v>
      </c>
      <c r="X95" s="131" t="n">
        <v>0</v>
      </c>
      <c r="Y95" s="131" t="n">
        <v>1.539423073904818</v>
      </c>
      <c r="Z95" s="132" t="n">
        <v>32.59117747634145</v>
      </c>
    </row>
    <row r="96">
      <c r="B96" s="64" t="inlineStr">
        <is>
          <t>Institutional NDCs</t>
        </is>
      </c>
      <c r="D96" s="130" t="n">
        <v>23</v>
      </c>
      <c r="E96" s="131" t="n">
        <v>0</v>
      </c>
      <c r="F96" s="131" t="n">
        <v>0</v>
      </c>
      <c r="G96" s="131" t="n">
        <v>0</v>
      </c>
      <c r="H96" s="132" t="n">
        <v>23</v>
      </c>
      <c r="J96" s="130" t="n">
        <v>26.24935302529743</v>
      </c>
      <c r="K96" s="131" t="n">
        <v>0</v>
      </c>
      <c r="L96" s="131" t="n">
        <v>0</v>
      </c>
      <c r="M96" s="131" t="n">
        <v>0</v>
      </c>
      <c r="N96" s="132" t="n">
        <v>26.24935302529743</v>
      </c>
      <c r="P96" s="130" t="n">
        <v>26.57911917875575</v>
      </c>
      <c r="Q96" s="131" t="n">
        <v>0</v>
      </c>
      <c r="R96" s="131" t="n">
        <v>0</v>
      </c>
      <c r="S96" s="131" t="n">
        <v>0</v>
      </c>
      <c r="T96" s="132" t="n">
        <v>26.57911917875575</v>
      </c>
      <c r="V96" s="130" t="n">
        <v>28.06187153348851</v>
      </c>
      <c r="W96" s="131" t="n">
        <v>0</v>
      </c>
      <c r="X96" s="131" t="n">
        <v>0</v>
      </c>
      <c r="Y96" s="131" t="n">
        <v>0</v>
      </c>
      <c r="Z96" s="132" t="n">
        <v>28.06187153348851</v>
      </c>
    </row>
    <row r="97">
      <c r="B97" s="64" t="inlineStr">
        <is>
          <t>Formulary Exclusions</t>
        </is>
      </c>
      <c r="D97" s="130" t="n">
        <v>5655</v>
      </c>
      <c r="E97" s="131" t="n">
        <v>4007</v>
      </c>
      <c r="F97" s="131" t="n">
        <v>42</v>
      </c>
      <c r="G97" s="131" t="n">
        <v>0</v>
      </c>
      <c r="H97" s="132" t="n">
        <v>9704</v>
      </c>
      <c r="J97" s="130" t="n">
        <v>8521.815565172983</v>
      </c>
      <c r="K97" s="131" t="n">
        <v>6628.085294105205</v>
      </c>
      <c r="L97" s="131" t="n">
        <v>81.12125915531615</v>
      </c>
      <c r="M97" s="131" t="n">
        <v>0</v>
      </c>
      <c r="N97" s="132" t="n">
        <v>15231.0221184335</v>
      </c>
      <c r="P97" s="130" t="n">
        <v>8787.458946566274</v>
      </c>
      <c r="Q97" s="131" t="n">
        <v>6924.377261876313</v>
      </c>
      <c r="R97" s="131" t="n">
        <v>85.73780046159801</v>
      </c>
      <c r="S97" s="131" t="n">
        <v>0</v>
      </c>
      <c r="T97" s="132" t="n">
        <v>15797.57400890418</v>
      </c>
      <c r="V97" s="130" t="n">
        <v>9058.982559296473</v>
      </c>
      <c r="W97" s="131" t="n">
        <v>7214.103405258798</v>
      </c>
      <c r="X97" s="131" t="n">
        <v>90.06841189161894</v>
      </c>
      <c r="Y97" s="131" t="n">
        <v>0</v>
      </c>
      <c r="Z97" s="132" t="n">
        <v>16363.15437644689</v>
      </c>
    </row>
    <row r="98">
      <c r="B98" s="64" t="inlineStr">
        <is>
          <t>Synthroid</t>
        </is>
      </c>
      <c r="D98" s="130" t="n">
        <v>331</v>
      </c>
      <c r="E98" s="131" t="n">
        <v>641</v>
      </c>
      <c r="F98" s="131" t="n">
        <v>4</v>
      </c>
      <c r="G98" s="131" t="n">
        <v>0</v>
      </c>
      <c r="H98" s="132" t="n">
        <v>976</v>
      </c>
      <c r="J98" s="130" t="n">
        <v>351.9287478386029</v>
      </c>
      <c r="K98" s="131" t="n">
        <v>695.2653220010801</v>
      </c>
      <c r="L98" s="131" t="n">
        <v>4.363987808065344</v>
      </c>
      <c r="M98" s="131" t="n">
        <v>0</v>
      </c>
      <c r="N98" s="132" t="n">
        <v>1051.558057647748</v>
      </c>
      <c r="P98" s="130" t="n">
        <v>344.8677977438759</v>
      </c>
      <c r="Q98" s="131" t="n">
        <v>695.6708181072372</v>
      </c>
      <c r="R98" s="131" t="n">
        <v>4.376881306996877</v>
      </c>
      <c r="S98" s="131" t="n">
        <v>0</v>
      </c>
      <c r="T98" s="132" t="n">
        <v>1044.91549715811</v>
      </c>
      <c r="V98" s="130" t="n">
        <v>337.2252462051625</v>
      </c>
      <c r="W98" s="131" t="n">
        <v>693.7423997998153</v>
      </c>
      <c r="X98" s="131" t="n">
        <v>4.349920807420687</v>
      </c>
      <c r="Y98" s="131" t="n">
        <v>0</v>
      </c>
      <c r="Z98" s="132" t="n">
        <v>1035.317566812398</v>
      </c>
    </row>
    <row r="99">
      <c r="B99" s="64" t="inlineStr">
        <is>
          <t>Misc</t>
        </is>
      </c>
      <c r="D99" s="130" t="n">
        <v>1732</v>
      </c>
      <c r="E99" s="131" t="n">
        <v>1322</v>
      </c>
      <c r="F99" s="131" t="n">
        <v>21</v>
      </c>
      <c r="G99" s="131" t="n">
        <v>3360</v>
      </c>
      <c r="H99" s="132" t="n">
        <v>6435</v>
      </c>
      <c r="J99" s="130" t="n">
        <v>2715.313301741378</v>
      </c>
      <c r="K99" s="131" t="n">
        <v>2139.409809914592</v>
      </c>
      <c r="L99" s="131" t="n">
        <v>34.42048685206373</v>
      </c>
      <c r="M99" s="131" t="n">
        <v>4701.938698982581</v>
      </c>
      <c r="N99" s="132" t="n">
        <v>9591.082297490615</v>
      </c>
      <c r="P99" s="130" t="n">
        <v>3197.258219982265</v>
      </c>
      <c r="Q99" s="131" t="n">
        <v>2604.95332839858</v>
      </c>
      <c r="R99" s="131" t="n">
        <v>42.03577551248054</v>
      </c>
      <c r="S99" s="131" t="n">
        <v>5099.728555144815</v>
      </c>
      <c r="T99" s="132" t="n">
        <v>10943.97587903814</v>
      </c>
      <c r="V99" s="130" t="n">
        <v>3772.141387435433</v>
      </c>
      <c r="W99" s="131" t="n">
        <v>3171.189177179011</v>
      </c>
      <c r="X99" s="131" t="n">
        <v>51.03255827472276</v>
      </c>
      <c r="Y99" s="131" t="n">
        <v>5541.410161234371</v>
      </c>
      <c r="Z99" s="132" t="n">
        <v>12535.77328412354</v>
      </c>
    </row>
    <row r="100">
      <c r="B100" s="64" t="inlineStr">
        <is>
          <t>Specialty</t>
        </is>
      </c>
      <c r="D100" s="133" t="n">
        <v>0</v>
      </c>
      <c r="E100" s="134" t="n">
        <v>0</v>
      </c>
      <c r="F100" s="134" t="n">
        <v>0</v>
      </c>
      <c r="G100" s="134" t="n">
        <v>3360</v>
      </c>
      <c r="H100" s="135" t="n">
        <v>3360</v>
      </c>
      <c r="J100" s="133" t="n">
        <v>0</v>
      </c>
      <c r="K100" s="134" t="n">
        <v>0</v>
      </c>
      <c r="L100" s="134" t="n">
        <v>0</v>
      </c>
      <c r="M100" s="134" t="n">
        <v>4701.935289376432</v>
      </c>
      <c r="N100" s="135" t="n">
        <v>4701.935289376432</v>
      </c>
      <c r="P100" s="133" t="n">
        <v>0</v>
      </c>
      <c r="Q100" s="134" t="n">
        <v>0</v>
      </c>
      <c r="R100" s="134" t="n">
        <v>0</v>
      </c>
      <c r="S100" s="134" t="n">
        <v>5099.725056957099</v>
      </c>
      <c r="T100" s="135" t="n">
        <v>5099.725056957099</v>
      </c>
      <c r="V100" s="133" t="n">
        <v>0</v>
      </c>
      <c r="W100" s="134" t="n">
        <v>0</v>
      </c>
      <c r="X100" s="134" t="n">
        <v>0</v>
      </c>
      <c r="Y100" s="134" t="n">
        <v>5541.40655673673</v>
      </c>
      <c r="Z100" s="135" t="n">
        <v>5541.40655673673</v>
      </c>
    </row>
    <row r="101">
      <c r="A101" s="98" t="inlineStr">
        <is>
          <t>Added MFP row but needs adjusting for non-CY</t>
        </is>
      </c>
      <c r="B101" s="64" t="inlineStr">
        <is>
          <t>MFP 2026, 2027</t>
        </is>
      </c>
      <c r="D101" s="133" t="n">
        <v>0</v>
      </c>
      <c r="E101" s="134" t="n">
        <v>0</v>
      </c>
      <c r="F101" s="134" t="n">
        <v>0</v>
      </c>
      <c r="G101" s="134" t="n">
        <v>0</v>
      </c>
      <c r="H101" s="135" t="n">
        <v>0</v>
      </c>
      <c r="J101" s="133" t="n">
        <v>0</v>
      </c>
      <c r="K101" s="134" t="n">
        <v>0</v>
      </c>
      <c r="L101" s="134" t="n">
        <v>0</v>
      </c>
      <c r="M101" s="134" t="n">
        <v>0</v>
      </c>
      <c r="N101" s="135" t="n">
        <v>0</v>
      </c>
      <c r="P101" s="133" t="n">
        <v>0</v>
      </c>
      <c r="Q101" s="134" t="n">
        <v>0</v>
      </c>
      <c r="R101" s="134" t="n">
        <v>0</v>
      </c>
      <c r="S101" s="134" t="n">
        <v>0</v>
      </c>
      <c r="T101" s="135" t="n">
        <v>0</v>
      </c>
      <c r="V101" s="133" t="n">
        <v>0</v>
      </c>
      <c r="W101" s="134" t="n">
        <v>0</v>
      </c>
      <c r="X101" s="134" t="n">
        <v>0</v>
      </c>
      <c r="Y101" s="134" t="n">
        <v>0</v>
      </c>
      <c r="Z101" s="135" t="n">
        <v>0</v>
      </c>
    </row>
    <row r="102">
      <c r="B102" s="100">
        <f>$B$66</f>
        <v/>
      </c>
      <c r="D102" s="133" t="n">
        <v>0</v>
      </c>
      <c r="E102" s="134" t="n">
        <v>0</v>
      </c>
      <c r="F102" s="134" t="n">
        <v>0</v>
      </c>
      <c r="G102" s="134" t="n">
        <v>0</v>
      </c>
      <c r="H102" s="135" t="n">
        <v>0</v>
      </c>
      <c r="J102" s="133" t="n">
        <v>0</v>
      </c>
      <c r="K102" s="134" t="n">
        <v>0</v>
      </c>
      <c r="L102" s="134" t="n">
        <v>0</v>
      </c>
      <c r="M102" s="134" t="n">
        <v>0</v>
      </c>
      <c r="N102" s="135" t="n">
        <v>0</v>
      </c>
      <c r="P102" s="133" t="n">
        <v>0</v>
      </c>
      <c r="Q102" s="134" t="n">
        <v>0</v>
      </c>
      <c r="R102" s="134" t="n">
        <v>0</v>
      </c>
      <c r="S102" s="134" t="n">
        <v>0</v>
      </c>
      <c r="T102" s="135" t="n">
        <v>0</v>
      </c>
      <c r="V102" s="133" t="n">
        <v>0</v>
      </c>
      <c r="W102" s="134" t="n">
        <v>0</v>
      </c>
      <c r="X102" s="134" t="n">
        <v>0</v>
      </c>
      <c r="Y102" s="134" t="n">
        <v>0</v>
      </c>
      <c r="Z102" s="135" t="n">
        <v>0</v>
      </c>
    </row>
    <row r="103" ht="15" customHeight="1" thickBot="1">
      <c r="B103" s="59" t="inlineStr">
        <is>
          <t>Non-Rebatable</t>
        </is>
      </c>
      <c r="D103" s="136" t="n">
        <v>0</v>
      </c>
      <c r="E103" s="137" t="n">
        <v>0</v>
      </c>
      <c r="F103" s="137" t="n">
        <v>0</v>
      </c>
      <c r="G103" s="137" t="n">
        <v>0</v>
      </c>
      <c r="H103" s="138" t="n">
        <v>0</v>
      </c>
      <c r="J103" s="139" t="n">
        <v>272009.7721800812</v>
      </c>
      <c r="K103" s="140" t="n">
        <v>261622.1388362575</v>
      </c>
      <c r="L103" s="140" t="n">
        <v>4086.411781183353</v>
      </c>
      <c r="M103" s="140" t="n">
        <v>552.1088310115437</v>
      </c>
      <c r="N103" s="141" t="n">
        <v>538270.4316285335</v>
      </c>
      <c r="P103" s="139" t="n">
        <v>273967.9002461676</v>
      </c>
      <c r="Q103" s="140" t="n">
        <v>263205.7003168401</v>
      </c>
      <c r="R103" s="140" t="n">
        <v>4115.589524254454</v>
      </c>
      <c r="S103" s="140" t="n">
        <v>529.4434178862319</v>
      </c>
      <c r="T103" s="141" t="n">
        <v>541818.6335051483</v>
      </c>
      <c r="V103" s="139" t="n">
        <v>276285.4014342451</v>
      </c>
      <c r="W103" s="140" t="n">
        <v>264737.8059749066</v>
      </c>
      <c r="X103" s="140" t="n">
        <v>4142.034055145593</v>
      </c>
      <c r="Y103" s="140" t="n">
        <v>507.7439456670621</v>
      </c>
      <c r="Z103" s="141" t="n">
        <v>545672.9854099642</v>
      </c>
    </row>
    <row r="104" ht="15.6" customHeight="1" thickBot="1" thickTop="1">
      <c r="B104" s="69" t="inlineStr">
        <is>
          <t>Total</t>
        </is>
      </c>
      <c r="D104" s="142" t="n">
        <v>7759</v>
      </c>
      <c r="E104" s="143" t="n">
        <v>5976</v>
      </c>
      <c r="F104" s="143" t="n">
        <v>67</v>
      </c>
      <c r="G104" s="143" t="n">
        <v>3361</v>
      </c>
      <c r="H104" s="144" t="n">
        <v>20523</v>
      </c>
      <c r="J104" s="142" t="n">
        <v>283649.9563392566</v>
      </c>
      <c r="K104" s="143" t="n">
        <v>271091.7847517669</v>
      </c>
      <c r="L104" s="143" t="n">
        <v>4206.317514998797</v>
      </c>
      <c r="M104" s="143" t="n">
        <v>5255.414666079996</v>
      </c>
      <c r="N104" s="144" t="n">
        <v>568905.4085614788</v>
      </c>
      <c r="P104" s="142" t="n">
        <v>286351.720964514</v>
      </c>
      <c r="Q104" s="143" t="n">
        <v>273437.7993541604</v>
      </c>
      <c r="R104" s="143" t="n">
        <v>4247.739981535529</v>
      </c>
      <c r="S104" s="143" t="n">
        <v>5630.618451034225</v>
      </c>
      <c r="T104" s="144" t="n">
        <v>574767.6038082013</v>
      </c>
      <c r="V104" s="142" t="n">
        <v>289512.8642531181</v>
      </c>
      <c r="W104" s="143" t="n">
        <v>275824.1403448745</v>
      </c>
      <c r="X104" s="143" t="n">
        <v>4287.484946119355</v>
      </c>
      <c r="Y104" s="143" t="n">
        <v>6050.693529975338</v>
      </c>
      <c r="Z104" s="144" t="n">
        <v>581216.5896308238</v>
      </c>
    </row>
    <row r="105" ht="30.3" customHeight="1" thickBot="1"/>
    <row r="106" ht="15" customHeight="1" thickBot="1">
      <c r="B106" s="110" t="inlineStr">
        <is>
          <t>Removed Claims</t>
        </is>
      </c>
      <c r="H106" s="111" t="n">
        <v>3772</v>
      </c>
    </row>
    <row r="107" ht="15" customHeight="1" thickBot="1"/>
    <row r="108" ht="15" customHeight="1" thickBot="1">
      <c r="B108" s="112" t="inlineStr">
        <is>
          <t>Total</t>
        </is>
      </c>
      <c r="H108" s="113" t="n">
        <v>527643</v>
      </c>
    </row>
    <row r="109"/>
    <row r="110"/>
    <row r="111"/>
    <row r="112"/>
    <row r="113"/>
    <row r="114"/>
    <row r="115"/>
    <row r="116"/>
    <row r="117"/>
    <row r="118"/>
    <row r="119"/>
    <row r="120"/>
    <row r="121"/>
    <row r="122"/>
    <row r="123"/>
    <row r="124"/>
    <row r="125"/>
    <row r="126"/>
    <row r="127"/>
    <row r="128"/>
    <row r="129" ht="30.3" customHeight="1"/>
    <row r="130"/>
    <row r="131"/>
    <row r="132"/>
    <row r="133"/>
    <row r="134"/>
    <row r="135"/>
    <row r="136"/>
    <row r="137"/>
    <row r="138"/>
    <row r="139"/>
    <row r="140"/>
    <row r="141"/>
    <row r="142"/>
    <row r="143"/>
    <row r="144"/>
    <row r="145"/>
    <row r="146"/>
    <row r="147"/>
    <row r="148"/>
    <row r="149"/>
    <row r="150"/>
    <row r="151"/>
    <row r="152"/>
    <row r="153" ht="30.3" customHeight="1"/>
    <row r="154">
      <c r="AM154" s="117" t="n"/>
      <c r="AN154" s="117" t="n"/>
    </row>
    <row r="155">
      <c r="AM155" s="117" t="n"/>
      <c r="AN155" s="117" t="n"/>
    </row>
    <row r="156">
      <c r="AM156" s="117" t="n"/>
      <c r="AN156" s="117" t="n"/>
    </row>
    <row r="157">
      <c r="AM157" s="117" t="n"/>
      <c r="AN157" s="117" t="n"/>
    </row>
    <row r="158">
      <c r="AM158" s="117" t="n"/>
      <c r="AN158" s="117" t="n"/>
    </row>
    <row r="159">
      <c r="AM159" s="117" t="n"/>
      <c r="AN159" s="117" t="n"/>
    </row>
    <row r="160">
      <c r="AM160" s="117" t="n"/>
      <c r="AN160" s="117" t="n"/>
    </row>
    <row r="161">
      <c r="AM161" s="117" t="n"/>
      <c r="AN161" s="117" t="n"/>
    </row>
    <row r="162">
      <c r="AM162" s="117" t="n"/>
      <c r="AN162" s="117" t="n"/>
    </row>
    <row r="163">
      <c r="AM163" s="117" t="n"/>
      <c r="AN163" s="117" t="n"/>
    </row>
    <row r="164">
      <c r="AM164" s="117" t="n"/>
      <c r="AN164" s="117" t="n"/>
    </row>
    <row r="165">
      <c r="AM165" s="117" t="n"/>
      <c r="AN165" s="117" t="n"/>
    </row>
    <row r="166">
      <c r="AM166" s="117" t="n"/>
      <c r="AN166" s="117" t="n"/>
    </row>
    <row r="167">
      <c r="AM167" s="117" t="n"/>
      <c r="AN167" s="117" t="n"/>
    </row>
    <row r="168">
      <c r="AM168" s="117" t="n"/>
      <c r="AN168" s="117" t="n"/>
    </row>
    <row r="169">
      <c r="AM169" s="117" t="n"/>
      <c r="AN169" s="117" t="n"/>
    </row>
    <row r="170">
      <c r="AM170" s="117" t="n"/>
      <c r="AN170" s="117" t="n"/>
    </row>
    <row r="171">
      <c r="AM171" s="117" t="n"/>
      <c r="AN171" s="117" t="n"/>
    </row>
    <row r="172">
      <c r="AM172" s="117" t="n"/>
      <c r="AN172" s="117" t="n"/>
    </row>
    <row r="173">
      <c r="AM173" s="117" t="n"/>
      <c r="AN173" s="117" t="n"/>
    </row>
    <row r="174">
      <c r="AM174" s="117" t="n"/>
      <c r="AN174" s="117" t="n"/>
    </row>
    <row r="175">
      <c r="AM175" s="117" t="n"/>
      <c r="AN175" s="117" t="n"/>
    </row>
    <row r="176">
      <c r="AM176" s="117" t="n"/>
      <c r="AN176" s="117" t="n"/>
    </row>
    <row r="177">
      <c r="AM177" s="117" t="n"/>
      <c r="AN177" s="117" t="n"/>
    </row>
    <row r="178">
      <c r="AM178" s="117" t="n"/>
      <c r="AN178" s="117" t="n"/>
    </row>
    <row r="179">
      <c r="AM179" s="117" t="n"/>
      <c r="AN179" s="117" t="n"/>
    </row>
    <row r="180">
      <c r="AM180" s="117" t="n"/>
      <c r="AN180" s="117" t="n"/>
    </row>
    <row r="181">
      <c r="AM181" s="117" t="n"/>
      <c r="AN181" s="117" t="n"/>
    </row>
    <row r="182">
      <c r="AM182" s="117" t="n"/>
      <c r="AN182" s="117" t="n"/>
    </row>
    <row r="183">
      <c r="AM183" s="117" t="n"/>
      <c r="AN183" s="117" t="n"/>
    </row>
    <row r="184">
      <c r="AM184" s="117" t="n"/>
      <c r="AN184" s="117" t="n"/>
    </row>
    <row r="185">
      <c r="AM185" s="117" t="n"/>
      <c r="AN185" s="117" t="n"/>
    </row>
    <row r="186">
      <c r="AM186" s="117" t="n"/>
      <c r="AN186" s="117" t="n"/>
    </row>
    <row r="187">
      <c r="AM187" s="117" t="n"/>
      <c r="AN187" s="117" t="n"/>
    </row>
    <row r="188">
      <c r="AM188" s="117" t="n"/>
      <c r="AN188" s="117" t="n"/>
    </row>
    <row r="189">
      <c r="AM189" s="117" t="n"/>
      <c r="AN189" s="117" t="n"/>
    </row>
    <row r="190">
      <c r="AM190" s="117" t="n"/>
      <c r="AN190" s="117" t="n"/>
    </row>
    <row r="191">
      <c r="AM191" s="117" t="n"/>
      <c r="AN191" s="117" t="n"/>
    </row>
    <row r="192">
      <c r="AM192" s="117" t="n"/>
      <c r="AN192" s="117" t="n"/>
    </row>
    <row r="193">
      <c r="AM193" s="117" t="n"/>
      <c r="AN193" s="117" t="n"/>
    </row>
    <row r="194">
      <c r="AM194" s="117" t="n"/>
      <c r="AN194" s="117" t="n"/>
    </row>
    <row r="195">
      <c r="AM195" s="117" t="n"/>
      <c r="AN195" s="117" t="n"/>
    </row>
    <row r="196">
      <c r="AM196" s="117" t="n"/>
      <c r="AN196" s="117" t="n"/>
    </row>
    <row r="197">
      <c r="AM197" s="117" t="n"/>
      <c r="AN197" s="117" t="n"/>
    </row>
    <row r="198">
      <c r="AM198" s="117" t="n"/>
      <c r="AN198" s="117" t="n"/>
    </row>
    <row r="199">
      <c r="AM199" s="117" t="n"/>
      <c r="AN199" s="117" t="n"/>
    </row>
    <row r="200">
      <c r="AM200" s="117" t="n"/>
      <c r="AN200" s="117" t="n"/>
    </row>
    <row r="201">
      <c r="AM201" s="117" t="n"/>
      <c r="AN201" s="117" t="n"/>
    </row>
    <row r="202">
      <c r="AM202" s="117" t="n"/>
      <c r="AN202" s="117" t="n"/>
    </row>
    <row r="203">
      <c r="AM203" s="117" t="n"/>
      <c r="AN203" s="117" t="n"/>
    </row>
    <row r="204">
      <c r="AM204" s="117" t="n"/>
      <c r="AN204" s="117" t="n"/>
    </row>
    <row r="205">
      <c r="AM205" s="117" t="n"/>
      <c r="AN205" s="117" t="n"/>
    </row>
    <row r="206">
      <c r="AM206" s="117" t="n"/>
      <c r="AN206" s="117" t="n"/>
    </row>
    <row r="207">
      <c r="AM207" s="117" t="n"/>
      <c r="AN207" s="117" t="n"/>
    </row>
    <row r="208">
      <c r="AM208" s="117" t="n"/>
      <c r="AN208" s="117" t="n"/>
    </row>
    <row r="209">
      <c r="AM209" s="117" t="n"/>
      <c r="AN209" s="117" t="n"/>
    </row>
    <row r="210">
      <c r="AM210" s="117" t="n"/>
      <c r="AN210" s="117" t="n"/>
    </row>
    <row r="211">
      <c r="AM211" s="117" t="n"/>
      <c r="AN211" s="117" t="n"/>
    </row>
    <row r="212">
      <c r="AM212" s="117" t="n"/>
      <c r="AN212" s="117" t="n"/>
    </row>
    <row r="213">
      <c r="AM213" s="117" t="n"/>
      <c r="AN213" s="117" t="n"/>
    </row>
    <row r="214">
      <c r="AM214" s="117" t="n"/>
      <c r="AN214" s="117" t="n"/>
    </row>
    <row r="215">
      <c r="AM215" s="117" t="n"/>
      <c r="AN215" s="117" t="n"/>
    </row>
    <row r="216">
      <c r="AM216" s="117" t="n"/>
      <c r="AN216" s="117" t="n"/>
    </row>
    <row r="217">
      <c r="AM217" s="117" t="n"/>
      <c r="AN217" s="117" t="n"/>
    </row>
    <row r="218">
      <c r="AM218" s="117" t="n"/>
      <c r="AN218" s="117" t="n"/>
    </row>
    <row r="219">
      <c r="AM219" s="117" t="n"/>
      <c r="AN219" s="117" t="n"/>
    </row>
    <row r="220">
      <c r="AM220" s="117" t="n"/>
      <c r="AN220" s="117" t="n"/>
    </row>
    <row r="221">
      <c r="AM221" s="117" t="n"/>
      <c r="AN221" s="117" t="n"/>
    </row>
    <row r="222">
      <c r="AM222" s="117" t="n"/>
      <c r="AN222" s="117" t="n"/>
    </row>
    <row r="223">
      <c r="AM223" s="117" t="n"/>
      <c r="AN223" s="117" t="n"/>
    </row>
    <row r="224">
      <c r="AM224" s="117" t="n"/>
      <c r="AN224" s="117" t="n"/>
    </row>
    <row r="225">
      <c r="AM225" s="117" t="n"/>
      <c r="AN225" s="117" t="n"/>
    </row>
    <row r="226">
      <c r="AM226" s="117" t="n"/>
      <c r="AN226" s="117" t="n"/>
    </row>
    <row r="227">
      <c r="AM227" s="117" t="n"/>
      <c r="AN227" s="117" t="n"/>
    </row>
    <row r="228">
      <c r="AM228" s="117" t="n"/>
      <c r="AN228" s="117" t="n"/>
    </row>
    <row r="229">
      <c r="AM229" s="117" t="n"/>
      <c r="AN229" s="117" t="n"/>
    </row>
    <row r="230">
      <c r="AM230" s="117" t="n"/>
      <c r="AN230" s="117" t="n"/>
    </row>
    <row r="231">
      <c r="AM231" s="117" t="n"/>
      <c r="AN231" s="117" t="n"/>
    </row>
    <row r="232">
      <c r="AM232" s="117" t="n"/>
      <c r="AN232" s="117" t="n"/>
    </row>
    <row r="233">
      <c r="AM233" s="117" t="n"/>
      <c r="AN233" s="117" t="n"/>
    </row>
    <row r="234">
      <c r="AM234" s="117" t="n"/>
      <c r="AN234" s="117" t="n"/>
    </row>
    <row r="235">
      <c r="AM235" s="117" t="n"/>
      <c r="AN235" s="117" t="n"/>
    </row>
    <row r="236">
      <c r="AM236" s="117" t="n"/>
      <c r="AN236" s="117" t="n"/>
    </row>
    <row r="237">
      <c r="AM237" s="117" t="n"/>
      <c r="AN237" s="117" t="n"/>
    </row>
    <row r="238">
      <c r="AM238" s="117" t="n"/>
      <c r="AN238" s="117" t="n"/>
    </row>
    <row r="239">
      <c r="AM239" s="117" t="n"/>
      <c r="AN239" s="117" t="n"/>
    </row>
    <row r="240">
      <c r="AM240" s="117" t="n"/>
      <c r="AN240" s="117" t="n"/>
    </row>
    <row r="241">
      <c r="AM241" s="117" t="n"/>
      <c r="AN241" s="117" t="n"/>
    </row>
    <row r="242">
      <c r="AM242" s="117" t="n"/>
      <c r="AN242" s="117" t="n"/>
    </row>
    <row r="243">
      <c r="AM243" s="117" t="n"/>
      <c r="AN243" s="117" t="n"/>
    </row>
    <row r="244">
      <c r="AM244" s="117" t="n"/>
      <c r="AN244" s="117" t="n"/>
    </row>
    <row r="245">
      <c r="AM245" s="117" t="n"/>
      <c r="AN245" s="117" t="n"/>
    </row>
    <row r="246">
      <c r="AM246" s="117" t="n"/>
      <c r="AN246" s="117" t="n"/>
    </row>
    <row r="247">
      <c r="AM247" s="117" t="n"/>
      <c r="AN247" s="117" t="n"/>
    </row>
    <row r="248">
      <c r="AM248" s="117" t="n"/>
      <c r="AN248" s="117" t="n"/>
    </row>
    <row r="249">
      <c r="AM249" s="117" t="n"/>
      <c r="AN249" s="117" t="n"/>
    </row>
    <row r="250">
      <c r="AM250" s="117" t="n"/>
      <c r="AN250" s="117" t="n"/>
    </row>
    <row r="251">
      <c r="AM251" s="117" t="n"/>
      <c r="AN251" s="117" t="n"/>
    </row>
    <row r="252">
      <c r="AM252" s="117" t="n"/>
      <c r="AN252" s="117" t="n"/>
    </row>
    <row r="253">
      <c r="AM253" s="117" t="n"/>
      <c r="AN253" s="117" t="n"/>
    </row>
    <row r="254">
      <c r="AM254" s="117" t="n"/>
      <c r="AN254" s="117" t="n"/>
    </row>
    <row r="255">
      <c r="AM255" s="117" t="n"/>
      <c r="AN255" s="117" t="n"/>
    </row>
    <row r="256">
      <c r="AM256" s="117" t="n"/>
      <c r="AN256" s="117" t="n"/>
    </row>
    <row r="257">
      <c r="AM257" s="117" t="n"/>
      <c r="AN257" s="117" t="n"/>
    </row>
    <row r="258">
      <c r="AM258" s="117" t="n"/>
      <c r="AN258" s="117" t="n"/>
    </row>
    <row r="259">
      <c r="AM259" s="117" t="n"/>
      <c r="AN259" s="117" t="n"/>
    </row>
    <row r="260">
      <c r="AM260" s="117" t="n"/>
      <c r="AN260" s="117" t="n"/>
    </row>
    <row r="261">
      <c r="AM261" s="117" t="n"/>
      <c r="AN261" s="117" t="n"/>
    </row>
    <row r="262">
      <c r="AM262" s="117" t="n"/>
      <c r="AN262" s="117" t="n"/>
    </row>
    <row r="263">
      <c r="AM263" s="117" t="n"/>
      <c r="AN263" s="117" t="n"/>
    </row>
    <row r="264">
      <c r="AM264" s="117" t="n"/>
      <c r="AN264" s="117" t="n"/>
    </row>
    <row r="265">
      <c r="AM265" s="117" t="n"/>
      <c r="AN265" s="117" t="n"/>
    </row>
    <row r="266">
      <c r="AM266" s="117" t="n"/>
      <c r="AN266" s="117" t="n"/>
    </row>
    <row r="267">
      <c r="AM267" s="117" t="n"/>
      <c r="AN267" s="117" t="n"/>
    </row>
    <row r="268">
      <c r="AM268" s="117" t="n"/>
      <c r="AN268" s="117" t="n"/>
    </row>
    <row r="269">
      <c r="AM269" s="117" t="n"/>
      <c r="AN269" s="117" t="n"/>
    </row>
    <row r="270">
      <c r="AM270" s="117" t="n"/>
      <c r="AN270" s="117" t="n"/>
    </row>
    <row r="271">
      <c r="AM271" s="117" t="n"/>
      <c r="AN271" s="117" t="n"/>
    </row>
    <row r="272">
      <c r="AM272" s="117" t="n"/>
      <c r="AN272" s="117" t="n"/>
    </row>
    <row r="273">
      <c r="AM273" s="117" t="n"/>
      <c r="AN273" s="117" t="n"/>
    </row>
    <row r="274">
      <c r="AM274" s="117" t="n"/>
      <c r="AN274" s="117" t="n"/>
    </row>
    <row r="275">
      <c r="AM275" s="117" t="n"/>
      <c r="AN275" s="117" t="n"/>
    </row>
    <row r="276">
      <c r="AM276" s="117" t="n"/>
      <c r="AN276" s="117" t="n"/>
    </row>
    <row r="277">
      <c r="AM277" s="117" t="n"/>
      <c r="AN277" s="117" t="n"/>
    </row>
    <row r="278">
      <c r="AM278" s="117" t="n"/>
      <c r="AN278" s="117" t="n"/>
    </row>
    <row r="279">
      <c r="AM279" s="117" t="n"/>
      <c r="AN279" s="117" t="n"/>
    </row>
    <row r="280">
      <c r="AM280" s="117" t="n"/>
      <c r="AN280" s="117" t="n"/>
    </row>
    <row r="281">
      <c r="AM281" s="117" t="n"/>
      <c r="AN281" s="117" t="n"/>
    </row>
    <row r="282">
      <c r="AM282" s="117" t="n"/>
      <c r="AN282" s="117" t="n"/>
    </row>
    <row r="283">
      <c r="AM283" s="117" t="n"/>
      <c r="AN283" s="117" t="n"/>
    </row>
    <row r="284">
      <c r="AM284" s="117" t="n"/>
      <c r="AN284" s="117" t="n"/>
    </row>
    <row r="285">
      <c r="AM285" s="117" t="n"/>
      <c r="AN285" s="117" t="n"/>
    </row>
    <row r="286">
      <c r="AM286" s="117" t="n"/>
      <c r="AN286" s="117" t="n"/>
    </row>
    <row r="287">
      <c r="AM287" s="117" t="n"/>
      <c r="AN287" s="117" t="n"/>
    </row>
    <row r="288">
      <c r="AM288" s="117" t="n"/>
      <c r="AN288" s="117" t="n"/>
    </row>
    <row r="289">
      <c r="AM289" s="117" t="n"/>
      <c r="AN289" s="117" t="n"/>
    </row>
    <row r="290">
      <c r="AM290" s="117" t="n"/>
      <c r="AN290" s="117" t="n"/>
    </row>
    <row r="291">
      <c r="AM291" s="117" t="n"/>
      <c r="AN291" s="117" t="n"/>
    </row>
    <row r="292">
      <c r="AM292" s="117" t="n"/>
      <c r="AN292" s="117" t="n"/>
    </row>
    <row r="293">
      <c r="AM293" s="117" t="n"/>
      <c r="AN293" s="117" t="n"/>
    </row>
    <row r="294">
      <c r="AM294" s="117" t="n"/>
      <c r="AN294" s="117" t="n"/>
    </row>
    <row r="295">
      <c r="AM295" s="117" t="n"/>
      <c r="AN295" s="117" t="n"/>
    </row>
    <row r="296">
      <c r="AM296" s="117" t="n"/>
      <c r="AN296" s="117" t="n"/>
    </row>
    <row r="297">
      <c r="AM297" s="117" t="n"/>
      <c r="AN297" s="117" t="n"/>
    </row>
    <row r="298">
      <c r="AM298" s="117" t="n"/>
      <c r="AN298" s="117" t="n"/>
    </row>
    <row r="299">
      <c r="AM299" s="117" t="n"/>
      <c r="AN299" s="117" t="n"/>
    </row>
    <row r="300">
      <c r="AM300" s="117" t="n"/>
      <c r="AN300" s="117" t="n"/>
    </row>
    <row r="301">
      <c r="AM301" s="117" t="n"/>
      <c r="AN301" s="117" t="n"/>
    </row>
    <row r="302">
      <c r="AM302" s="117" t="n"/>
      <c r="AN302" s="117" t="n"/>
    </row>
    <row r="303">
      <c r="AM303" s="117" t="n"/>
      <c r="AN303" s="117" t="n"/>
    </row>
  </sheetData>
  <pageMargins left="0.7" right="0.7" top="0.75" bottom="0.75" header="0.3" footer="0.3"/>
  <pageSetup orientation="portrait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Kumar, Nikhil</dc:creator>
  <dcterms:created xmlns:dcterms="http://purl.org/dc/terms/" xmlns:xsi="http://www.w3.org/2001/XMLSchema-instance" xsi:type="dcterms:W3CDTF">2026-02-06T09:21:35Z</dcterms:created>
  <dcterms:modified xmlns:dcterms="http://purl.org/dc/terms/" xmlns:xsi="http://www.w3.org/2001/XMLSchema-instance" xsi:type="dcterms:W3CDTF">2026-06-12T06:41:35Z</dcterms:modified>
  <cp:lastModifiedBy>Chilukuri, Navyasri</cp:lastModifiedBy>
</cp:coreProperties>
</file>